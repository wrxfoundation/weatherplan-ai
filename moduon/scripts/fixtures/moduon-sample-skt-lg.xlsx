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ersons\Desktop\"/>
    </mc:Choice>
  </mc:AlternateContent>
  <xr:revisionPtr revIDLastSave="0" documentId="8_{9B9332C7-5D43-4DEB-8717-4B5CA23F3BE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KT" sheetId="1" r:id="rId1"/>
    <sheet name="LG" sheetId="2" r:id="rId2"/>
  </sheets>
  <definedNames>
    <definedName name="_xlnm.Print_Area" localSheetId="1">LG!$C$4:$N$33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" l="1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K26" i="2"/>
  <c r="J55" i="2"/>
  <c r="M55" i="2"/>
  <c r="J58" i="2"/>
  <c r="M58" i="2"/>
  <c r="J61" i="2"/>
  <c r="M61" i="2"/>
  <c r="M64" i="2"/>
  <c r="M66" i="2"/>
  <c r="M68" i="2"/>
  <c r="F13" i="1" l="1"/>
  <c r="F14" i="1"/>
  <c r="F15" i="1"/>
  <c r="D13" i="1"/>
  <c r="D14" i="1"/>
  <c r="D15" i="1"/>
  <c r="M24" i="1"/>
  <c r="L24" i="1"/>
  <c r="F32" i="1" l="1"/>
  <c r="F31" i="1"/>
  <c r="F30" i="1"/>
  <c r="F22" i="1"/>
  <c r="D22" i="1"/>
  <c r="F21" i="1"/>
  <c r="D21" i="1"/>
  <c r="F20" i="1"/>
  <c r="D20" i="1"/>
  <c r="F8" i="1" l="1"/>
  <c r="D8" i="1"/>
  <c r="F7" i="1"/>
  <c r="D7" i="1"/>
  <c r="D31" i="1" l="1"/>
  <c r="D32" i="1"/>
  <c r="F25" i="1"/>
  <c r="D25" i="1"/>
  <c r="F24" i="1" l="1"/>
  <c r="D30" i="1" l="1"/>
  <c r="D24" i="1" l="1"/>
  <c r="F23" i="1"/>
  <c r="D23" i="1"/>
  <c r="F19" i="1"/>
  <c r="D19" i="1"/>
  <c r="F18" i="1"/>
  <c r="D18" i="1"/>
  <c r="F17" i="1"/>
  <c r="D17" i="1"/>
  <c r="F16" i="1"/>
  <c r="D16" i="1"/>
  <c r="F12" i="1"/>
  <c r="D12" i="1"/>
  <c r="F11" i="1"/>
  <c r="D11" i="1"/>
  <c r="F10" i="1"/>
  <c r="D10" i="1"/>
  <c r="F9" i="1"/>
  <c r="D9" i="1"/>
</calcChain>
</file>

<file path=xl/sharedStrings.xml><?xml version="1.0" encoding="utf-8"?>
<sst xmlns="http://schemas.openxmlformats.org/spreadsheetml/2006/main" count="364" uniqueCount="231">
  <si>
    <t>펫네임</t>
    <phoneticPr fontId="1" type="noConversion"/>
  </si>
  <si>
    <t>MNP</t>
    <phoneticPr fontId="1" type="noConversion"/>
  </si>
  <si>
    <t>기변</t>
    <phoneticPr fontId="1" type="noConversion"/>
  </si>
  <si>
    <t>공통</t>
    <phoneticPr fontId="1" type="noConversion"/>
  </si>
  <si>
    <t>선약</t>
    <phoneticPr fontId="1" type="noConversion"/>
  </si>
  <si>
    <t>공통</t>
    <phoneticPr fontId="1" type="noConversion"/>
  </si>
  <si>
    <t>모델명</t>
    <phoneticPr fontId="1" type="noConversion"/>
  </si>
  <si>
    <t>IP16일반</t>
  </si>
  <si>
    <t>IP16P / IP16PM</t>
  </si>
  <si>
    <t>IP17일반</t>
  </si>
  <si>
    <t>IP17P</t>
  </si>
  <si>
    <t>아이폰17프로</t>
  </si>
  <si>
    <t>IP17PM</t>
  </si>
  <si>
    <t>아이폰17프로맥스</t>
  </si>
  <si>
    <t>IPA</t>
  </si>
  <si>
    <t>아이폰 에어</t>
  </si>
  <si>
    <t>SM-S931</t>
  </si>
  <si>
    <t>SM-S936 / S938</t>
  </si>
  <si>
    <t>갤럭시 A16</t>
  </si>
  <si>
    <t>SM-A175</t>
  </si>
  <si>
    <t>갤럭시 A17</t>
  </si>
  <si>
    <t>AT-M150</t>
  </si>
  <si>
    <t>AT-M140</t>
  </si>
  <si>
    <t>스타일폴더2</t>
  </si>
  <si>
    <t>S2</t>
    <phoneticPr fontId="1" type="noConversion"/>
  </si>
  <si>
    <t>부가서비스명</t>
    <phoneticPr fontId="1" type="noConversion"/>
  </si>
  <si>
    <t>wavve앤 데이터</t>
    <phoneticPr fontId="1" type="noConversion"/>
  </si>
  <si>
    <t>마이스마트콜 3</t>
    <phoneticPr fontId="1" type="noConversion"/>
  </si>
  <si>
    <t>추가 / 차감</t>
    <phoneticPr fontId="1" type="noConversion"/>
  </si>
  <si>
    <t>부가정책</t>
    <phoneticPr fontId="1" type="noConversion"/>
  </si>
  <si>
    <t>0.3 / 0</t>
    <phoneticPr fontId="1" type="noConversion"/>
  </si>
  <si>
    <t>유지기간</t>
    <phoneticPr fontId="1" type="noConversion"/>
  </si>
  <si>
    <t>당월말</t>
    <phoneticPr fontId="1" type="noConversion"/>
  </si>
  <si>
    <t>M+2</t>
    <phoneticPr fontId="1" type="noConversion"/>
  </si>
  <si>
    <t>M+1</t>
    <phoneticPr fontId="1" type="noConversion"/>
  </si>
  <si>
    <r>
      <t xml:space="preserve">0 / </t>
    </r>
    <r>
      <rPr>
        <b/>
        <sz val="14"/>
        <color rgb="FFFF0000"/>
        <rFont val="맑은 고딕"/>
        <family val="3"/>
        <charset val="129"/>
        <scheme val="minor"/>
      </rPr>
      <t>-2</t>
    </r>
    <phoneticPr fontId="1" type="noConversion"/>
  </si>
  <si>
    <t>▷ T아이폰 케어는 제외
▷ 미유치 및 미유지시 차감</t>
    <phoneticPr fontId="1" type="noConversion"/>
  </si>
  <si>
    <t>해지 고객 D+30 일 이후 가입시 적용</t>
    <phoneticPr fontId="1" type="noConversion"/>
  </si>
  <si>
    <t>▶ 안내 사항 ◀</t>
    <phoneticPr fontId="1" type="noConversion"/>
  </si>
  <si>
    <t>단품</t>
    <phoneticPr fontId="1" type="noConversion"/>
  </si>
  <si>
    <t>IPTV 다셋탑</t>
    <phoneticPr fontId="1" type="noConversion"/>
  </si>
  <si>
    <t>IPTV(STD 이상)</t>
    <phoneticPr fontId="1" type="noConversion"/>
  </si>
  <si>
    <t>STD 이상만 적용</t>
    <phoneticPr fontId="1" type="noConversion"/>
  </si>
  <si>
    <t>상품구성</t>
    <phoneticPr fontId="1" type="noConversion"/>
  </si>
  <si>
    <t>최소상품</t>
    <phoneticPr fontId="1" type="noConversion"/>
  </si>
  <si>
    <t>비고</t>
    <phoneticPr fontId="1" type="noConversion"/>
  </si>
  <si>
    <t>초고속 + IPTV</t>
    <phoneticPr fontId="1" type="noConversion"/>
  </si>
  <si>
    <t>번들</t>
    <phoneticPr fontId="1" type="noConversion"/>
  </si>
  <si>
    <t>동판</t>
    <phoneticPr fontId="1" type="noConversion"/>
  </si>
  <si>
    <t>T + 초고속</t>
    <phoneticPr fontId="1" type="noConversion"/>
  </si>
  <si>
    <t>T + 초고속 + IPTV</t>
    <phoneticPr fontId="1" type="noConversion"/>
  </si>
  <si>
    <t>T + 초고속(100M)</t>
    <phoneticPr fontId="1" type="noConversion"/>
  </si>
  <si>
    <t>T + 초고속(500M ↑)</t>
    <phoneticPr fontId="1" type="noConversion"/>
  </si>
  <si>
    <t>T + 초고속(1G ↑)</t>
    <phoneticPr fontId="1" type="noConversion"/>
  </si>
  <si>
    <t>STD 가입시 10만 차감</t>
    <phoneticPr fontId="1" type="noConversion"/>
  </si>
  <si>
    <t>OSS</t>
    <phoneticPr fontId="1" type="noConversion"/>
  </si>
  <si>
    <t>원스탑 추가정책</t>
    <phoneticPr fontId="1" type="noConversion"/>
  </si>
  <si>
    <t>초고속(100M ↑)</t>
    <phoneticPr fontId="1" type="noConversion"/>
  </si>
  <si>
    <t>자동이체</t>
    <phoneticPr fontId="1" type="noConversion"/>
  </si>
  <si>
    <t>유선 사전승낙서</t>
    <phoneticPr fontId="1" type="noConversion"/>
  </si>
  <si>
    <t>해지 후 재가입</t>
    <phoneticPr fontId="1" type="noConversion"/>
  </si>
  <si>
    <t>유선 상품</t>
    <phoneticPr fontId="1" type="noConversion"/>
  </si>
  <si>
    <t>회선유지 및 요금제 유지</t>
    <phoneticPr fontId="1" type="noConversion"/>
  </si>
  <si>
    <t>유선 명의 변경</t>
    <phoneticPr fontId="1" type="noConversion"/>
  </si>
  <si>
    <t>원스톱 해지</t>
    <phoneticPr fontId="1" type="noConversion"/>
  </si>
  <si>
    <t>수수료 미지급 및 패널티</t>
    <phoneticPr fontId="1" type="noConversion"/>
  </si>
  <si>
    <t>10,000원 차감</t>
    <phoneticPr fontId="1" type="noConversion"/>
  </si>
  <si>
    <t>10,000 차감</t>
    <phoneticPr fontId="1" type="noConversion"/>
  </si>
  <si>
    <t>수수료 미지급 및 패널티</t>
    <phoneticPr fontId="1" type="noConversion"/>
  </si>
  <si>
    <t>전액 환수 및 패널티</t>
    <phoneticPr fontId="1" type="noConversion"/>
  </si>
  <si>
    <t>전액 환수 및 패널티</t>
    <phoneticPr fontId="1" type="noConversion"/>
  </si>
  <si>
    <t>신청 취소</t>
    <phoneticPr fontId="1" type="noConversion"/>
  </si>
  <si>
    <t xml:space="preserve"> M+2개월 유지 및 등록 필수</t>
    <phoneticPr fontId="1" type="noConversion"/>
  </si>
  <si>
    <t xml:space="preserve"> 유선 사전 승낙 미완료인 경우 초고속 건당 -1 차감</t>
    <phoneticPr fontId="1" type="noConversion"/>
  </si>
  <si>
    <t xml:space="preserve"> M-3개월 ~ M+9개월 이내 동일장소, 동일명의 해지후 재가입건
 (비정상 판정시 -11 추가 패널티)</t>
    <phoneticPr fontId="1" type="noConversion"/>
  </si>
  <si>
    <t xml:space="preserve"> 패밀리 요금제 유선상품 선택시 정산 미지급</t>
    <phoneticPr fontId="1" type="noConversion"/>
  </si>
  <si>
    <t xml:space="preserve"> 회선유지 : D+365일 이내 해지시 환수 및 추가 패널티 -11 환수
 요금제 유지 : M+9개월 (미유지시 전액 환수)</t>
    <phoneticPr fontId="1" type="noConversion"/>
  </si>
  <si>
    <t xml:space="preserve"> M+12개월 이내 명변시 전액 환수 및 추가 패널티</t>
    <phoneticPr fontId="1" type="noConversion"/>
  </si>
  <si>
    <t xml:space="preserve"> 전통신사 해지 확인 통화 불가시 자동취소 (동일명의로 재접수 필수)</t>
    <phoneticPr fontId="1" type="noConversion"/>
  </si>
  <si>
    <t>유선 정책</t>
    <phoneticPr fontId="1" type="noConversion"/>
  </si>
  <si>
    <t>LTE</t>
    <phoneticPr fontId="1" type="noConversion"/>
  </si>
  <si>
    <t>79 이상
LTE 시그니처 클래식</t>
    <phoneticPr fontId="1" type="noConversion"/>
  </si>
  <si>
    <t>50이상
LTE T플랜 안심4G / 0플랜 미디엄</t>
    <phoneticPr fontId="1" type="noConversion"/>
  </si>
  <si>
    <t>43 이상
LTE ZEM 플랜 베스트</t>
    <phoneticPr fontId="1" type="noConversion"/>
  </si>
  <si>
    <r>
      <rPr>
        <b/>
        <sz val="12"/>
        <color theme="0"/>
        <rFont val="맑은 고딕"/>
        <family val="3"/>
        <charset val="129"/>
        <scheme val="minor"/>
      </rPr>
      <t>69이상</t>
    </r>
    <r>
      <rPr>
        <b/>
        <sz val="11"/>
        <color theme="0"/>
        <rFont val="맑은 고딕"/>
        <family val="3"/>
        <charset val="129"/>
        <scheme val="minor"/>
      </rPr>
      <t xml:space="preserve">
LTE 패밀리 / 스페셜</t>
    </r>
    <phoneticPr fontId="1" type="noConversion"/>
  </si>
  <si>
    <r>
      <rPr>
        <b/>
        <sz val="12"/>
        <color theme="0"/>
        <rFont val="맑은 고딕"/>
        <family val="3"/>
        <charset val="129"/>
        <scheme val="minor"/>
      </rPr>
      <t>33이상</t>
    </r>
    <r>
      <rPr>
        <b/>
        <sz val="11"/>
        <color theme="0"/>
        <rFont val="맑은 고딕"/>
        <family val="3"/>
        <charset val="129"/>
        <scheme val="minor"/>
      </rPr>
      <t xml:space="preserve">
 T플랜 세이브 / 시니어세이브 / LTE팅24</t>
    </r>
    <phoneticPr fontId="1" type="noConversion"/>
  </si>
  <si>
    <t>사은품 적용시 R/B</t>
    <phoneticPr fontId="1" type="noConversion"/>
  </si>
  <si>
    <t>갤럭시 S25</t>
  </si>
  <si>
    <t>갤럭시 Wide 8</t>
  </si>
  <si>
    <t>ZEM폰 포켓몬에디션3</t>
  </si>
  <si>
    <t xml:space="preserve"> ★ USIM 단독 정책 ★</t>
    <phoneticPr fontId="1" type="noConversion"/>
  </si>
  <si>
    <t>010</t>
    <phoneticPr fontId="1" type="noConversion"/>
  </si>
  <si>
    <t>■ 신규 : M+6 개월 이내 해지시 전액 환수
■ MNP / 기변 : M+6개월 이내 해지시 전액 환수
■ M+6개월 이내 동일 대리점, 동일회선 재기변시 전액 환수
■ 전유형 M+6개월 이내 비정상 판매건 전액 환수</t>
    <phoneticPr fontId="1" type="noConversion"/>
  </si>
  <si>
    <t>SM-S942</t>
  </si>
  <si>
    <t>SM-S947</t>
  </si>
  <si>
    <t>SM-S948</t>
  </si>
  <si>
    <t>SM-M166</t>
  </si>
  <si>
    <t>SM-S947_512G</t>
  </si>
  <si>
    <t>갤럭시S26</t>
  </si>
  <si>
    <t>T All케어+ 6</t>
  </si>
  <si>
    <t>※ 할부 24개월 초과 등록 불가!!! ※
★ 요금제 유지 기간 M+3 개월 필수!!
★ 미성년자 구비서류 미비시 개통 불가!!
★ 법인 개통건 링크 별도 요청 필수!!
★ 개통 후  할부금 D+15일 이후 수납 가능!!</t>
    <phoneticPr fontId="1" type="noConversion"/>
  </si>
  <si>
    <t>갤럭시 S26 플러스</t>
  </si>
  <si>
    <t>119구간
베스트109/베스트pro/베스트Max/프리미엄</t>
    <phoneticPr fontId="1" type="noConversion"/>
  </si>
  <si>
    <t>100구간
베스트99/프라임플러스/T플랜맥스/0청년99</t>
    <phoneticPr fontId="1" type="noConversion"/>
  </si>
  <si>
    <r>
      <t xml:space="preserve">1 / </t>
    </r>
    <r>
      <rPr>
        <b/>
        <sz val="14"/>
        <color rgb="FFFF0000"/>
        <rFont val="맑은 고딕"/>
        <family val="3"/>
        <charset val="129"/>
        <scheme val="minor"/>
      </rPr>
      <t>-2</t>
    </r>
    <phoneticPr fontId="1" type="noConversion"/>
  </si>
  <si>
    <t xml:space="preserve"> ★ 추가지원금 지원 정책 ★</t>
    <phoneticPr fontId="1" type="noConversion"/>
  </si>
  <si>
    <t>T + 초고속(100M) + IPTV(all)</t>
    <phoneticPr fontId="1" type="noConversion"/>
  </si>
  <si>
    <t>T + 초고속(500M ↑) + IPTV(all)</t>
    <phoneticPr fontId="1" type="noConversion"/>
  </si>
  <si>
    <t>T + 초고속(1G ↑) + IPTV(all)</t>
    <phoneticPr fontId="1" type="noConversion"/>
  </si>
  <si>
    <t>초고속(100M) + IPTV(all)</t>
    <phoneticPr fontId="1" type="noConversion"/>
  </si>
  <si>
    <t>초고속(500M↑) + IPTV(all)</t>
    <phoneticPr fontId="1" type="noConversion"/>
  </si>
  <si>
    <t>초고속(1G↑) + IPTV(all)</t>
    <phoneticPr fontId="1" type="noConversion"/>
  </si>
  <si>
    <t>SM-S942_512G</t>
  </si>
  <si>
    <t>SM-S948_512G</t>
  </si>
  <si>
    <t>SM-F776N</t>
  </si>
  <si>
    <t>갤럭시 플립8</t>
  </si>
  <si>
    <t>SM-F971N</t>
  </si>
  <si>
    <t>갤럭시 폴드8</t>
  </si>
  <si>
    <t>SM-F976N</t>
  </si>
  <si>
    <t>갤럭시S26 512G</t>
  </si>
  <si>
    <t>갤럭시 폴드8 Ultra</t>
  </si>
  <si>
    <t>갤럭시 S26 Ultra</t>
  </si>
  <si>
    <t>갤럭시 S26 Ultra 512G</t>
  </si>
  <si>
    <t>갤럭시 S26+ 512G</t>
    <phoneticPr fontId="1" type="noConversion"/>
  </si>
  <si>
    <t>갤럭시 S25+, Ultra</t>
    <phoneticPr fontId="1" type="noConversion"/>
  </si>
  <si>
    <t>2026.09.01 ~</t>
    <phoneticPr fontId="1" type="noConversion"/>
  </si>
  <si>
    <t>아이폰16P/PM</t>
    <phoneticPr fontId="1" type="noConversion"/>
  </si>
  <si>
    <t>아이폰17</t>
    <phoneticPr fontId="1" type="noConversion"/>
  </si>
  <si>
    <t>아이폰16</t>
    <phoneticPr fontId="1" type="noConversion"/>
  </si>
  <si>
    <r>
      <t>26.09.01 ~ 접수건
● 모델
    ㄴ폴더블8류 / S26류 / S25류(전체) / IP16류(전체) /</t>
    </r>
    <r>
      <rPr>
        <b/>
        <sz val="11"/>
        <color rgb="FFFF0000"/>
        <rFont val="맑은 고딕"/>
        <family val="3"/>
        <charset val="129"/>
        <scheme val="minor"/>
      </rPr>
      <t xml:space="preserve"> IP17류</t>
    </r>
    <r>
      <rPr>
        <b/>
        <sz val="11"/>
        <color theme="1"/>
        <rFont val="맑은 고딕"/>
        <family val="3"/>
        <charset val="129"/>
        <scheme val="minor"/>
      </rPr>
      <t xml:space="preserve"> /  M166 / M140 / M150 / A175 [</t>
    </r>
    <r>
      <rPr>
        <b/>
        <sz val="11"/>
        <color rgb="FFFF0000"/>
        <rFont val="맑은 고딕"/>
        <family val="3"/>
        <charset val="129"/>
        <scheme val="minor"/>
      </rPr>
      <t>전유형</t>
    </r>
    <r>
      <rPr>
        <b/>
        <sz val="11"/>
        <color theme="1"/>
        <rFont val="맑은 고딕"/>
        <family val="3"/>
        <charset val="129"/>
        <scheme val="minor"/>
      </rPr>
      <t xml:space="preserve"> , </t>
    </r>
    <r>
      <rPr>
        <b/>
        <sz val="11"/>
        <color rgb="FFFF0000"/>
        <rFont val="맑은 고딕"/>
        <family val="3"/>
        <charset val="129"/>
        <scheme val="minor"/>
      </rPr>
      <t xml:space="preserve">선약 </t>
    </r>
    <r>
      <rPr>
        <b/>
        <sz val="11"/>
        <color theme="1"/>
        <rFont val="맑은 고딕"/>
        <family val="3"/>
        <charset val="129"/>
        <scheme val="minor"/>
      </rPr>
      <t xml:space="preserve">개통시]
● 지원 : </t>
    </r>
    <r>
      <rPr>
        <b/>
        <sz val="11"/>
        <color rgb="FFFF0000"/>
        <rFont val="맑은 고딕"/>
        <family val="3"/>
        <charset val="129"/>
        <scheme val="minor"/>
      </rPr>
      <t>추지 20만원 설정시 선약 10만원 지원</t>
    </r>
    <r>
      <rPr>
        <b/>
        <sz val="11"/>
        <color theme="1"/>
        <rFont val="맑은 고딕"/>
        <family val="3"/>
        <charset val="129"/>
        <scheme val="minor"/>
      </rPr>
      <t xml:space="preserve">
 ※ 대상 기종 선약 추지 적용 개통시 URL내 설정금액과 동일 필수!</t>
    </r>
    <phoneticPr fontId="1" type="noConversion"/>
  </si>
  <si>
    <t>26.09.01 00시00분 ~
● 내용 : USIM 단독 개통
● 유형 : MNP
● 요금제 : S33이상
● R/B : 20
● 조건 : 회선&amp;요금제 M+6개월 유지 필수</t>
    <phoneticPr fontId="1" type="noConversion"/>
  </si>
  <si>
    <t xml:space="preserve">  [불편법 개통 방지 정책]  
  - 대상 : 26년 01월 01일 이후 개통한 MNP 건 (MNO, MVNO 모두 포함)
  - 일자 : 26년 01월 01일 00시(접수) ~ 별도 통보시까지
  - 조건 : M+8개월 유지 조건 / 미 유지시 건당 15만원 패널티
  - 기종 : 전 모델</t>
    <phoneticPr fontId="1" type="noConversion"/>
  </si>
  <si>
    <r>
      <rPr>
        <b/>
        <sz val="8"/>
        <color theme="0"/>
        <rFont val="맑은 고딕"/>
        <family val="3"/>
        <charset val="129"/>
        <scheme val="minor"/>
      </rPr>
      <t>79 이상</t>
    </r>
    <r>
      <rPr>
        <sz val="8"/>
        <color theme="0"/>
        <rFont val="맑은 고딕"/>
        <family val="3"/>
        <charset val="129"/>
        <scheme val="minor"/>
      </rPr>
      <t xml:space="preserve">
베스트89/5GX프라임/0청년89</t>
    </r>
    <phoneticPr fontId="1" type="noConversion"/>
  </si>
  <si>
    <r>
      <rPr>
        <b/>
        <sz val="8"/>
        <color theme="0"/>
        <rFont val="맑은 고딕"/>
        <family val="3"/>
        <charset val="129"/>
        <scheme val="minor"/>
      </rPr>
      <t>69 이상</t>
    </r>
    <r>
      <rPr>
        <sz val="8"/>
        <color theme="0"/>
        <rFont val="맑은 고딕"/>
        <family val="3"/>
        <charset val="129"/>
        <scheme val="minor"/>
      </rPr>
      <t xml:space="preserve">
라이트79/라이트69/라이트59</t>
    </r>
    <phoneticPr fontId="1" type="noConversion"/>
  </si>
  <si>
    <r>
      <rPr>
        <b/>
        <sz val="8"/>
        <color theme="0"/>
        <rFont val="맑은 고딕"/>
        <family val="3"/>
        <charset val="129"/>
        <scheme val="minor"/>
      </rPr>
      <t>43이상</t>
    </r>
    <r>
      <rPr>
        <sz val="8"/>
        <color theme="0"/>
        <rFont val="맑은 고딕"/>
        <family val="3"/>
        <charset val="129"/>
        <scheme val="minor"/>
      </rPr>
      <t xml:space="preserve">
라이트39 / 5GX 슬림 / 미디엄 / 0플랜 미디엄</t>
    </r>
    <phoneticPr fontId="1" type="noConversion"/>
  </si>
  <si>
    <t>SM-L505N (워치8 classic 44mm)</t>
    <phoneticPr fontId="1" type="noConversion"/>
  </si>
  <si>
    <t>SM-L335N (워치8 44mm)</t>
    <phoneticPr fontId="1" type="noConversion"/>
  </si>
  <si>
    <t>SM-L325N (워치8 40mm)</t>
    <phoneticPr fontId="1" type="noConversion"/>
  </si>
  <si>
    <t>SM-L715N (워치9 Ultra)</t>
    <phoneticPr fontId="1" type="noConversion"/>
  </si>
  <si>
    <t>SM-L355N (워치9 44mm)</t>
    <phoneticPr fontId="1" type="noConversion"/>
  </si>
  <si>
    <t xml:space="preserve">월말 기준 모회선 &amp; 워치류 동일 개통 및 결합 필수!!
모바일 대상 모델 : S시리즈, 폴더블류
▶ 대상 요금제 ◀
태블릿/스마트기기 500MB/3GB+데이터 나눠쓰기 
LTE 데이터 쉐어링 500MB/LTE Wearable 요금제 </t>
    <phoneticPr fontId="1" type="noConversion"/>
  </si>
  <si>
    <t>모 회선 요금제 115군 개통시 추가 +4</t>
    <phoneticPr fontId="1" type="noConversion"/>
  </si>
  <si>
    <t>SM-L345N (워치9 40mm)</t>
    <phoneticPr fontId="1" type="noConversion"/>
  </si>
  <si>
    <t>안내</t>
    <phoneticPr fontId="1" type="noConversion"/>
  </si>
  <si>
    <t>추가 정책</t>
    <phoneticPr fontId="1" type="noConversion"/>
  </si>
  <si>
    <t>모회선 MNP / 기변</t>
    <phoneticPr fontId="1" type="noConversion"/>
  </si>
  <si>
    <t>2ND 번들 정책</t>
    <phoneticPr fontId="1" type="noConversion"/>
  </si>
  <si>
    <t>IPTV 요금제군 ( 26.08.20 요금제군 변경 )
 ▶기본형 방송패스 이상 ( HVC 전략요금제 ) : 기본형 방송패스 , 프리미엄 방송패스 , 프리미엄 내맘대로 , 프리미엄 넷플릭스 HD/UHD , 프리미엄 디즈니+(스탠다드) , 프리미엄 티빙(플러스) , 프리미엄 유플레이
 ▶프리미엄 이상 (  IPTV 15↑ ) : 프리미엄 , 프리미엄 플러스 , 프리미엄 VOD
 ▶실속형 이상 : 실속형</t>
    <phoneticPr fontId="1" type="noConversion"/>
  </si>
  <si>
    <t>실 사용 기준
90일 이하 100%환수
150일 이하 80%환수
210일 이하 60% 환수
270일 이하 30% 환수
365일 이하 20% 환수</t>
    <phoneticPr fontId="1" type="noConversion"/>
  </si>
  <si>
    <t>○ 모바일 개통점과 청약 접수점 불일치시 동판 인절 불가
○ D+365일 이하 일자별 차증 환수
○ 동일 명의 또는 동일 주소 D-60일 ~ D+90일 이내 해지  
    적발시 전액 환수
○ 명도 적발시 할부금, 요금, 수수료 전액 환수
○ 대외민원 접수 7일 이후 또는 미처리건 귀책 확정시 30 환수
○ 대외민원 7일 이내 처리건 귀책 확정시 20 환수</t>
    <phoneticPr fontId="1" type="noConversion"/>
  </si>
  <si>
    <t>광랜 (100M)</t>
    <phoneticPr fontId="1" type="noConversion"/>
  </si>
  <si>
    <t>모바일+프리미엄 안심 1G 500M+TV(실속형) 이상</t>
    <phoneticPr fontId="1" type="noConversion"/>
  </si>
  <si>
    <t>기가슬림 (500M)</t>
    <phoneticPr fontId="1" type="noConversion"/>
  </si>
  <si>
    <t>모바일+프리미엄 안심 1G+TV(실속형) 이상</t>
    <phoneticPr fontId="1" type="noConversion"/>
  </si>
  <si>
    <t>기가 (1G)</t>
    <phoneticPr fontId="1" type="noConversion"/>
  </si>
  <si>
    <t>모바일+프리미엄 안심 500M
+TV (프리미엄) 이상</t>
    <phoneticPr fontId="1" type="noConversion"/>
  </si>
  <si>
    <t>프리미엄 안심 100M
+TV (프라임 VOD) 이상</t>
    <phoneticPr fontId="1" type="noConversion"/>
  </si>
  <si>
    <t>프리미엄 안심
100M</t>
    <phoneticPr fontId="1" type="noConversion"/>
  </si>
  <si>
    <t>모바일+프리미엄 안심 1G
+TV (프리미엄) 이상</t>
    <phoneticPr fontId="1" type="noConversion"/>
  </si>
  <si>
    <t>모바일+프리미엄 안심 100M
+TV (기본형 방송패스) 이상</t>
    <phoneticPr fontId="1" type="noConversion"/>
  </si>
  <si>
    <t>프리미엄 안심 500M
+TV (프라임 VOD) 이상</t>
    <phoneticPr fontId="1" type="noConversion"/>
  </si>
  <si>
    <t>프리미엄 안심
500M</t>
    <phoneticPr fontId="1" type="noConversion"/>
  </si>
  <si>
    <t>모바일+프리미엄 안심 500M
+TV (기본형 방송패스) 이상</t>
    <phoneticPr fontId="1" type="noConversion"/>
  </si>
  <si>
    <t xml:space="preserve"> 1. iot 패키지 +4
 2. 환승구독 +2
 3. 다셋탑 정책
ㄴ셋탑 1대 추가 +16
ㄴ셋탑 2대 추가 +21</t>
    <phoneticPr fontId="1" type="noConversion"/>
  </si>
  <si>
    <t>프리미엄 안심 1기가
+TV (프라임 VOD) 이상</t>
    <phoneticPr fontId="1" type="noConversion"/>
  </si>
  <si>
    <t>프리미엄 안심
1기가</t>
    <phoneticPr fontId="1" type="noConversion"/>
  </si>
  <si>
    <t>모바일+프리미엄 안심 1G
+TV (기본형 방송패스) 이상</t>
    <phoneticPr fontId="1" type="noConversion"/>
  </si>
  <si>
    <t>유선 추가정책</t>
    <phoneticPr fontId="1" type="noConversion"/>
  </si>
  <si>
    <t>홈상품 단독 정책</t>
    <phoneticPr fontId="1" type="noConversion"/>
  </si>
  <si>
    <t>모바일(전유형) + 인터넷
동시판매</t>
    <phoneticPr fontId="1" type="noConversion"/>
  </si>
  <si>
    <t>기변 + 인터넷 + TV 동시</t>
    <phoneticPr fontId="1" type="noConversion"/>
  </si>
  <si>
    <t>MNP + 인터넷 + TV 동시</t>
    <phoneticPr fontId="1" type="noConversion"/>
  </si>
  <si>
    <t>동판 정책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</si>
  <si>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★</t>
    </r>
    <r>
      <rPr>
        <b/>
        <sz val="14"/>
        <color theme="1"/>
        <rFont val="맑은 고딕"/>
        <family val="3"/>
        <charset val="129"/>
        <scheme val="minor"/>
      </rPr>
      <t xml:space="preserve"> 유선 추가 정책 (5건 이상시 건당 50,000원 / 10건 이상시 건당 100,000원 추가)</t>
    </r>
    <phoneticPr fontId="1" type="noConversion"/>
  </si>
  <si>
    <t>* 동일 명의 당월 모바일 개통 및 당월말 까지 유선 청약 &amp; 당월 내 결합 완료 &amp; 익월 말일 까지 설치 완료</t>
    <phoneticPr fontId="1" type="noConversion"/>
  </si>
  <si>
    <t>V컬러링 음악감상 플러스 + 벨링콘텐츠팩</t>
    <phoneticPr fontId="1" type="noConversion"/>
  </si>
  <si>
    <t>V컬러링 음악감상 플러스</t>
    <phoneticPr fontId="1" type="noConversion"/>
  </si>
  <si>
    <t>V컬러링</t>
    <phoneticPr fontId="1" type="noConversion"/>
  </si>
  <si>
    <t>교보문고 sam+구글 원</t>
    <phoneticPr fontId="1" type="noConversion"/>
  </si>
  <si>
    <t>폰교체 패스 슬림 (구, 맘대로 폰교체)</t>
    <phoneticPr fontId="1" type="noConversion"/>
  </si>
  <si>
    <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D+93일 필수 유지!!! 미 유지시 전액 환수</t>
    </r>
    <r>
      <rPr>
        <b/>
        <sz val="13"/>
        <color theme="1"/>
        <rFont val="맑은 고딕"/>
        <family val="3"/>
        <charset val="129"/>
        <scheme val="minor"/>
      </rPr>
      <t xml:space="preserve">
* 모바일 개통점과 부가서비스 유치점 일치시 지급
** 벨링모아류와 V컬러링류 동시 유치 불가</t>
    </r>
    <phoneticPr fontId="1" type="noConversion"/>
  </si>
  <si>
    <t>폰 안심패스 유치시 (슬림제외)</t>
    <phoneticPr fontId="1" type="noConversion"/>
  </si>
  <si>
    <t>조건</t>
    <phoneticPr fontId="1" type="noConversion"/>
  </si>
  <si>
    <t>추가정책</t>
    <phoneticPr fontId="1" type="noConversion"/>
  </si>
  <si>
    <t>부가서비스</t>
    <phoneticPr fontId="1" type="noConversion"/>
  </si>
  <si>
    <t>○ 회선 유지기간 D+183일 필수!! 미유지시 전액 환수
○ 개통후 MNP, 기변, 재가입 93일 이내 정지, 명의변경시 수수료 전액환수
○ 요금제 유치후 93일 이내 하향시 요금제 수수료 환수 (일시정지 기간 미포함, 군입대 제외)
○ 기존 고객 183일 이내 정책기변시 단가표 정책에서 수수료 차감 10만원
○ 가개통,단말편취 이상영업 적발건에 대해 수수료 전액 반환
○ 판매점 대표 및 직원 명의 카드 수납금지 (요금 및 할부금 포함)
○ 명의도용 적발시 할부금,요금,수수료 전액 환수
○ 대외민원 접수 7일 이후 처리 또는 미처리건 귀책 확정시 50만원 반환
○ 대외민원 7일 이내 처리건 귀책 확정시 30만원 반환
○ 구매채증 적발시 1회 200만원 청구 및 그외 패널티 구상권 청구</t>
    <phoneticPr fontId="1" type="noConversion"/>
  </si>
  <si>
    <r>
      <t>※ 전 유형 "벨링모아A" 의무가입 필수!!! (</t>
    </r>
    <r>
      <rPr>
        <b/>
        <sz val="13"/>
        <color rgb="FFFF0000"/>
        <rFont val="맑은 고딕"/>
        <family val="3"/>
        <charset val="129"/>
        <scheme val="minor"/>
      </rPr>
      <t>미유치시 개통불가</t>
    </r>
    <r>
      <rPr>
        <b/>
        <sz val="13"/>
        <color theme="1"/>
        <rFont val="맑은 고딕"/>
        <family val="3"/>
        <charset val="129"/>
        <scheme val="minor"/>
      </rPr>
      <t>) / 단, V컬러링, V컬러링 음악감상플러스 가입시 벨링모아A 의무가입 해소 D+93일 유지 必 ※</t>
    </r>
    <phoneticPr fontId="1" type="noConversion"/>
  </si>
  <si>
    <t>※ 기존 단말 사용 기간 13개월 미만 재개통건 7만 차감 ※</t>
    <phoneticPr fontId="1" type="noConversion"/>
  </si>
  <si>
    <t>신규만 청소년키즈22요금제 → R/B 20</t>
    <phoneticPr fontId="1" type="noConversion"/>
  </si>
  <si>
    <t>-</t>
    <phoneticPr fontId="1" type="noConversion"/>
  </si>
  <si>
    <t>카카오리틀프렌즈4</t>
    <phoneticPr fontId="1" type="noConversion"/>
  </si>
  <si>
    <t>SM-A102N-KF4</t>
    <phoneticPr fontId="1" type="noConversion"/>
  </si>
  <si>
    <t>A32</t>
    <phoneticPr fontId="1" type="noConversion"/>
  </si>
  <si>
    <t>A325</t>
    <phoneticPr fontId="1" type="noConversion"/>
  </si>
  <si>
    <t>갤럭시S10+_512G</t>
  </si>
  <si>
    <t>G975_512G</t>
  </si>
  <si>
    <t>-</t>
  </si>
  <si>
    <t>아이폰7</t>
  </si>
  <si>
    <t>AIP7</t>
  </si>
  <si>
    <t>아이폰SE2</t>
  </si>
  <si>
    <t>AIPSE2</t>
  </si>
  <si>
    <t>청소년 신규(5G 청소년 / LTE청소년Ⅱ) 만개통가능</t>
    <phoneticPr fontId="1" type="noConversion"/>
  </si>
  <si>
    <t>MNP
-----------------
유통망 지원금
20만원 미만
개통시 차감</t>
    <phoneticPr fontId="1" type="noConversion"/>
  </si>
  <si>
    <t>S26류 S25류(전체)
폴더블7, 폴더블8류
S24FE, 아이폰17류
아이폰16류(E제외)</t>
    <phoneticPr fontId="1" type="noConversion"/>
  </si>
  <si>
    <t>내용</t>
    <phoneticPr fontId="1" type="noConversion"/>
  </si>
  <si>
    <t>차감</t>
    <phoneticPr fontId="1" type="noConversion"/>
  </si>
  <si>
    <t>◎ 유통망 지원금 차감 정책</t>
    <phoneticPr fontId="1" type="noConversion"/>
  </si>
  <si>
    <t>선약/105/기변</t>
    <phoneticPr fontId="1" type="noConversion"/>
  </si>
  <si>
    <t>선약/115/기변</t>
    <phoneticPr fontId="1" type="noConversion"/>
  </si>
  <si>
    <t>선약/115/MNP</t>
    <phoneticPr fontId="1" type="noConversion"/>
  </si>
  <si>
    <t>전모델</t>
    <phoneticPr fontId="1" type="noConversion"/>
  </si>
  <si>
    <t>2번 요금제별 차감</t>
    <phoneticPr fontId="1" type="noConversion"/>
  </si>
  <si>
    <t>기존 개통 단말 사용 기간
13개월 미만 기변건</t>
    <phoneticPr fontId="1" type="noConversion"/>
  </si>
  <si>
    <t>선약/MNP</t>
    <phoneticPr fontId="1" type="noConversion"/>
  </si>
  <si>
    <t>S24FE</t>
    <phoneticPr fontId="1" type="noConversion"/>
  </si>
  <si>
    <t>폴더블 7류</t>
    <phoneticPr fontId="1" type="noConversion"/>
  </si>
  <si>
    <t>S25류(전체)</t>
    <phoneticPr fontId="1" type="noConversion"/>
  </si>
  <si>
    <t>S26류</t>
    <phoneticPr fontId="1" type="noConversion"/>
  </si>
  <si>
    <t>아이폰16류(E제외)</t>
    <phoneticPr fontId="1" type="noConversion"/>
  </si>
  <si>
    <t>아이폰17 Air</t>
    <phoneticPr fontId="1" type="noConversion"/>
  </si>
  <si>
    <r>
      <t>아이폰17류</t>
    </r>
    <r>
      <rPr>
        <b/>
        <sz val="9"/>
        <color theme="1"/>
        <rFont val="맑은 고딕"/>
        <family val="3"/>
        <charset val="129"/>
        <scheme val="minor"/>
      </rPr>
      <t>(Air제외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</si>
  <si>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5G</t>
    <phoneticPr fontId="1" type="noConversion"/>
  </si>
  <si>
    <t>기변(전환)</t>
    <phoneticPr fontId="1" type="noConversion"/>
  </si>
  <si>
    <t>구분</t>
    <phoneticPr fontId="1" type="noConversion"/>
  </si>
  <si>
    <t>1번 모델별 차감</t>
    <phoneticPr fontId="1" type="noConversion"/>
  </si>
  <si>
    <t>5G 95군 ↑</t>
    <phoneticPr fontId="1" type="noConversion"/>
  </si>
  <si>
    <t>5G 105군 ↑</t>
    <phoneticPr fontId="1" type="noConversion"/>
  </si>
  <si>
    <t>5G 115군 ↑</t>
    <phoneticPr fontId="1" type="noConversion"/>
  </si>
  <si>
    <t>◎ 선약 개통 차감(1번 2번 중복 차감)</t>
    <phoneticPr fontId="1" type="noConversion"/>
  </si>
  <si>
    <t>L1) 즉시 개통 불가</t>
    <phoneticPr fontId="1" type="noConversion"/>
  </si>
  <si>
    <t>U+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</si>
</sst>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0" xfId="0" applyBorder="1">
      <alignment vertical="center"/>
    </xf>
    <xf numFmtId="0" fontId="0" fillId="0" borderId="34" xfId="0" applyBorder="1">
      <alignment vertical="center"/>
    </xf>
    <xf numFmtId="0" fontId="3" fillId="10" borderId="50" xfId="0" applyFont="1" applyFill="1" applyBorder="1" applyAlignment="1">
      <alignment horizontal="center" vertical="center"/>
    </xf>
    <xf numFmtId="0" fontId="3" fillId="10" borderId="57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/>
    </xf>
    <xf numFmtId="0" fontId="0" fillId="5" borderId="3" xfId="0" quotePrefix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36" xfId="0" applyFont="1" applyFill="1" applyBorder="1" applyAlignment="1">
      <alignment horizontal="center" vertical="center" wrapText="1"/>
    </xf>
    <xf numFmtId="0" fontId="14" fillId="4" borderId="33" xfId="0" applyFont="1" applyFill="1" applyBorder="1" applyAlignment="1">
      <alignment horizontal="center" vertical="center" wrapText="1"/>
    </xf>
    <xf numFmtId="0" fontId="14" fillId="4" borderId="30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5" borderId="44" xfId="0" applyFont="1" applyFill="1" applyBorder="1" applyAlignment="1">
      <alignment horizontal="center" vertical="center"/>
    </xf>
    <xf numFmtId="0" fontId="6" fillId="5" borderId="45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0" fillId="0" borderId="55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5" fillId="3" borderId="43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16" fillId="0" borderId="55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6" fillId="0" borderId="47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4" fillId="9" borderId="52" xfId="0" applyFont="1" applyFill="1" applyBorder="1" applyAlignment="1">
      <alignment horizontal="center" vertical="center" wrapText="1"/>
    </xf>
    <xf numFmtId="0" fontId="4" fillId="9" borderId="25" xfId="0" applyFont="1" applyFill="1" applyBorder="1" applyAlignment="1">
      <alignment horizontal="center" vertical="center" wrapText="1"/>
    </xf>
    <xf numFmtId="0" fontId="4" fillId="9" borderId="36" xfId="0" applyFont="1" applyFill="1" applyBorder="1" applyAlignment="1">
      <alignment horizontal="center" vertical="center" wrapText="1"/>
    </xf>
    <xf numFmtId="0" fontId="4" fillId="9" borderId="5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32" xfId="0" applyFont="1" applyFill="1" applyBorder="1" applyAlignment="1">
      <alignment horizontal="center" vertical="center" wrapText="1"/>
    </xf>
    <xf numFmtId="0" fontId="4" fillId="9" borderId="54" xfId="0" applyFont="1" applyFill="1" applyBorder="1" applyAlignment="1">
      <alignment horizontal="center" vertical="center" wrapText="1"/>
    </xf>
    <xf numFmtId="0" fontId="4" fillId="9" borderId="47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3" fillId="9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2" fillId="8" borderId="3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2" fillId="8" borderId="36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3" fillId="0" borderId="7" xfId="0" applyFont="1" applyBorder="1">
      <alignment vertical="center"/>
    </xf>
    <xf numFmtId="0" fontId="13" fillId="0" borderId="11" xfId="0" applyFont="1" applyBorder="1">
      <alignment vertical="center"/>
    </xf>
    <xf numFmtId="0" fontId="13" fillId="0" borderId="9" xfId="0" applyFont="1" applyBorder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9" fillId="0" borderId="3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0" fillId="0" borderId="31" xfId="0" applyBorder="1" applyAlignment="1">
      <alignment horizontal="center" vertical="center"/>
    </xf>
    <xf numFmtId="0" fontId="19" fillId="0" borderId="0" xfId="0" applyFont="1">
      <alignment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3" fillId="10" borderId="60" xfId="0" applyFont="1" applyFill="1" applyBorder="1" applyAlignment="1">
      <alignment horizontal="left" vertical="center" wrapText="1"/>
    </xf>
    <xf numFmtId="0" fontId="3" fillId="10" borderId="61" xfId="0" applyFont="1" applyFill="1" applyBorder="1" applyAlignment="1">
      <alignment horizontal="center" vertical="center" wrapText="1"/>
    </xf>
    <xf numFmtId="0" fontId="3" fillId="10" borderId="38" xfId="0" applyFont="1" applyFill="1" applyBorder="1" applyAlignment="1">
      <alignment horizontal="center" vertical="center" wrapText="1"/>
    </xf>
    <xf numFmtId="0" fontId="3" fillId="10" borderId="56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10" borderId="19" xfId="0" applyFont="1" applyFill="1" applyBorder="1" applyAlignment="1">
      <alignment horizontal="center" vertical="center" wrapText="1"/>
    </xf>
    <xf numFmtId="0" fontId="3" fillId="10" borderId="51" xfId="0" applyFont="1" applyFill="1" applyBorder="1" applyAlignment="1">
      <alignment horizontal="center" vertical="center" wrapText="1"/>
    </xf>
    <xf numFmtId="0" fontId="3" fillId="10" borderId="62" xfId="0" applyFont="1" applyFill="1" applyBorder="1" applyAlignment="1">
      <alignment horizontal="center" vertical="center" wrapText="1"/>
    </xf>
    <xf numFmtId="0" fontId="3" fillId="10" borderId="63" xfId="0" applyFont="1" applyFill="1" applyBorder="1" applyAlignment="1">
      <alignment horizontal="left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10" borderId="55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5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64" xfId="0" applyFont="1" applyFill="1" applyBorder="1" applyAlignment="1">
      <alignment horizontal="center" vertical="center" wrapText="1"/>
    </xf>
    <xf numFmtId="0" fontId="3" fillId="10" borderId="39" xfId="0" applyFont="1" applyFill="1" applyBorder="1" applyAlignment="1">
      <alignment horizontal="center" vertical="center" wrapText="1"/>
    </xf>
    <xf numFmtId="0" fontId="3" fillId="10" borderId="53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left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4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63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65" xfId="0" applyFont="1" applyFill="1" applyBorder="1" applyAlignment="1">
      <alignment horizontal="center" vertical="center" wrapText="1"/>
    </xf>
    <xf numFmtId="0" fontId="3" fillId="10" borderId="37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0" fontId="3" fillId="10" borderId="52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5" fillId="10" borderId="34" xfId="0" applyFont="1" applyFill="1" applyBorder="1" applyAlignment="1">
      <alignment horizontal="center" vertical="center" wrapText="1"/>
    </xf>
    <xf numFmtId="0" fontId="5" fillId="10" borderId="30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53" xfId="0" applyFont="1" applyFill="1" applyBorder="1" applyAlignment="1">
      <alignment horizontal="center" vertical="center" wrapText="1"/>
    </xf>
    <xf numFmtId="0" fontId="5" fillId="11" borderId="28" xfId="0" applyFont="1" applyFill="1" applyBorder="1" applyAlignment="1">
      <alignment horizontal="center" vertical="center" wrapText="1"/>
    </xf>
    <xf numFmtId="0" fontId="5" fillId="11" borderId="66" xfId="0" applyFont="1" applyFill="1" applyBorder="1" applyAlignment="1">
      <alignment horizontal="center" vertical="center" wrapText="1"/>
    </xf>
    <xf numFmtId="0" fontId="5" fillId="10" borderId="3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5" fillId="10" borderId="47" xfId="0" applyFont="1" applyFill="1" applyBorder="1" applyAlignment="1">
      <alignment horizontal="center" vertical="center" wrapText="1"/>
    </xf>
    <xf numFmtId="0" fontId="5" fillId="10" borderId="54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9" fillId="10" borderId="52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20" fillId="0" borderId="56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3" fontId="20" fillId="0" borderId="21" xfId="0" applyNumberFormat="1" applyFont="1" applyBorder="1" applyAlignment="1">
      <alignment horizontal="center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53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3" fontId="20" fillId="0" borderId="20" xfId="0" applyNumberFormat="1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left" vertical="center" wrapText="1"/>
    </xf>
    <xf numFmtId="0" fontId="20" fillId="0" borderId="49" xfId="0" applyFont="1" applyBorder="1" applyAlignment="1">
      <alignment horizontal="left" vertical="center" wrapText="1"/>
    </xf>
    <xf numFmtId="0" fontId="20" fillId="0" borderId="55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0" fillId="10" borderId="34" xfId="0" applyFont="1" applyFill="1" applyBorder="1" applyAlignment="1">
      <alignment horizontal="left" vertical="center" wrapText="1"/>
    </xf>
    <xf numFmtId="0" fontId="20" fillId="10" borderId="30" xfId="0" applyFont="1" applyFill="1" applyBorder="1" applyAlignment="1">
      <alignment horizontal="left" vertical="center" wrapText="1"/>
    </xf>
    <xf numFmtId="0" fontId="20" fillId="10" borderId="33" xfId="0" applyFont="1" applyFill="1" applyBorder="1" applyAlignment="1">
      <alignment horizontal="left" vertical="center" wrapText="1"/>
    </xf>
    <xf numFmtId="0" fontId="20" fillId="10" borderId="32" xfId="0" applyFont="1" applyFill="1" applyBorder="1" applyAlignment="1">
      <alignment horizontal="left" vertical="center" wrapText="1"/>
    </xf>
    <xf numFmtId="0" fontId="20" fillId="10" borderId="0" xfId="0" applyFont="1" applyFill="1" applyAlignment="1">
      <alignment horizontal="left" vertical="center" wrapText="1"/>
    </xf>
    <xf numFmtId="0" fontId="20" fillId="10" borderId="31" xfId="0" applyFont="1" applyFill="1" applyBorder="1" applyAlignment="1">
      <alignment horizontal="left" vertical="center" wrapText="1"/>
    </xf>
    <xf numFmtId="0" fontId="20" fillId="10" borderId="36" xfId="0" applyFont="1" applyFill="1" applyBorder="1" applyAlignment="1">
      <alignment horizontal="left" vertical="center" wrapText="1"/>
    </xf>
    <xf numFmtId="0" fontId="20" fillId="10" borderId="25" xfId="0" applyFont="1" applyFill="1" applyBorder="1" applyAlignment="1">
      <alignment horizontal="left" vertical="center" wrapText="1"/>
    </xf>
    <xf numFmtId="0" fontId="20" fillId="10" borderId="35" xfId="0" applyFont="1" applyFill="1" applyBorder="1" applyAlignment="1">
      <alignment horizontal="left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0" fillId="7" borderId="19" xfId="0" applyFont="1" applyFill="1" applyBorder="1" applyAlignment="1">
      <alignment horizontal="center" vertical="center"/>
    </xf>
    <xf numFmtId="0" fontId="20" fillId="7" borderId="51" xfId="0" applyFont="1" applyFill="1" applyBorder="1" applyAlignment="1">
      <alignment horizontal="center" vertical="center"/>
    </xf>
    <xf numFmtId="0" fontId="20" fillId="7" borderId="21" xfId="0" applyFont="1" applyFill="1" applyBorder="1" applyAlignment="1">
      <alignment horizontal="center" vertical="center"/>
    </xf>
    <xf numFmtId="0" fontId="20" fillId="7" borderId="11" xfId="0" applyFont="1" applyFill="1" applyBorder="1" applyAlignment="1">
      <alignment horizontal="center" vertical="center"/>
    </xf>
    <xf numFmtId="0" fontId="20" fillId="7" borderId="67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20" fillId="7" borderId="20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0" fillId="7" borderId="68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0" fillId="7" borderId="54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0" fillId="7" borderId="13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22" xfId="0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0" fontId="20" fillId="10" borderId="60" xfId="0" applyFont="1" applyFill="1" applyBorder="1" applyAlignment="1">
      <alignment horizontal="center" vertical="center" wrapText="1"/>
    </xf>
    <xf numFmtId="0" fontId="18" fillId="10" borderId="61" xfId="0" applyFont="1" applyFill="1" applyBorder="1" applyAlignment="1">
      <alignment horizontal="center" vertical="center" wrapText="1"/>
    </xf>
    <xf numFmtId="0" fontId="3" fillId="10" borderId="67" xfId="0" applyFont="1" applyFill="1" applyBorder="1" applyAlignment="1">
      <alignment horizontal="center" vertical="center" wrapText="1"/>
    </xf>
    <xf numFmtId="0" fontId="20" fillId="10" borderId="21" xfId="0" applyFont="1" applyFill="1" applyBorder="1" applyAlignment="1">
      <alignment horizontal="center" vertical="center"/>
    </xf>
    <xf numFmtId="0" fontId="20" fillId="10" borderId="11" xfId="0" quotePrefix="1" applyFont="1" applyFill="1" applyBorder="1" applyAlignment="1">
      <alignment horizontal="center" vertical="center"/>
    </xf>
    <xf numFmtId="0" fontId="21" fillId="10" borderId="51" xfId="0" applyFont="1" applyFill="1" applyBorder="1" applyAlignment="1">
      <alignment horizontal="center" vertical="center"/>
    </xf>
    <xf numFmtId="0" fontId="21" fillId="10" borderId="21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/>
    </xf>
    <xf numFmtId="0" fontId="20" fillId="10" borderId="15" xfId="0" applyFont="1" applyFill="1" applyBorder="1" applyAlignment="1">
      <alignment horizontal="center" vertical="center"/>
    </xf>
    <xf numFmtId="0" fontId="20" fillId="12" borderId="70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0" fillId="10" borderId="63" xfId="0" applyFont="1" applyFill="1" applyBorder="1" applyAlignment="1">
      <alignment horizontal="center" vertical="center" wrapText="1"/>
    </xf>
    <xf numFmtId="0" fontId="18" fillId="10" borderId="64" xfId="0" applyFont="1" applyFill="1" applyBorder="1" applyAlignment="1">
      <alignment horizontal="center" vertical="center" wrapText="1"/>
    </xf>
    <xf numFmtId="0" fontId="3" fillId="10" borderId="68" xfId="0" applyFont="1" applyFill="1" applyBorder="1" applyAlignment="1">
      <alignment horizontal="center" vertical="center" wrapText="1"/>
    </xf>
    <xf numFmtId="0" fontId="20" fillId="10" borderId="28" xfId="0" applyFont="1" applyFill="1" applyBorder="1" applyAlignment="1">
      <alignment horizontal="center" vertical="center"/>
    </xf>
    <xf numFmtId="0" fontId="20" fillId="10" borderId="27" xfId="0" applyFont="1" applyFill="1" applyBorder="1" applyAlignment="1">
      <alignment horizontal="center" vertical="center"/>
    </xf>
    <xf numFmtId="0" fontId="20" fillId="12" borderId="7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0" fillId="10" borderId="26" xfId="0" applyFont="1" applyFill="1" applyBorder="1" applyAlignment="1">
      <alignment horizontal="center" vertical="center" wrapText="1"/>
    </xf>
    <xf numFmtId="0" fontId="18" fillId="10" borderId="28" xfId="0" applyFont="1" applyFill="1" applyBorder="1" applyAlignment="1">
      <alignment horizontal="center" vertical="center" wrapText="1"/>
    </xf>
    <xf numFmtId="0" fontId="3" fillId="10" borderId="66" xfId="0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1" fillId="10" borderId="29" xfId="0" applyFont="1" applyFill="1" applyBorder="1" applyAlignment="1">
      <alignment horizontal="left" vertical="center" wrapText="1"/>
    </xf>
    <xf numFmtId="0" fontId="21" fillId="10" borderId="49" xfId="0" applyFont="1" applyFill="1" applyBorder="1" applyAlignment="1">
      <alignment horizontal="left" vertical="center" wrapText="1"/>
    </xf>
    <xf numFmtId="0" fontId="21" fillId="10" borderId="58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0" fillId="10" borderId="68" xfId="0" applyFont="1" applyFill="1" applyBorder="1" applyAlignment="1">
      <alignment horizontal="center" vertical="center" wrapText="1"/>
    </xf>
    <xf numFmtId="0" fontId="20" fillId="10" borderId="66" xfId="0" applyFont="1" applyFill="1" applyBorder="1" applyAlignment="1">
      <alignment horizontal="center" vertical="center" wrapText="1"/>
    </xf>
    <xf numFmtId="0" fontId="20" fillId="10" borderId="32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horizontal="left" vertical="center" wrapText="1"/>
    </xf>
    <xf numFmtId="0" fontId="22" fillId="10" borderId="31" xfId="0" applyFont="1" applyFill="1" applyBorder="1" applyAlignment="1">
      <alignment horizontal="left" vertical="center" wrapText="1"/>
    </xf>
    <xf numFmtId="0" fontId="21" fillId="10" borderId="34" xfId="0" applyFont="1" applyFill="1" applyBorder="1" applyAlignment="1">
      <alignment horizontal="center" vertical="center" wrapText="1"/>
    </xf>
    <xf numFmtId="0" fontId="20" fillId="10" borderId="38" xfId="0" applyFont="1" applyFill="1" applyBorder="1" applyAlignment="1">
      <alignment horizontal="center" vertical="center" wrapText="1"/>
    </xf>
    <xf numFmtId="0" fontId="20" fillId="10" borderId="33" xfId="0" applyFont="1" applyFill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37" xfId="0" applyFont="1" applyFill="1" applyBorder="1" applyAlignment="1">
      <alignment horizontal="center" vertical="center" wrapText="1"/>
    </xf>
    <xf numFmtId="0" fontId="20" fillId="10" borderId="35" xfId="0" applyFont="1" applyFill="1" applyBorder="1" applyAlignment="1">
      <alignment horizontal="center" vertical="center" wrapText="1"/>
    </xf>
    <xf numFmtId="0" fontId="20" fillId="10" borderId="26" xfId="0" applyFont="1" applyFill="1" applyBorder="1" applyAlignment="1">
      <alignment horizontal="center" vertical="center" wrapText="1"/>
    </xf>
    <xf numFmtId="0" fontId="20" fillId="10" borderId="6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20" fillId="12" borderId="72" xfId="0" applyFont="1" applyFill="1" applyBorder="1" applyAlignment="1">
      <alignment horizontal="center" vertical="center"/>
    </xf>
    <xf numFmtId="0" fontId="20" fillId="6" borderId="20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71" xfId="0" applyFont="1" applyFill="1" applyBorder="1" applyAlignment="1">
      <alignment horizontal="center" vertical="center"/>
    </xf>
    <xf numFmtId="0" fontId="22" fillId="10" borderId="32" xfId="0" applyFont="1" applyFill="1" applyBorder="1" applyAlignment="1">
      <alignment horizontal="left" vertical="center" wrapText="1"/>
    </xf>
    <xf numFmtId="0" fontId="20" fillId="13" borderId="20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14" borderId="73" xfId="0" applyFont="1" applyFill="1" applyBorder="1" applyAlignment="1">
      <alignment horizontal="center" vertical="center"/>
    </xf>
    <xf numFmtId="0" fontId="20" fillId="14" borderId="74" xfId="0" applyFont="1" applyFill="1" applyBorder="1" applyAlignment="1">
      <alignment horizontal="center" vertical="center"/>
    </xf>
    <xf numFmtId="0" fontId="21" fillId="10" borderId="36" xfId="0" applyFont="1" applyFill="1" applyBorder="1" applyAlignment="1">
      <alignment horizontal="left" vertical="center" wrapText="1"/>
    </xf>
    <xf numFmtId="0" fontId="21" fillId="10" borderId="25" xfId="0" applyFont="1" applyFill="1" applyBorder="1" applyAlignment="1">
      <alignment horizontal="left" vertical="center" wrapText="1"/>
    </xf>
    <xf numFmtId="0" fontId="21" fillId="10" borderId="35" xfId="0" applyFont="1" applyFill="1" applyBorder="1" applyAlignment="1">
      <alignment horizontal="left" vertical="center" wrapText="1"/>
    </xf>
    <xf numFmtId="0" fontId="20" fillId="15" borderId="75" xfId="0" applyFont="1" applyFill="1" applyBorder="1" applyAlignment="1">
      <alignment horizontal="center" vertical="center" wrapText="1"/>
    </xf>
    <xf numFmtId="0" fontId="20" fillId="15" borderId="76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 wrapText="1"/>
    </xf>
    <xf numFmtId="0" fontId="20" fillId="14" borderId="77" xfId="0" applyFont="1" applyFill="1" applyBorder="1" applyAlignment="1">
      <alignment horizontal="center" vertical="center"/>
    </xf>
    <xf numFmtId="176" fontId="20" fillId="10" borderId="1" xfId="0" applyNumberFormat="1" applyFont="1" applyFill="1" applyBorder="1" applyAlignment="1">
      <alignment horizontal="center" vertical="center"/>
    </xf>
    <xf numFmtId="0" fontId="5" fillId="10" borderId="55" xfId="0" applyFont="1" applyFill="1" applyBorder="1" applyAlignment="1">
      <alignment horizontal="center" vertical="center" wrapText="1"/>
    </xf>
    <xf numFmtId="0" fontId="5" fillId="10" borderId="27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163286</xdr:colOff>
      <xdr:row>69</xdr:row>
      <xdr:rowOff>81642</xdr:rowOff>
    </xdr:from>
    <xdr:ext cx="7418295" cy="1916206"/>
    <xdr:pic>
      <xdr:nvPicPr>
        <xdr:cNvPr id="2" name="그림 1">
          <a:extLst>
            <a:ext uri="{FF2B5EF4-FFF2-40B4-BE49-F238E27FC236}">
              <a16:creationId xmlns:a16="http://schemas.microsoft.com/office/drawing/2014/main" id="{999E7A8C-7D8B-4473-BF2E-E41DA5A3C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4886" y="14540592"/>
          <a:ext cx="7418295" cy="19162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BT63"/>
  <sheetViews>
    <sheetView tabSelected="1" topLeftCell="C1" zoomScaleNormal="100" workbookViewId="0">
      <selection activeCell="AJ8" sqref="AJ8:AK8"/>
    </sheetView>
  </sheetViews>
  <sheetFormatPr defaultRowHeight="16.5" x14ac:dyDescent="0.3"/>
  <cols>
    <col min="2" max="2" width="9" customWidth="1"/>
    <col min="3" max="3" width="1.625" customWidth="1"/>
    <col min="4" max="6" width="8" style="1" customWidth="1"/>
    <col min="7" max="7" width="11.5" style="1" customWidth="1"/>
    <col min="8" max="37" width="6" style="1" customWidth="1"/>
    <col min="38" max="38" width="1.625" customWidth="1"/>
    <col min="41" max="41" width="16.375" bestFit="1" customWidth="1"/>
    <col min="42" max="42" width="25.5" bestFit="1" customWidth="1"/>
    <col min="43" max="72" width="6.25" customWidth="1"/>
  </cols>
  <sheetData>
    <row r="2" spans="3:72" ht="9" customHeight="1" thickBot="1" x14ac:dyDescent="0.35"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</row>
    <row r="3" spans="3:72" ht="16.5" customHeight="1" x14ac:dyDescent="0.3">
      <c r="C3" s="76"/>
      <c r="D3" s="23" t="s">
        <v>24</v>
      </c>
      <c r="E3" s="24"/>
      <c r="F3" s="29" t="s">
        <v>125</v>
      </c>
      <c r="G3" s="30"/>
      <c r="H3" s="55" t="s">
        <v>102</v>
      </c>
      <c r="I3" s="56"/>
      <c r="J3" s="56"/>
      <c r="K3" s="56"/>
      <c r="L3" s="56"/>
      <c r="M3" s="57"/>
      <c r="N3" s="47" t="s">
        <v>103</v>
      </c>
      <c r="O3" s="47"/>
      <c r="P3" s="48"/>
      <c r="Q3" s="48"/>
      <c r="R3" s="48"/>
      <c r="S3" s="49"/>
      <c r="T3" s="64" t="s">
        <v>132</v>
      </c>
      <c r="U3" s="47"/>
      <c r="V3" s="48"/>
      <c r="W3" s="48"/>
      <c r="X3" s="48"/>
      <c r="Y3" s="49"/>
      <c r="Z3" s="64" t="s">
        <v>133</v>
      </c>
      <c r="AA3" s="47"/>
      <c r="AB3" s="48"/>
      <c r="AC3" s="48"/>
      <c r="AD3" s="48"/>
      <c r="AE3" s="49"/>
      <c r="AF3" s="64" t="s">
        <v>134</v>
      </c>
      <c r="AG3" s="47"/>
      <c r="AH3" s="48"/>
      <c r="AI3" s="48"/>
      <c r="AJ3" s="48"/>
      <c r="AK3" s="49"/>
      <c r="AL3" s="76"/>
    </row>
    <row r="4" spans="3:72" ht="17.25" customHeight="1" thickBot="1" x14ac:dyDescent="0.35">
      <c r="C4" s="76"/>
      <c r="D4" s="25"/>
      <c r="E4" s="26"/>
      <c r="F4" s="31"/>
      <c r="G4" s="32"/>
      <c r="H4" s="58"/>
      <c r="I4" s="59"/>
      <c r="J4" s="59"/>
      <c r="K4" s="59"/>
      <c r="L4" s="59"/>
      <c r="M4" s="60"/>
      <c r="N4" s="50"/>
      <c r="O4" s="50"/>
      <c r="P4" s="51"/>
      <c r="Q4" s="51"/>
      <c r="R4" s="51"/>
      <c r="S4" s="52"/>
      <c r="T4" s="65"/>
      <c r="U4" s="50"/>
      <c r="V4" s="51"/>
      <c r="W4" s="51"/>
      <c r="X4" s="51"/>
      <c r="Y4" s="52"/>
      <c r="Z4" s="65"/>
      <c r="AA4" s="50"/>
      <c r="AB4" s="51"/>
      <c r="AC4" s="51"/>
      <c r="AD4" s="51"/>
      <c r="AE4" s="52"/>
      <c r="AF4" s="65"/>
      <c r="AG4" s="50"/>
      <c r="AH4" s="51"/>
      <c r="AI4" s="51"/>
      <c r="AJ4" s="51"/>
      <c r="AK4" s="52"/>
      <c r="AL4" s="76"/>
    </row>
    <row r="5" spans="3:72" ht="16.5" customHeight="1" x14ac:dyDescent="0.3">
      <c r="C5" s="76"/>
      <c r="D5" s="37" t="s">
        <v>6</v>
      </c>
      <c r="E5" s="38"/>
      <c r="F5" s="41" t="s">
        <v>0</v>
      </c>
      <c r="G5" s="42"/>
      <c r="H5" s="54" t="s">
        <v>91</v>
      </c>
      <c r="I5" s="46"/>
      <c r="J5" s="46" t="s">
        <v>1</v>
      </c>
      <c r="K5" s="46"/>
      <c r="L5" s="46" t="s">
        <v>2</v>
      </c>
      <c r="M5" s="53"/>
      <c r="N5" s="54" t="s">
        <v>91</v>
      </c>
      <c r="O5" s="46"/>
      <c r="P5" s="46" t="s">
        <v>1</v>
      </c>
      <c r="Q5" s="46"/>
      <c r="R5" s="46" t="s">
        <v>2</v>
      </c>
      <c r="S5" s="53"/>
      <c r="T5" s="54" t="s">
        <v>91</v>
      </c>
      <c r="U5" s="46"/>
      <c r="V5" s="46" t="s">
        <v>1</v>
      </c>
      <c r="W5" s="46"/>
      <c r="X5" s="46" t="s">
        <v>2</v>
      </c>
      <c r="Y5" s="53"/>
      <c r="Z5" s="54" t="s">
        <v>91</v>
      </c>
      <c r="AA5" s="46"/>
      <c r="AB5" s="46" t="s">
        <v>1</v>
      </c>
      <c r="AC5" s="46"/>
      <c r="AD5" s="46" t="s">
        <v>2</v>
      </c>
      <c r="AE5" s="53"/>
      <c r="AF5" s="54" t="s">
        <v>91</v>
      </c>
      <c r="AG5" s="46"/>
      <c r="AH5" s="46" t="s">
        <v>1</v>
      </c>
      <c r="AI5" s="46"/>
      <c r="AJ5" s="46" t="s">
        <v>2</v>
      </c>
      <c r="AK5" s="53"/>
      <c r="AL5" s="76"/>
      <c r="AQ5" s="63"/>
      <c r="AR5" s="61"/>
      <c r="AS5" s="61"/>
      <c r="AT5" s="61"/>
      <c r="AU5" s="61"/>
      <c r="AV5" s="62"/>
      <c r="AW5" s="63"/>
      <c r="AX5" s="61"/>
      <c r="AY5" s="61"/>
      <c r="AZ5" s="61"/>
      <c r="BA5" s="61"/>
      <c r="BB5" s="62"/>
      <c r="BC5" s="63"/>
      <c r="BD5" s="61"/>
      <c r="BE5" s="61"/>
      <c r="BF5" s="61"/>
      <c r="BG5" s="61"/>
      <c r="BH5" s="62"/>
      <c r="BI5" s="63"/>
      <c r="BJ5" s="61"/>
      <c r="BK5" s="61"/>
      <c r="BL5" s="61"/>
      <c r="BM5" s="61"/>
      <c r="BN5" s="62"/>
      <c r="BO5" s="63"/>
      <c r="BP5" s="61"/>
      <c r="BQ5" s="61"/>
      <c r="BR5" s="61"/>
      <c r="BS5" s="61"/>
      <c r="BT5" s="62"/>
    </row>
    <row r="6" spans="3:72" ht="17.25" customHeight="1" thickBot="1" x14ac:dyDescent="0.35">
      <c r="C6" s="76"/>
      <c r="D6" s="39"/>
      <c r="E6" s="40"/>
      <c r="F6" s="43"/>
      <c r="G6" s="44"/>
      <c r="H6" s="2" t="s">
        <v>3</v>
      </c>
      <c r="I6" s="3" t="s">
        <v>4</v>
      </c>
      <c r="J6" s="2" t="s">
        <v>3</v>
      </c>
      <c r="K6" s="3" t="s">
        <v>4</v>
      </c>
      <c r="L6" s="2" t="s">
        <v>3</v>
      </c>
      <c r="M6" s="6" t="s">
        <v>4</v>
      </c>
      <c r="N6" s="2" t="s">
        <v>3</v>
      </c>
      <c r="O6" s="3" t="s">
        <v>4</v>
      </c>
      <c r="P6" s="2" t="s">
        <v>3</v>
      </c>
      <c r="Q6" s="3" t="s">
        <v>4</v>
      </c>
      <c r="R6" s="2" t="s">
        <v>5</v>
      </c>
      <c r="S6" s="6" t="s">
        <v>4</v>
      </c>
      <c r="T6" s="2" t="s">
        <v>3</v>
      </c>
      <c r="U6" s="3" t="s">
        <v>4</v>
      </c>
      <c r="V6" s="2" t="s">
        <v>3</v>
      </c>
      <c r="W6" s="3" t="s">
        <v>4</v>
      </c>
      <c r="X6" s="4" t="s">
        <v>5</v>
      </c>
      <c r="Y6" s="5" t="s">
        <v>4</v>
      </c>
      <c r="Z6" s="2" t="s">
        <v>3</v>
      </c>
      <c r="AA6" s="3" t="s">
        <v>4</v>
      </c>
      <c r="AB6" s="2" t="s">
        <v>3</v>
      </c>
      <c r="AC6" s="3" t="s">
        <v>4</v>
      </c>
      <c r="AD6" s="2" t="s">
        <v>5</v>
      </c>
      <c r="AE6" s="6" t="s">
        <v>4</v>
      </c>
      <c r="AF6" s="2" t="s">
        <v>3</v>
      </c>
      <c r="AG6" s="3" t="s">
        <v>4</v>
      </c>
      <c r="AH6" s="2" t="s">
        <v>3</v>
      </c>
      <c r="AI6" s="3" t="s">
        <v>4</v>
      </c>
      <c r="AJ6" s="2" t="s">
        <v>5</v>
      </c>
      <c r="AK6" s="6" t="s">
        <v>4</v>
      </c>
      <c r="AL6" s="76"/>
      <c r="AQ6" s="13"/>
      <c r="AV6" s="14"/>
      <c r="AW6" s="13"/>
      <c r="BB6" s="14"/>
      <c r="BC6" s="13"/>
      <c r="BH6" s="14"/>
      <c r="BI6" s="13"/>
      <c r="BN6" s="14"/>
      <c r="BO6" s="13"/>
      <c r="BT6" s="14"/>
    </row>
    <row r="7" spans="3:72" x14ac:dyDescent="0.3">
      <c r="C7" s="76"/>
      <c r="D7" s="33" t="str">
        <f>AO7</f>
        <v>IP16일반</v>
      </c>
      <c r="E7" s="34"/>
      <c r="F7" s="35" t="str">
        <f>AP7</f>
        <v>아이폰16</v>
      </c>
      <c r="G7" s="36"/>
      <c r="H7" s="19">
        <v>30</v>
      </c>
      <c r="I7" s="19">
        <v>30</v>
      </c>
      <c r="J7" s="7">
        <v>20</v>
      </c>
      <c r="K7" s="7">
        <v>20</v>
      </c>
      <c r="L7" s="8">
        <v>15</v>
      </c>
      <c r="M7" s="8">
        <v>15</v>
      </c>
      <c r="N7" s="19">
        <v>30</v>
      </c>
      <c r="O7" s="19">
        <v>30</v>
      </c>
      <c r="P7" s="7">
        <v>20</v>
      </c>
      <c r="Q7" s="7">
        <v>20</v>
      </c>
      <c r="R7" s="8">
        <v>15</v>
      </c>
      <c r="S7" s="8">
        <v>15</v>
      </c>
      <c r="T7" s="19">
        <v>20</v>
      </c>
      <c r="U7" s="19">
        <v>20</v>
      </c>
      <c r="V7" s="7">
        <v>20</v>
      </c>
      <c r="W7" s="7">
        <v>20</v>
      </c>
      <c r="X7" s="8">
        <v>15</v>
      </c>
      <c r="Y7" s="8">
        <v>15</v>
      </c>
      <c r="Z7" s="19">
        <v>20</v>
      </c>
      <c r="AA7" s="19">
        <v>20</v>
      </c>
      <c r="AB7" s="7">
        <v>20</v>
      </c>
      <c r="AC7" s="7">
        <v>20</v>
      </c>
      <c r="AD7" s="8">
        <v>15</v>
      </c>
      <c r="AE7" s="8">
        <v>15</v>
      </c>
      <c r="AF7" s="19">
        <v>20</v>
      </c>
      <c r="AG7" s="19">
        <v>20</v>
      </c>
      <c r="AH7" s="7">
        <v>20</v>
      </c>
      <c r="AI7" s="7">
        <v>20</v>
      </c>
      <c r="AJ7" s="8">
        <v>15</v>
      </c>
      <c r="AK7" s="8">
        <v>15</v>
      </c>
      <c r="AL7" s="76"/>
      <c r="AO7" t="s">
        <v>7</v>
      </c>
      <c r="AP7" t="s">
        <v>128</v>
      </c>
      <c r="AQ7" s="13"/>
      <c r="AV7" s="14"/>
      <c r="AW7" s="13"/>
      <c r="BB7" s="14"/>
      <c r="BC7" s="13"/>
      <c r="BH7" s="14"/>
      <c r="BI7" s="13"/>
      <c r="BN7" s="14"/>
      <c r="BO7" s="13"/>
      <c r="BT7" s="14"/>
    </row>
    <row r="8" spans="3:72" x14ac:dyDescent="0.3">
      <c r="C8" s="76"/>
      <c r="D8" s="33" t="str">
        <f>AO8</f>
        <v>IP16P / IP16PM</v>
      </c>
      <c r="E8" s="34"/>
      <c r="F8" s="35" t="str">
        <f>AP8</f>
        <v>아이폰16P/PM</v>
      </c>
      <c r="G8" s="36"/>
      <c r="H8" s="19">
        <v>30</v>
      </c>
      <c r="I8" s="19">
        <v>30</v>
      </c>
      <c r="J8" s="7">
        <v>20</v>
      </c>
      <c r="K8" s="7">
        <v>20</v>
      </c>
      <c r="L8" s="8">
        <v>15</v>
      </c>
      <c r="M8" s="8">
        <v>15</v>
      </c>
      <c r="N8" s="19">
        <v>30</v>
      </c>
      <c r="O8" s="19">
        <v>30</v>
      </c>
      <c r="P8" s="7">
        <v>20</v>
      </c>
      <c r="Q8" s="7">
        <v>20</v>
      </c>
      <c r="R8" s="8">
        <v>15</v>
      </c>
      <c r="S8" s="8">
        <v>15</v>
      </c>
      <c r="T8" s="19">
        <v>20</v>
      </c>
      <c r="U8" s="19">
        <v>20</v>
      </c>
      <c r="V8" s="7">
        <v>20</v>
      </c>
      <c r="W8" s="7">
        <v>20</v>
      </c>
      <c r="X8" s="8">
        <v>15</v>
      </c>
      <c r="Y8" s="8">
        <v>15</v>
      </c>
      <c r="Z8" s="19">
        <v>20</v>
      </c>
      <c r="AA8" s="19">
        <v>20</v>
      </c>
      <c r="AB8" s="7">
        <v>20</v>
      </c>
      <c r="AC8" s="7">
        <v>20</v>
      </c>
      <c r="AD8" s="8">
        <v>15</v>
      </c>
      <c r="AE8" s="8">
        <v>15</v>
      </c>
      <c r="AF8" s="19">
        <v>20</v>
      </c>
      <c r="AG8" s="19">
        <v>20</v>
      </c>
      <c r="AH8" s="7">
        <v>20</v>
      </c>
      <c r="AI8" s="7">
        <v>20</v>
      </c>
      <c r="AJ8" s="8">
        <v>15</v>
      </c>
      <c r="AK8" s="8">
        <v>15</v>
      </c>
      <c r="AL8" s="76"/>
      <c r="AO8" t="s">
        <v>8</v>
      </c>
      <c r="AP8" t="s">
        <v>126</v>
      </c>
      <c r="AQ8" s="13"/>
      <c r="AV8" s="14"/>
      <c r="AW8" s="13"/>
      <c r="BB8" s="14"/>
      <c r="BC8" s="13"/>
      <c r="BH8" s="14"/>
      <c r="BI8" s="13"/>
      <c r="BN8" s="14"/>
      <c r="BO8" s="13"/>
      <c r="BT8" s="14"/>
    </row>
    <row r="9" spans="3:72" x14ac:dyDescent="0.3">
      <c r="C9" s="76"/>
      <c r="D9" s="27" t="str">
        <f t="shared" ref="D9:D24" si="0">AO9</f>
        <v>IP17일반</v>
      </c>
      <c r="E9" s="28"/>
      <c r="F9" s="28" t="str">
        <f t="shared" ref="F9:F24" si="1">AP9</f>
        <v>아이폰17</v>
      </c>
      <c r="G9" s="45"/>
      <c r="H9" s="19">
        <v>30</v>
      </c>
      <c r="I9" s="19">
        <v>30</v>
      </c>
      <c r="J9" s="7">
        <v>20</v>
      </c>
      <c r="K9" s="7">
        <v>20</v>
      </c>
      <c r="L9" s="8">
        <v>15</v>
      </c>
      <c r="M9" s="8">
        <v>15</v>
      </c>
      <c r="N9" s="19">
        <v>30</v>
      </c>
      <c r="O9" s="19">
        <v>30</v>
      </c>
      <c r="P9" s="7">
        <v>20</v>
      </c>
      <c r="Q9" s="7">
        <v>20</v>
      </c>
      <c r="R9" s="8">
        <v>15</v>
      </c>
      <c r="S9" s="8">
        <v>15</v>
      </c>
      <c r="T9" s="19">
        <v>20</v>
      </c>
      <c r="U9" s="19">
        <v>20</v>
      </c>
      <c r="V9" s="7">
        <v>20</v>
      </c>
      <c r="W9" s="7">
        <v>20</v>
      </c>
      <c r="X9" s="8">
        <v>15</v>
      </c>
      <c r="Y9" s="8">
        <v>15</v>
      </c>
      <c r="Z9" s="19">
        <v>20</v>
      </c>
      <c r="AA9" s="19">
        <v>20</v>
      </c>
      <c r="AB9" s="7">
        <v>20</v>
      </c>
      <c r="AC9" s="7">
        <v>20</v>
      </c>
      <c r="AD9" s="8">
        <v>15</v>
      </c>
      <c r="AE9" s="8">
        <v>15</v>
      </c>
      <c r="AF9" s="19">
        <v>20</v>
      </c>
      <c r="AG9" s="19">
        <v>20</v>
      </c>
      <c r="AH9" s="7">
        <v>20</v>
      </c>
      <c r="AI9" s="7">
        <v>20</v>
      </c>
      <c r="AJ9" s="8">
        <v>15</v>
      </c>
      <c r="AK9" s="8">
        <v>15</v>
      </c>
      <c r="AL9" s="76"/>
      <c r="AO9" t="s">
        <v>9</v>
      </c>
      <c r="AP9" t="s">
        <v>127</v>
      </c>
      <c r="AQ9" s="13"/>
      <c r="AV9" s="14"/>
      <c r="AW9" s="13"/>
      <c r="BB9" s="14"/>
      <c r="BC9" s="13"/>
      <c r="BH9" s="14"/>
      <c r="BI9" s="13"/>
      <c r="BN9" s="14"/>
      <c r="BO9" s="13"/>
      <c r="BT9" s="14"/>
    </row>
    <row r="10" spans="3:72" x14ac:dyDescent="0.3">
      <c r="C10" s="76"/>
      <c r="D10" s="27" t="str">
        <f t="shared" si="0"/>
        <v>IP17P</v>
      </c>
      <c r="E10" s="28"/>
      <c r="F10" s="28" t="str">
        <f t="shared" si="1"/>
        <v>아이폰17프로</v>
      </c>
      <c r="G10" s="45"/>
      <c r="H10" s="19">
        <v>30</v>
      </c>
      <c r="I10" s="19">
        <v>30</v>
      </c>
      <c r="J10" s="7">
        <v>20</v>
      </c>
      <c r="K10" s="7">
        <v>20</v>
      </c>
      <c r="L10" s="8">
        <v>15</v>
      </c>
      <c r="M10" s="8">
        <v>15</v>
      </c>
      <c r="N10" s="19">
        <v>30</v>
      </c>
      <c r="O10" s="19">
        <v>30</v>
      </c>
      <c r="P10" s="7">
        <v>20</v>
      </c>
      <c r="Q10" s="7">
        <v>20</v>
      </c>
      <c r="R10" s="8">
        <v>15</v>
      </c>
      <c r="S10" s="8">
        <v>15</v>
      </c>
      <c r="T10" s="19">
        <v>20</v>
      </c>
      <c r="U10" s="19">
        <v>20</v>
      </c>
      <c r="V10" s="7">
        <v>20</v>
      </c>
      <c r="W10" s="7">
        <v>20</v>
      </c>
      <c r="X10" s="8">
        <v>15</v>
      </c>
      <c r="Y10" s="8">
        <v>15</v>
      </c>
      <c r="Z10" s="19">
        <v>20</v>
      </c>
      <c r="AA10" s="19">
        <v>20</v>
      </c>
      <c r="AB10" s="7">
        <v>20</v>
      </c>
      <c r="AC10" s="7">
        <v>20</v>
      </c>
      <c r="AD10" s="8">
        <v>15</v>
      </c>
      <c r="AE10" s="8">
        <v>15</v>
      </c>
      <c r="AF10" s="19">
        <v>20</v>
      </c>
      <c r="AG10" s="19">
        <v>20</v>
      </c>
      <c r="AH10" s="7">
        <v>20</v>
      </c>
      <c r="AI10" s="7">
        <v>20</v>
      </c>
      <c r="AJ10" s="8">
        <v>15</v>
      </c>
      <c r="AK10" s="8">
        <v>15</v>
      </c>
      <c r="AL10" s="76"/>
      <c r="AO10" t="s">
        <v>10</v>
      </c>
      <c r="AP10" t="s">
        <v>11</v>
      </c>
      <c r="AQ10" s="13"/>
      <c r="AV10" s="14"/>
      <c r="AW10" s="13"/>
      <c r="BB10" s="14"/>
      <c r="BC10" s="13"/>
      <c r="BH10" s="14"/>
      <c r="BI10" s="13"/>
      <c r="BN10" s="14"/>
      <c r="BO10" s="13"/>
      <c r="BT10" s="14"/>
    </row>
    <row r="11" spans="3:72" x14ac:dyDescent="0.3">
      <c r="C11" s="76"/>
      <c r="D11" s="27" t="str">
        <f t="shared" si="0"/>
        <v>IP17PM</v>
      </c>
      <c r="E11" s="28"/>
      <c r="F11" s="28" t="str">
        <f t="shared" si="1"/>
        <v>아이폰17프로맥스</v>
      </c>
      <c r="G11" s="45"/>
      <c r="H11" s="19">
        <v>30</v>
      </c>
      <c r="I11" s="19">
        <v>30</v>
      </c>
      <c r="J11" s="7">
        <v>20</v>
      </c>
      <c r="K11" s="7">
        <v>20</v>
      </c>
      <c r="L11" s="8">
        <v>15</v>
      </c>
      <c r="M11" s="8">
        <v>15</v>
      </c>
      <c r="N11" s="19">
        <v>30</v>
      </c>
      <c r="O11" s="19">
        <v>30</v>
      </c>
      <c r="P11" s="7">
        <v>20</v>
      </c>
      <c r="Q11" s="7">
        <v>20</v>
      </c>
      <c r="R11" s="8">
        <v>15</v>
      </c>
      <c r="S11" s="8">
        <v>15</v>
      </c>
      <c r="T11" s="19">
        <v>20</v>
      </c>
      <c r="U11" s="19">
        <v>20</v>
      </c>
      <c r="V11" s="7">
        <v>20</v>
      </c>
      <c r="W11" s="7">
        <v>20</v>
      </c>
      <c r="X11" s="8">
        <v>15</v>
      </c>
      <c r="Y11" s="8">
        <v>15</v>
      </c>
      <c r="Z11" s="19">
        <v>20</v>
      </c>
      <c r="AA11" s="19">
        <v>20</v>
      </c>
      <c r="AB11" s="7">
        <v>20</v>
      </c>
      <c r="AC11" s="7">
        <v>20</v>
      </c>
      <c r="AD11" s="8">
        <v>15</v>
      </c>
      <c r="AE11" s="8">
        <v>15</v>
      </c>
      <c r="AF11" s="19">
        <v>20</v>
      </c>
      <c r="AG11" s="19">
        <v>20</v>
      </c>
      <c r="AH11" s="7">
        <v>20</v>
      </c>
      <c r="AI11" s="7">
        <v>20</v>
      </c>
      <c r="AJ11" s="8">
        <v>15</v>
      </c>
      <c r="AK11" s="8">
        <v>15</v>
      </c>
      <c r="AL11" s="76"/>
      <c r="AO11" t="s">
        <v>12</v>
      </c>
      <c r="AP11" t="s">
        <v>13</v>
      </c>
      <c r="AQ11" s="13"/>
      <c r="AV11" s="14"/>
      <c r="AW11" s="13"/>
      <c r="BB11" s="14"/>
      <c r="BC11" s="13"/>
      <c r="BH11" s="14"/>
      <c r="BI11" s="13"/>
      <c r="BN11" s="14"/>
      <c r="BO11" s="13"/>
      <c r="BT11" s="14"/>
    </row>
    <row r="12" spans="3:72" x14ac:dyDescent="0.3">
      <c r="C12" s="76"/>
      <c r="D12" s="27" t="str">
        <f t="shared" si="0"/>
        <v>IPA</v>
      </c>
      <c r="E12" s="28"/>
      <c r="F12" s="28" t="str">
        <f t="shared" si="1"/>
        <v>아이폰 에어</v>
      </c>
      <c r="G12" s="45"/>
      <c r="H12" s="19">
        <v>30</v>
      </c>
      <c r="I12" s="19">
        <v>30</v>
      </c>
      <c r="J12" s="7">
        <v>20</v>
      </c>
      <c r="K12" s="7">
        <v>20</v>
      </c>
      <c r="L12" s="8">
        <v>15</v>
      </c>
      <c r="M12" s="8">
        <v>15</v>
      </c>
      <c r="N12" s="19">
        <v>30</v>
      </c>
      <c r="O12" s="19">
        <v>30</v>
      </c>
      <c r="P12" s="7">
        <v>20</v>
      </c>
      <c r="Q12" s="7">
        <v>20</v>
      </c>
      <c r="R12" s="8">
        <v>15</v>
      </c>
      <c r="S12" s="8">
        <v>15</v>
      </c>
      <c r="T12" s="19">
        <v>20</v>
      </c>
      <c r="U12" s="19">
        <v>20</v>
      </c>
      <c r="V12" s="7">
        <v>20</v>
      </c>
      <c r="W12" s="7">
        <v>20</v>
      </c>
      <c r="X12" s="8">
        <v>15</v>
      </c>
      <c r="Y12" s="8">
        <v>15</v>
      </c>
      <c r="Z12" s="19">
        <v>20</v>
      </c>
      <c r="AA12" s="19">
        <v>20</v>
      </c>
      <c r="AB12" s="7">
        <v>20</v>
      </c>
      <c r="AC12" s="7">
        <v>20</v>
      </c>
      <c r="AD12" s="8">
        <v>15</v>
      </c>
      <c r="AE12" s="8">
        <v>15</v>
      </c>
      <c r="AF12" s="19">
        <v>20</v>
      </c>
      <c r="AG12" s="19">
        <v>20</v>
      </c>
      <c r="AH12" s="7">
        <v>20</v>
      </c>
      <c r="AI12" s="7">
        <v>20</v>
      </c>
      <c r="AJ12" s="8">
        <v>15</v>
      </c>
      <c r="AK12" s="8">
        <v>15</v>
      </c>
      <c r="AL12" s="76"/>
      <c r="AO12" t="s">
        <v>14</v>
      </c>
      <c r="AP12" t="s">
        <v>15</v>
      </c>
      <c r="AQ12" s="13"/>
      <c r="AV12" s="14"/>
      <c r="AW12" s="13"/>
      <c r="BB12" s="14"/>
      <c r="BC12" s="13"/>
      <c r="BH12" s="14"/>
      <c r="BI12" s="13"/>
      <c r="BN12" s="14"/>
      <c r="BO12" s="13"/>
      <c r="BT12" s="14"/>
    </row>
    <row r="13" spans="3:72" x14ac:dyDescent="0.3">
      <c r="C13" s="76"/>
      <c r="D13" s="20" t="str">
        <f t="shared" ref="D13:D15" si="2">AO13</f>
        <v>SM-F776N</v>
      </c>
      <c r="E13" s="21"/>
      <c r="F13" s="21" t="str">
        <f t="shared" ref="F13:F15" si="3">AP13</f>
        <v>갤럭시 플립8</v>
      </c>
      <c r="G13" s="22"/>
      <c r="H13" s="19">
        <v>30</v>
      </c>
      <c r="I13" s="19">
        <v>30</v>
      </c>
      <c r="J13" s="7">
        <v>20</v>
      </c>
      <c r="K13" s="7">
        <v>20</v>
      </c>
      <c r="L13" s="8">
        <v>15</v>
      </c>
      <c r="M13" s="8">
        <v>15</v>
      </c>
      <c r="N13" s="19">
        <v>30</v>
      </c>
      <c r="O13" s="19">
        <v>30</v>
      </c>
      <c r="P13" s="7">
        <v>20</v>
      </c>
      <c r="Q13" s="7">
        <v>20</v>
      </c>
      <c r="R13" s="8">
        <v>15</v>
      </c>
      <c r="S13" s="8">
        <v>15</v>
      </c>
      <c r="T13" s="19">
        <v>20</v>
      </c>
      <c r="U13" s="19">
        <v>20</v>
      </c>
      <c r="V13" s="7">
        <v>20</v>
      </c>
      <c r="W13" s="7">
        <v>20</v>
      </c>
      <c r="X13" s="8">
        <v>15</v>
      </c>
      <c r="Y13" s="8">
        <v>15</v>
      </c>
      <c r="Z13" s="19">
        <v>20</v>
      </c>
      <c r="AA13" s="19">
        <v>20</v>
      </c>
      <c r="AB13" s="7">
        <v>20</v>
      </c>
      <c r="AC13" s="7">
        <v>20</v>
      </c>
      <c r="AD13" s="8">
        <v>15</v>
      </c>
      <c r="AE13" s="8">
        <v>15</v>
      </c>
      <c r="AF13" s="19">
        <v>20</v>
      </c>
      <c r="AG13" s="19">
        <v>20</v>
      </c>
      <c r="AH13" s="7">
        <v>20</v>
      </c>
      <c r="AI13" s="7">
        <v>20</v>
      </c>
      <c r="AJ13" s="8">
        <v>15</v>
      </c>
      <c r="AK13" s="8">
        <v>15</v>
      </c>
      <c r="AL13" s="76"/>
      <c r="AO13" t="s">
        <v>114</v>
      </c>
      <c r="AP13" t="s">
        <v>115</v>
      </c>
      <c r="AQ13" s="13"/>
      <c r="AV13" s="14"/>
      <c r="AW13" s="13"/>
      <c r="BB13" s="14"/>
      <c r="BC13" s="13"/>
      <c r="BH13" s="14"/>
      <c r="BI13" s="13"/>
      <c r="BN13" s="14"/>
      <c r="BO13" s="13"/>
      <c r="BT13" s="14"/>
    </row>
    <row r="14" spans="3:72" x14ac:dyDescent="0.3">
      <c r="C14" s="76"/>
      <c r="D14" s="20" t="str">
        <f t="shared" si="2"/>
        <v>SM-F971N</v>
      </c>
      <c r="E14" s="21"/>
      <c r="F14" s="21" t="str">
        <f t="shared" si="3"/>
        <v>갤럭시 폴드8</v>
      </c>
      <c r="G14" s="22"/>
      <c r="H14" s="19">
        <v>30</v>
      </c>
      <c r="I14" s="19">
        <v>30</v>
      </c>
      <c r="J14" s="7">
        <v>20</v>
      </c>
      <c r="K14" s="7">
        <v>20</v>
      </c>
      <c r="L14" s="8">
        <v>15</v>
      </c>
      <c r="M14" s="8">
        <v>15</v>
      </c>
      <c r="N14" s="19">
        <v>30</v>
      </c>
      <c r="O14" s="19">
        <v>30</v>
      </c>
      <c r="P14" s="7">
        <v>20</v>
      </c>
      <c r="Q14" s="7">
        <v>20</v>
      </c>
      <c r="R14" s="8">
        <v>15</v>
      </c>
      <c r="S14" s="8">
        <v>15</v>
      </c>
      <c r="T14" s="19">
        <v>20</v>
      </c>
      <c r="U14" s="19">
        <v>20</v>
      </c>
      <c r="V14" s="7">
        <v>20</v>
      </c>
      <c r="W14" s="7">
        <v>20</v>
      </c>
      <c r="X14" s="8">
        <v>15</v>
      </c>
      <c r="Y14" s="8">
        <v>15</v>
      </c>
      <c r="Z14" s="19">
        <v>20</v>
      </c>
      <c r="AA14" s="19">
        <v>20</v>
      </c>
      <c r="AB14" s="7">
        <v>20</v>
      </c>
      <c r="AC14" s="7">
        <v>20</v>
      </c>
      <c r="AD14" s="8">
        <v>15</v>
      </c>
      <c r="AE14" s="8">
        <v>15</v>
      </c>
      <c r="AF14" s="19">
        <v>20</v>
      </c>
      <c r="AG14" s="19">
        <v>20</v>
      </c>
      <c r="AH14" s="7">
        <v>20</v>
      </c>
      <c r="AI14" s="7">
        <v>20</v>
      </c>
      <c r="AJ14" s="8">
        <v>15</v>
      </c>
      <c r="AK14" s="8">
        <v>15</v>
      </c>
      <c r="AL14" s="76"/>
      <c r="AO14" t="s">
        <v>116</v>
      </c>
      <c r="AP14" t="s">
        <v>117</v>
      </c>
      <c r="AQ14" s="13"/>
      <c r="AV14" s="14"/>
      <c r="AW14" s="13"/>
      <c r="BB14" s="14"/>
      <c r="BC14" s="13"/>
      <c r="BH14" s="14"/>
      <c r="BI14" s="13"/>
      <c r="BN14" s="14"/>
      <c r="BO14" s="13"/>
      <c r="BT14" s="14"/>
    </row>
    <row r="15" spans="3:72" x14ac:dyDescent="0.3">
      <c r="C15" s="76"/>
      <c r="D15" s="20" t="str">
        <f t="shared" si="2"/>
        <v>SM-F976N</v>
      </c>
      <c r="E15" s="21"/>
      <c r="F15" s="21" t="str">
        <f t="shared" si="3"/>
        <v>갤럭시 폴드8 Ultra</v>
      </c>
      <c r="G15" s="22"/>
      <c r="H15" s="19">
        <v>30</v>
      </c>
      <c r="I15" s="19">
        <v>30</v>
      </c>
      <c r="J15" s="7">
        <v>20</v>
      </c>
      <c r="K15" s="7">
        <v>20</v>
      </c>
      <c r="L15" s="8">
        <v>15</v>
      </c>
      <c r="M15" s="8">
        <v>15</v>
      </c>
      <c r="N15" s="19">
        <v>30</v>
      </c>
      <c r="O15" s="19">
        <v>30</v>
      </c>
      <c r="P15" s="7">
        <v>20</v>
      </c>
      <c r="Q15" s="7">
        <v>20</v>
      </c>
      <c r="R15" s="8">
        <v>15</v>
      </c>
      <c r="S15" s="8">
        <v>15</v>
      </c>
      <c r="T15" s="19">
        <v>20</v>
      </c>
      <c r="U15" s="19">
        <v>20</v>
      </c>
      <c r="V15" s="7">
        <v>20</v>
      </c>
      <c r="W15" s="7">
        <v>20</v>
      </c>
      <c r="X15" s="8">
        <v>15</v>
      </c>
      <c r="Y15" s="8">
        <v>15</v>
      </c>
      <c r="Z15" s="19">
        <v>20</v>
      </c>
      <c r="AA15" s="19">
        <v>20</v>
      </c>
      <c r="AB15" s="7">
        <v>20</v>
      </c>
      <c r="AC15" s="7">
        <v>20</v>
      </c>
      <c r="AD15" s="8">
        <v>15</v>
      </c>
      <c r="AE15" s="8">
        <v>15</v>
      </c>
      <c r="AF15" s="19">
        <v>20</v>
      </c>
      <c r="AG15" s="19">
        <v>20</v>
      </c>
      <c r="AH15" s="7">
        <v>20</v>
      </c>
      <c r="AI15" s="7">
        <v>20</v>
      </c>
      <c r="AJ15" s="8">
        <v>15</v>
      </c>
      <c r="AK15" s="8">
        <v>15</v>
      </c>
      <c r="AL15" s="76"/>
      <c r="AO15" t="s">
        <v>118</v>
      </c>
      <c r="AP15" t="s">
        <v>120</v>
      </c>
      <c r="AQ15" s="13"/>
      <c r="AV15" s="14"/>
      <c r="AW15" s="13"/>
      <c r="BB15" s="14"/>
      <c r="BC15" s="13"/>
      <c r="BH15" s="14"/>
      <c r="BI15" s="13"/>
      <c r="BN15" s="14"/>
      <c r="BO15" s="13"/>
      <c r="BT15" s="14"/>
    </row>
    <row r="16" spans="3:72" x14ac:dyDescent="0.3">
      <c r="C16" s="76"/>
      <c r="D16" s="27" t="str">
        <f t="shared" si="0"/>
        <v>SM-S942</v>
      </c>
      <c r="E16" s="28"/>
      <c r="F16" s="28" t="str">
        <f t="shared" si="1"/>
        <v>갤럭시S26</v>
      </c>
      <c r="G16" s="45"/>
      <c r="H16" s="19">
        <v>30</v>
      </c>
      <c r="I16" s="19">
        <v>30</v>
      </c>
      <c r="J16" s="7">
        <v>20</v>
      </c>
      <c r="K16" s="7">
        <v>20</v>
      </c>
      <c r="L16" s="8">
        <v>15</v>
      </c>
      <c r="M16" s="8">
        <v>15</v>
      </c>
      <c r="N16" s="19">
        <v>30</v>
      </c>
      <c r="O16" s="19">
        <v>30</v>
      </c>
      <c r="P16" s="7">
        <v>20</v>
      </c>
      <c r="Q16" s="7">
        <v>20</v>
      </c>
      <c r="R16" s="8">
        <v>15</v>
      </c>
      <c r="S16" s="8">
        <v>15</v>
      </c>
      <c r="T16" s="19">
        <v>20</v>
      </c>
      <c r="U16" s="19">
        <v>20</v>
      </c>
      <c r="V16" s="7">
        <v>20</v>
      </c>
      <c r="W16" s="7">
        <v>20</v>
      </c>
      <c r="X16" s="8">
        <v>15</v>
      </c>
      <c r="Y16" s="8">
        <v>15</v>
      </c>
      <c r="Z16" s="19">
        <v>20</v>
      </c>
      <c r="AA16" s="19">
        <v>20</v>
      </c>
      <c r="AB16" s="7">
        <v>20</v>
      </c>
      <c r="AC16" s="7">
        <v>20</v>
      </c>
      <c r="AD16" s="8">
        <v>15</v>
      </c>
      <c r="AE16" s="8">
        <v>15</v>
      </c>
      <c r="AF16" s="19">
        <v>20</v>
      </c>
      <c r="AG16" s="19">
        <v>20</v>
      </c>
      <c r="AH16" s="7">
        <v>20</v>
      </c>
      <c r="AI16" s="7">
        <v>20</v>
      </c>
      <c r="AJ16" s="8">
        <v>15</v>
      </c>
      <c r="AK16" s="8">
        <v>15</v>
      </c>
      <c r="AL16" s="76"/>
      <c r="AO16" t="s">
        <v>93</v>
      </c>
      <c r="AP16" t="s">
        <v>98</v>
      </c>
      <c r="AQ16" s="13"/>
      <c r="AV16" s="14"/>
      <c r="AW16" s="13"/>
      <c r="BB16" s="14"/>
      <c r="BC16" s="13"/>
      <c r="BH16" s="14"/>
      <c r="BI16" s="13"/>
      <c r="BN16" s="14"/>
      <c r="BO16" s="13"/>
      <c r="BT16" s="14"/>
    </row>
    <row r="17" spans="3:72" x14ac:dyDescent="0.3">
      <c r="C17" s="76"/>
      <c r="D17" s="27" t="str">
        <f t="shared" si="0"/>
        <v>SM-S947</v>
      </c>
      <c r="E17" s="28"/>
      <c r="F17" s="28" t="str">
        <f t="shared" si="1"/>
        <v>갤럭시 S26 플러스</v>
      </c>
      <c r="G17" s="45"/>
      <c r="H17" s="19">
        <v>30</v>
      </c>
      <c r="I17" s="19">
        <v>30</v>
      </c>
      <c r="J17" s="7">
        <v>20</v>
      </c>
      <c r="K17" s="7">
        <v>20</v>
      </c>
      <c r="L17" s="8">
        <v>15</v>
      </c>
      <c r="M17" s="8">
        <v>15</v>
      </c>
      <c r="N17" s="19">
        <v>30</v>
      </c>
      <c r="O17" s="19">
        <v>30</v>
      </c>
      <c r="P17" s="7">
        <v>20</v>
      </c>
      <c r="Q17" s="7">
        <v>20</v>
      </c>
      <c r="R17" s="8">
        <v>15</v>
      </c>
      <c r="S17" s="8">
        <v>15</v>
      </c>
      <c r="T17" s="19">
        <v>20</v>
      </c>
      <c r="U17" s="19">
        <v>20</v>
      </c>
      <c r="V17" s="7">
        <v>20</v>
      </c>
      <c r="W17" s="7">
        <v>20</v>
      </c>
      <c r="X17" s="8">
        <v>15</v>
      </c>
      <c r="Y17" s="8">
        <v>15</v>
      </c>
      <c r="Z17" s="19">
        <v>20</v>
      </c>
      <c r="AA17" s="19">
        <v>20</v>
      </c>
      <c r="AB17" s="7">
        <v>20</v>
      </c>
      <c r="AC17" s="7">
        <v>20</v>
      </c>
      <c r="AD17" s="8">
        <v>15</v>
      </c>
      <c r="AE17" s="8">
        <v>15</v>
      </c>
      <c r="AF17" s="19">
        <v>20</v>
      </c>
      <c r="AG17" s="19">
        <v>20</v>
      </c>
      <c r="AH17" s="7">
        <v>20</v>
      </c>
      <c r="AI17" s="7">
        <v>20</v>
      </c>
      <c r="AJ17" s="8">
        <v>15</v>
      </c>
      <c r="AK17" s="8">
        <v>15</v>
      </c>
      <c r="AL17" s="76"/>
      <c r="AO17" t="s">
        <v>94</v>
      </c>
      <c r="AP17" t="s">
        <v>101</v>
      </c>
      <c r="AQ17" s="13"/>
      <c r="AV17" s="14"/>
      <c r="AW17" s="13"/>
      <c r="BB17" s="14"/>
      <c r="BC17" s="13"/>
      <c r="BH17" s="14"/>
      <c r="BI17" s="13"/>
      <c r="BN17" s="14"/>
      <c r="BO17" s="13"/>
      <c r="BT17" s="14"/>
    </row>
    <row r="18" spans="3:72" x14ac:dyDescent="0.3">
      <c r="C18" s="76"/>
      <c r="D18" s="27" t="str">
        <f t="shared" si="0"/>
        <v>SM-S948</v>
      </c>
      <c r="E18" s="28"/>
      <c r="F18" s="28" t="str">
        <f t="shared" si="1"/>
        <v>갤럭시 S26 Ultra</v>
      </c>
      <c r="G18" s="45"/>
      <c r="H18" s="19">
        <v>30</v>
      </c>
      <c r="I18" s="19">
        <v>30</v>
      </c>
      <c r="J18" s="7">
        <v>20</v>
      </c>
      <c r="K18" s="7">
        <v>20</v>
      </c>
      <c r="L18" s="8">
        <v>15</v>
      </c>
      <c r="M18" s="8">
        <v>15</v>
      </c>
      <c r="N18" s="19">
        <v>30</v>
      </c>
      <c r="O18" s="19">
        <v>30</v>
      </c>
      <c r="P18" s="7">
        <v>20</v>
      </c>
      <c r="Q18" s="7">
        <v>20</v>
      </c>
      <c r="R18" s="8">
        <v>15</v>
      </c>
      <c r="S18" s="8">
        <v>15</v>
      </c>
      <c r="T18" s="19">
        <v>20</v>
      </c>
      <c r="U18" s="19">
        <v>20</v>
      </c>
      <c r="V18" s="7">
        <v>20</v>
      </c>
      <c r="W18" s="7">
        <v>20</v>
      </c>
      <c r="X18" s="8">
        <v>15</v>
      </c>
      <c r="Y18" s="8">
        <v>15</v>
      </c>
      <c r="Z18" s="19">
        <v>20</v>
      </c>
      <c r="AA18" s="19">
        <v>20</v>
      </c>
      <c r="AB18" s="7">
        <v>20</v>
      </c>
      <c r="AC18" s="7">
        <v>20</v>
      </c>
      <c r="AD18" s="8">
        <v>15</v>
      </c>
      <c r="AE18" s="8">
        <v>15</v>
      </c>
      <c r="AF18" s="19">
        <v>20</v>
      </c>
      <c r="AG18" s="19">
        <v>20</v>
      </c>
      <c r="AH18" s="7">
        <v>20</v>
      </c>
      <c r="AI18" s="7">
        <v>20</v>
      </c>
      <c r="AJ18" s="8">
        <v>15</v>
      </c>
      <c r="AK18" s="8">
        <v>15</v>
      </c>
      <c r="AL18" s="76"/>
      <c r="AO18" t="s">
        <v>95</v>
      </c>
      <c r="AP18" t="s">
        <v>121</v>
      </c>
      <c r="AQ18" s="13"/>
      <c r="AV18" s="14"/>
      <c r="AW18" s="13"/>
      <c r="BB18" s="14"/>
      <c r="BC18" s="13"/>
      <c r="BH18" s="14"/>
      <c r="BI18" s="13"/>
      <c r="BN18" s="14"/>
      <c r="BO18" s="13"/>
      <c r="BT18" s="14"/>
    </row>
    <row r="19" spans="3:72" x14ac:dyDescent="0.3">
      <c r="C19" s="76"/>
      <c r="D19" s="27" t="str">
        <f t="shared" si="0"/>
        <v>SM-S942_512G</v>
      </c>
      <c r="E19" s="28"/>
      <c r="F19" s="28" t="str">
        <f t="shared" si="1"/>
        <v>갤럭시S26 512G</v>
      </c>
      <c r="G19" s="45"/>
      <c r="H19" s="19">
        <v>30</v>
      </c>
      <c r="I19" s="19">
        <v>30</v>
      </c>
      <c r="J19" s="7">
        <v>20</v>
      </c>
      <c r="K19" s="7">
        <v>20</v>
      </c>
      <c r="L19" s="8">
        <v>15</v>
      </c>
      <c r="M19" s="8">
        <v>15</v>
      </c>
      <c r="N19" s="19">
        <v>30</v>
      </c>
      <c r="O19" s="19">
        <v>30</v>
      </c>
      <c r="P19" s="7">
        <v>20</v>
      </c>
      <c r="Q19" s="7">
        <v>20</v>
      </c>
      <c r="R19" s="8">
        <v>15</v>
      </c>
      <c r="S19" s="8">
        <v>15</v>
      </c>
      <c r="T19" s="19">
        <v>20</v>
      </c>
      <c r="U19" s="19">
        <v>20</v>
      </c>
      <c r="V19" s="7">
        <v>20</v>
      </c>
      <c r="W19" s="7">
        <v>20</v>
      </c>
      <c r="X19" s="8">
        <v>15</v>
      </c>
      <c r="Y19" s="8">
        <v>15</v>
      </c>
      <c r="Z19" s="19">
        <v>20</v>
      </c>
      <c r="AA19" s="19">
        <v>20</v>
      </c>
      <c r="AB19" s="7">
        <v>20</v>
      </c>
      <c r="AC19" s="7">
        <v>20</v>
      </c>
      <c r="AD19" s="8">
        <v>15</v>
      </c>
      <c r="AE19" s="8">
        <v>15</v>
      </c>
      <c r="AF19" s="19">
        <v>20</v>
      </c>
      <c r="AG19" s="19">
        <v>20</v>
      </c>
      <c r="AH19" s="7">
        <v>20</v>
      </c>
      <c r="AI19" s="7">
        <v>20</v>
      </c>
      <c r="AJ19" s="8">
        <v>15</v>
      </c>
      <c r="AK19" s="8">
        <v>15</v>
      </c>
      <c r="AL19" s="76"/>
      <c r="AO19" t="s">
        <v>112</v>
      </c>
      <c r="AP19" t="s">
        <v>119</v>
      </c>
      <c r="AQ19" s="13"/>
      <c r="AV19" s="14"/>
      <c r="AW19" s="13"/>
      <c r="BB19" s="14"/>
      <c r="BC19" s="13"/>
      <c r="BH19" s="14"/>
      <c r="BI19" s="13"/>
      <c r="BN19" s="14"/>
      <c r="BO19" s="13"/>
      <c r="BT19" s="14"/>
    </row>
    <row r="20" spans="3:72" x14ac:dyDescent="0.3">
      <c r="C20" s="76"/>
      <c r="D20" s="27" t="str">
        <f t="shared" ref="D20" si="4">AO20</f>
        <v>SM-S947_512G</v>
      </c>
      <c r="E20" s="28"/>
      <c r="F20" s="28" t="str">
        <f t="shared" ref="F20" si="5">AP20</f>
        <v>갤럭시 S26+ 512G</v>
      </c>
      <c r="G20" s="45"/>
      <c r="H20" s="19">
        <v>30</v>
      </c>
      <c r="I20" s="19">
        <v>30</v>
      </c>
      <c r="J20" s="7">
        <v>20</v>
      </c>
      <c r="K20" s="7">
        <v>20</v>
      </c>
      <c r="L20" s="8">
        <v>15</v>
      </c>
      <c r="M20" s="8">
        <v>15</v>
      </c>
      <c r="N20" s="19">
        <v>30</v>
      </c>
      <c r="O20" s="19">
        <v>30</v>
      </c>
      <c r="P20" s="7">
        <v>20</v>
      </c>
      <c r="Q20" s="7">
        <v>20</v>
      </c>
      <c r="R20" s="8">
        <v>15</v>
      </c>
      <c r="S20" s="8">
        <v>15</v>
      </c>
      <c r="T20" s="19">
        <v>20</v>
      </c>
      <c r="U20" s="19">
        <v>20</v>
      </c>
      <c r="V20" s="7">
        <v>20</v>
      </c>
      <c r="W20" s="7">
        <v>20</v>
      </c>
      <c r="X20" s="8">
        <v>15</v>
      </c>
      <c r="Y20" s="8">
        <v>15</v>
      </c>
      <c r="Z20" s="19">
        <v>20</v>
      </c>
      <c r="AA20" s="19">
        <v>20</v>
      </c>
      <c r="AB20" s="7">
        <v>20</v>
      </c>
      <c r="AC20" s="7">
        <v>20</v>
      </c>
      <c r="AD20" s="8">
        <v>15</v>
      </c>
      <c r="AE20" s="8">
        <v>15</v>
      </c>
      <c r="AF20" s="19">
        <v>20</v>
      </c>
      <c r="AG20" s="19">
        <v>20</v>
      </c>
      <c r="AH20" s="7">
        <v>20</v>
      </c>
      <c r="AI20" s="7">
        <v>20</v>
      </c>
      <c r="AJ20" s="8">
        <v>15</v>
      </c>
      <c r="AK20" s="8">
        <v>15</v>
      </c>
      <c r="AL20" s="76"/>
      <c r="AO20" t="s">
        <v>97</v>
      </c>
      <c r="AP20" t="s">
        <v>123</v>
      </c>
      <c r="AQ20" s="13"/>
      <c r="AV20" s="14"/>
      <c r="AW20" s="13"/>
      <c r="BB20" s="14"/>
      <c r="BC20" s="13"/>
      <c r="BH20" s="14"/>
      <c r="BI20" s="13"/>
      <c r="BN20" s="14"/>
      <c r="BO20" s="13"/>
      <c r="BT20" s="14"/>
    </row>
    <row r="21" spans="3:72" x14ac:dyDescent="0.3">
      <c r="C21" s="76"/>
      <c r="D21" s="27" t="str">
        <f t="shared" ref="D21" si="6">AO21</f>
        <v>SM-S948_512G</v>
      </c>
      <c r="E21" s="28"/>
      <c r="F21" s="28" t="str">
        <f t="shared" ref="F21" si="7">AP21</f>
        <v>갤럭시 S26 Ultra 512G</v>
      </c>
      <c r="G21" s="45"/>
      <c r="H21" s="19">
        <v>30</v>
      </c>
      <c r="I21" s="19">
        <v>30</v>
      </c>
      <c r="J21" s="7">
        <v>20</v>
      </c>
      <c r="K21" s="7">
        <v>20</v>
      </c>
      <c r="L21" s="8">
        <v>15</v>
      </c>
      <c r="M21" s="8">
        <v>15</v>
      </c>
      <c r="N21" s="19">
        <v>30</v>
      </c>
      <c r="O21" s="19">
        <v>30</v>
      </c>
      <c r="P21" s="7">
        <v>20</v>
      </c>
      <c r="Q21" s="7">
        <v>20</v>
      </c>
      <c r="R21" s="8">
        <v>15</v>
      </c>
      <c r="S21" s="8">
        <v>15</v>
      </c>
      <c r="T21" s="19">
        <v>20</v>
      </c>
      <c r="U21" s="19">
        <v>20</v>
      </c>
      <c r="V21" s="7">
        <v>20</v>
      </c>
      <c r="W21" s="7">
        <v>20</v>
      </c>
      <c r="X21" s="8">
        <v>15</v>
      </c>
      <c r="Y21" s="8">
        <v>15</v>
      </c>
      <c r="Z21" s="19">
        <v>20</v>
      </c>
      <c r="AA21" s="19">
        <v>20</v>
      </c>
      <c r="AB21" s="7">
        <v>20</v>
      </c>
      <c r="AC21" s="7">
        <v>20</v>
      </c>
      <c r="AD21" s="8">
        <v>15</v>
      </c>
      <c r="AE21" s="8">
        <v>15</v>
      </c>
      <c r="AF21" s="19">
        <v>20</v>
      </c>
      <c r="AG21" s="19">
        <v>20</v>
      </c>
      <c r="AH21" s="7">
        <v>20</v>
      </c>
      <c r="AI21" s="7">
        <v>20</v>
      </c>
      <c r="AJ21" s="8">
        <v>15</v>
      </c>
      <c r="AK21" s="8">
        <v>15</v>
      </c>
      <c r="AL21" s="76"/>
      <c r="AO21" t="s">
        <v>113</v>
      </c>
      <c r="AP21" t="s">
        <v>122</v>
      </c>
      <c r="AQ21" s="13"/>
      <c r="AV21" s="14"/>
      <c r="AW21" s="13"/>
      <c r="BB21" s="14"/>
      <c r="BC21" s="13"/>
      <c r="BH21" s="14"/>
      <c r="BI21" s="13"/>
      <c r="BN21" s="14"/>
      <c r="BO21" s="13"/>
      <c r="BT21" s="14"/>
    </row>
    <row r="22" spans="3:72" x14ac:dyDescent="0.3">
      <c r="C22" s="76"/>
      <c r="D22" s="27" t="str">
        <f t="shared" ref="D22" si="8">AO22</f>
        <v>SM-S931</v>
      </c>
      <c r="E22" s="28"/>
      <c r="F22" s="28" t="str">
        <f t="shared" ref="F22" si="9">AP22</f>
        <v>갤럭시 S25</v>
      </c>
      <c r="G22" s="45"/>
      <c r="H22" s="19">
        <v>30</v>
      </c>
      <c r="I22" s="19">
        <v>30</v>
      </c>
      <c r="J22" s="7">
        <v>20</v>
      </c>
      <c r="K22" s="7">
        <v>20</v>
      </c>
      <c r="L22" s="8">
        <v>15</v>
      </c>
      <c r="M22" s="8">
        <v>15</v>
      </c>
      <c r="N22" s="19">
        <v>30</v>
      </c>
      <c r="O22" s="19">
        <v>30</v>
      </c>
      <c r="P22" s="7">
        <v>20</v>
      </c>
      <c r="Q22" s="7">
        <v>20</v>
      </c>
      <c r="R22" s="8">
        <v>15</v>
      </c>
      <c r="S22" s="8">
        <v>15</v>
      </c>
      <c r="T22" s="19">
        <v>20</v>
      </c>
      <c r="U22" s="19">
        <v>20</v>
      </c>
      <c r="V22" s="7">
        <v>20</v>
      </c>
      <c r="W22" s="7">
        <v>20</v>
      </c>
      <c r="X22" s="8">
        <v>15</v>
      </c>
      <c r="Y22" s="8">
        <v>15</v>
      </c>
      <c r="Z22" s="19">
        <v>20</v>
      </c>
      <c r="AA22" s="19">
        <v>20</v>
      </c>
      <c r="AB22" s="7">
        <v>20</v>
      </c>
      <c r="AC22" s="7">
        <v>20</v>
      </c>
      <c r="AD22" s="8">
        <v>15</v>
      </c>
      <c r="AE22" s="8">
        <v>15</v>
      </c>
      <c r="AF22" s="19">
        <v>20</v>
      </c>
      <c r="AG22" s="19">
        <v>20</v>
      </c>
      <c r="AH22" s="7">
        <v>20</v>
      </c>
      <c r="AI22" s="7">
        <v>20</v>
      </c>
      <c r="AJ22" s="8">
        <v>15</v>
      </c>
      <c r="AK22" s="8">
        <v>15</v>
      </c>
      <c r="AL22" s="76"/>
      <c r="AO22" t="s">
        <v>16</v>
      </c>
      <c r="AP22" t="s">
        <v>87</v>
      </c>
      <c r="AQ22" s="13"/>
      <c r="AV22" s="14"/>
      <c r="AW22" s="13"/>
      <c r="BB22" s="14"/>
      <c r="BC22" s="13"/>
      <c r="BH22" s="14"/>
      <c r="BI22" s="13"/>
      <c r="BN22" s="14"/>
      <c r="BO22" s="13"/>
      <c r="BT22" s="14"/>
    </row>
    <row r="23" spans="3:72" x14ac:dyDescent="0.3">
      <c r="C23" s="76"/>
      <c r="D23" s="27" t="str">
        <f t="shared" si="0"/>
        <v>SM-S936 / S938</v>
      </c>
      <c r="E23" s="28"/>
      <c r="F23" s="28" t="str">
        <f t="shared" si="1"/>
        <v>갤럭시 S25+, Ultra</v>
      </c>
      <c r="G23" s="45"/>
      <c r="H23" s="19">
        <v>30</v>
      </c>
      <c r="I23" s="19">
        <v>30</v>
      </c>
      <c r="J23" s="7">
        <v>20</v>
      </c>
      <c r="K23" s="7">
        <v>20</v>
      </c>
      <c r="L23" s="8">
        <v>15</v>
      </c>
      <c r="M23" s="8">
        <v>15</v>
      </c>
      <c r="N23" s="19">
        <v>30</v>
      </c>
      <c r="O23" s="19">
        <v>30</v>
      </c>
      <c r="P23" s="7">
        <v>20</v>
      </c>
      <c r="Q23" s="7">
        <v>20</v>
      </c>
      <c r="R23" s="8">
        <v>15</v>
      </c>
      <c r="S23" s="8">
        <v>15</v>
      </c>
      <c r="T23" s="19">
        <v>20</v>
      </c>
      <c r="U23" s="19">
        <v>20</v>
      </c>
      <c r="V23" s="7">
        <v>20</v>
      </c>
      <c r="W23" s="7">
        <v>20</v>
      </c>
      <c r="X23" s="8">
        <v>15</v>
      </c>
      <c r="Y23" s="8">
        <v>15</v>
      </c>
      <c r="Z23" s="19">
        <v>20</v>
      </c>
      <c r="AA23" s="19">
        <v>20</v>
      </c>
      <c r="AB23" s="7">
        <v>20</v>
      </c>
      <c r="AC23" s="7">
        <v>20</v>
      </c>
      <c r="AD23" s="8">
        <v>15</v>
      </c>
      <c r="AE23" s="8">
        <v>15</v>
      </c>
      <c r="AF23" s="19">
        <v>20</v>
      </c>
      <c r="AG23" s="19">
        <v>20</v>
      </c>
      <c r="AH23" s="7">
        <v>20</v>
      </c>
      <c r="AI23" s="7">
        <v>20</v>
      </c>
      <c r="AJ23" s="8">
        <v>15</v>
      </c>
      <c r="AK23" s="8">
        <v>15</v>
      </c>
      <c r="AL23" s="76"/>
      <c r="AO23" t="s">
        <v>17</v>
      </c>
      <c r="AP23" t="s">
        <v>124</v>
      </c>
      <c r="AQ23" s="13"/>
      <c r="AV23" s="14"/>
      <c r="AW23" s="13"/>
      <c r="BB23" s="14"/>
      <c r="BC23" s="13"/>
      <c r="BH23" s="14"/>
      <c r="BI23" s="13"/>
      <c r="BN23" s="14"/>
      <c r="BO23" s="13"/>
      <c r="BT23" s="14"/>
    </row>
    <row r="24" spans="3:72" hidden="1" x14ac:dyDescent="0.3">
      <c r="C24" s="76"/>
      <c r="D24" s="27" t="str">
        <f t="shared" si="0"/>
        <v>SM-M166</v>
      </c>
      <c r="E24" s="28"/>
      <c r="F24" s="28" t="str">
        <f t="shared" si="1"/>
        <v>갤럭시 Wide 8</v>
      </c>
      <c r="G24" s="45"/>
      <c r="H24" s="19">
        <v>30</v>
      </c>
      <c r="I24" s="19">
        <v>30</v>
      </c>
      <c r="J24" s="7">
        <v>20</v>
      </c>
      <c r="K24" s="7">
        <v>20</v>
      </c>
      <c r="L24" s="9">
        <f t="shared" ref="L7:L25" si="10">AU24-5</f>
        <v>-5</v>
      </c>
      <c r="M24" s="10">
        <f t="shared" ref="M7:M25" si="11">AV24-5</f>
        <v>-5</v>
      </c>
      <c r="N24" s="19">
        <v>30</v>
      </c>
      <c r="O24" s="19">
        <v>30</v>
      </c>
      <c r="P24" s="7">
        <v>20</v>
      </c>
      <c r="Q24" s="7">
        <v>20</v>
      </c>
      <c r="R24" s="8">
        <v>15</v>
      </c>
      <c r="S24" s="8">
        <v>15</v>
      </c>
      <c r="T24" s="19">
        <v>20</v>
      </c>
      <c r="U24" s="19">
        <v>20</v>
      </c>
      <c r="V24" s="7">
        <v>20</v>
      </c>
      <c r="W24" s="7">
        <v>20</v>
      </c>
      <c r="X24" s="8">
        <v>15</v>
      </c>
      <c r="Y24" s="8">
        <v>15</v>
      </c>
      <c r="Z24" s="19">
        <v>20</v>
      </c>
      <c r="AA24" s="19">
        <v>20</v>
      </c>
      <c r="AB24" s="7">
        <v>20</v>
      </c>
      <c r="AC24" s="7">
        <v>20</v>
      </c>
      <c r="AD24" s="8">
        <v>15</v>
      </c>
      <c r="AE24" s="8">
        <v>15</v>
      </c>
      <c r="AF24" s="19">
        <v>20</v>
      </c>
      <c r="AG24" s="19">
        <v>20</v>
      </c>
      <c r="AH24" s="7">
        <v>20</v>
      </c>
      <c r="AI24" s="7">
        <v>20</v>
      </c>
      <c r="AJ24" s="8">
        <v>15</v>
      </c>
      <c r="AK24" s="8">
        <v>15</v>
      </c>
      <c r="AL24" s="76"/>
      <c r="AO24" t="s">
        <v>96</v>
      </c>
      <c r="AP24" t="s">
        <v>88</v>
      </c>
      <c r="AQ24" s="13"/>
      <c r="AV24" s="14"/>
      <c r="AW24" s="13"/>
      <c r="BB24" s="14"/>
      <c r="BC24" s="13"/>
      <c r="BH24" s="14"/>
      <c r="BI24" s="13"/>
      <c r="BN24" s="14"/>
      <c r="BO24" s="13"/>
      <c r="BT24" s="14"/>
    </row>
    <row r="25" spans="3:72" ht="17.25" thickBot="1" x14ac:dyDescent="0.35">
      <c r="C25" s="76"/>
      <c r="D25" s="33" t="str">
        <f t="shared" ref="D25" si="12">AO25</f>
        <v>SM-M166</v>
      </c>
      <c r="E25" s="34"/>
      <c r="F25" s="35" t="str">
        <f t="shared" ref="F25" si="13">AP25</f>
        <v>갤럭시 Wide 8</v>
      </c>
      <c r="G25" s="36"/>
      <c r="H25" s="19">
        <v>30</v>
      </c>
      <c r="I25" s="19">
        <v>30</v>
      </c>
      <c r="J25" s="7">
        <v>20</v>
      </c>
      <c r="K25" s="7">
        <v>20</v>
      </c>
      <c r="L25" s="8">
        <v>15</v>
      </c>
      <c r="M25" s="8">
        <v>15</v>
      </c>
      <c r="N25" s="19">
        <v>30</v>
      </c>
      <c r="O25" s="19">
        <v>30</v>
      </c>
      <c r="P25" s="7">
        <v>20</v>
      </c>
      <c r="Q25" s="7">
        <v>20</v>
      </c>
      <c r="R25" s="8">
        <v>15</v>
      </c>
      <c r="S25" s="8">
        <v>15</v>
      </c>
      <c r="T25" s="19">
        <v>20</v>
      </c>
      <c r="U25" s="19">
        <v>20</v>
      </c>
      <c r="V25" s="7">
        <v>20</v>
      </c>
      <c r="W25" s="7">
        <v>20</v>
      </c>
      <c r="X25" s="8">
        <v>15</v>
      </c>
      <c r="Y25" s="8">
        <v>15</v>
      </c>
      <c r="Z25" s="19">
        <v>20</v>
      </c>
      <c r="AA25" s="19">
        <v>20</v>
      </c>
      <c r="AB25" s="7">
        <v>20</v>
      </c>
      <c r="AC25" s="7">
        <v>20</v>
      </c>
      <c r="AD25" s="8">
        <v>15</v>
      </c>
      <c r="AE25" s="8">
        <v>15</v>
      </c>
      <c r="AF25" s="19">
        <v>20</v>
      </c>
      <c r="AG25" s="19">
        <v>20</v>
      </c>
      <c r="AH25" s="7">
        <v>20</v>
      </c>
      <c r="AI25" s="7">
        <v>20</v>
      </c>
      <c r="AJ25" s="8">
        <v>15</v>
      </c>
      <c r="AK25" s="8">
        <v>15</v>
      </c>
      <c r="AL25" s="76"/>
      <c r="AO25" t="s">
        <v>96</v>
      </c>
      <c r="AP25" t="s">
        <v>88</v>
      </c>
      <c r="AQ25" s="15"/>
      <c r="AR25" s="16"/>
      <c r="AS25" s="16"/>
      <c r="AT25" s="16"/>
      <c r="AU25" s="16"/>
      <c r="AV25" s="17"/>
      <c r="AW25" s="15"/>
      <c r="AX25" s="16"/>
      <c r="AY25" s="16"/>
      <c r="AZ25" s="16"/>
      <c r="BA25" s="16"/>
      <c r="BB25" s="17"/>
      <c r="BC25" s="15"/>
      <c r="BD25" s="16"/>
      <c r="BE25" s="16"/>
      <c r="BF25" s="16"/>
      <c r="BG25" s="16"/>
      <c r="BH25" s="17"/>
      <c r="BI25" s="15"/>
      <c r="BJ25" s="16"/>
      <c r="BK25" s="16"/>
      <c r="BL25" s="16"/>
      <c r="BM25" s="16"/>
      <c r="BN25" s="17"/>
      <c r="BO25" s="15"/>
      <c r="BP25" s="16"/>
      <c r="BQ25" s="16"/>
      <c r="BR25" s="16"/>
      <c r="BS25" s="16"/>
      <c r="BT25" s="17"/>
    </row>
    <row r="26" spans="3:72" ht="16.5" customHeight="1" thickBot="1" x14ac:dyDescent="0.35">
      <c r="C26" s="76"/>
      <c r="D26" s="87" t="s">
        <v>80</v>
      </c>
      <c r="E26" s="88"/>
      <c r="F26" s="88"/>
      <c r="G26" s="89"/>
      <c r="H26" s="228" t="s">
        <v>81</v>
      </c>
      <c r="I26" s="229"/>
      <c r="J26" s="229"/>
      <c r="K26" s="229"/>
      <c r="L26" s="229"/>
      <c r="M26" s="230"/>
      <c r="N26" s="66" t="s">
        <v>84</v>
      </c>
      <c r="O26" s="67"/>
      <c r="P26" s="68"/>
      <c r="Q26" s="68"/>
      <c r="R26" s="68"/>
      <c r="S26" s="69"/>
      <c r="T26" s="66" t="s">
        <v>82</v>
      </c>
      <c r="U26" s="67"/>
      <c r="V26" s="68"/>
      <c r="W26" s="68"/>
      <c r="X26" s="68"/>
      <c r="Y26" s="69"/>
      <c r="Z26" s="74" t="s">
        <v>83</v>
      </c>
      <c r="AA26" s="75"/>
      <c r="AB26" s="68"/>
      <c r="AC26" s="68"/>
      <c r="AD26" s="68"/>
      <c r="AE26" s="69"/>
      <c r="AF26" s="66" t="s">
        <v>85</v>
      </c>
      <c r="AG26" s="67"/>
      <c r="AH26" s="68"/>
      <c r="AI26" s="68"/>
      <c r="AJ26" s="68"/>
      <c r="AK26" s="69"/>
      <c r="AL26" s="76"/>
    </row>
    <row r="27" spans="3:72" ht="17.25" customHeight="1" thickBot="1" x14ac:dyDescent="0.35">
      <c r="C27" s="76"/>
      <c r="D27" s="77" t="s">
        <v>6</v>
      </c>
      <c r="E27" s="78"/>
      <c r="F27" s="83" t="s">
        <v>0</v>
      </c>
      <c r="G27" s="84"/>
      <c r="H27" s="231"/>
      <c r="I27" s="232"/>
      <c r="J27" s="232"/>
      <c r="K27" s="232"/>
      <c r="L27" s="232"/>
      <c r="M27" s="233"/>
      <c r="N27" s="70"/>
      <c r="O27" s="71"/>
      <c r="P27" s="72"/>
      <c r="Q27" s="72"/>
      <c r="R27" s="72"/>
      <c r="S27" s="73"/>
      <c r="T27" s="70"/>
      <c r="U27" s="71"/>
      <c r="V27" s="72"/>
      <c r="W27" s="72"/>
      <c r="X27" s="72"/>
      <c r="Y27" s="73"/>
      <c r="Z27" s="70"/>
      <c r="AA27" s="71"/>
      <c r="AB27" s="72"/>
      <c r="AC27" s="72"/>
      <c r="AD27" s="72"/>
      <c r="AE27" s="73"/>
      <c r="AF27" s="70"/>
      <c r="AG27" s="71"/>
      <c r="AH27" s="72"/>
      <c r="AI27" s="72"/>
      <c r="AJ27" s="72"/>
      <c r="AK27" s="73"/>
      <c r="AL27" s="76"/>
    </row>
    <row r="28" spans="3:72" ht="16.5" customHeight="1" x14ac:dyDescent="0.3">
      <c r="C28" s="76"/>
      <c r="D28" s="79"/>
      <c r="E28" s="80"/>
      <c r="F28" s="83"/>
      <c r="G28" s="84"/>
      <c r="H28" s="54" t="s">
        <v>91</v>
      </c>
      <c r="I28" s="46"/>
      <c r="J28" s="46" t="s">
        <v>1</v>
      </c>
      <c r="K28" s="46"/>
      <c r="L28" s="46" t="s">
        <v>2</v>
      </c>
      <c r="M28" s="53"/>
      <c r="N28" s="54" t="s">
        <v>91</v>
      </c>
      <c r="O28" s="46"/>
      <c r="P28" s="46" t="s">
        <v>1</v>
      </c>
      <c r="Q28" s="46"/>
      <c r="R28" s="46" t="s">
        <v>2</v>
      </c>
      <c r="S28" s="53"/>
      <c r="T28" s="54" t="s">
        <v>91</v>
      </c>
      <c r="U28" s="46"/>
      <c r="V28" s="46" t="s">
        <v>1</v>
      </c>
      <c r="W28" s="46"/>
      <c r="X28" s="46" t="s">
        <v>2</v>
      </c>
      <c r="Y28" s="53"/>
      <c r="Z28" s="54" t="s">
        <v>91</v>
      </c>
      <c r="AA28" s="46"/>
      <c r="AB28" s="46" t="s">
        <v>1</v>
      </c>
      <c r="AC28" s="46"/>
      <c r="AD28" s="46" t="s">
        <v>2</v>
      </c>
      <c r="AE28" s="53"/>
      <c r="AF28" s="54" t="s">
        <v>91</v>
      </c>
      <c r="AG28" s="46"/>
      <c r="AH28" s="46" t="s">
        <v>1</v>
      </c>
      <c r="AI28" s="46"/>
      <c r="AJ28" s="46" t="s">
        <v>2</v>
      </c>
      <c r="AK28" s="53"/>
      <c r="AL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</row>
    <row r="29" spans="3:72" ht="17.25" customHeight="1" thickBot="1" x14ac:dyDescent="0.35">
      <c r="C29" s="76"/>
      <c r="D29" s="81"/>
      <c r="E29" s="82"/>
      <c r="F29" s="85"/>
      <c r="G29" s="86"/>
      <c r="H29" s="2" t="s">
        <v>3</v>
      </c>
      <c r="I29" s="3" t="s">
        <v>4</v>
      </c>
      <c r="J29" s="2" t="s">
        <v>3</v>
      </c>
      <c r="K29" s="3" t="s">
        <v>4</v>
      </c>
      <c r="L29" s="4" t="s">
        <v>5</v>
      </c>
      <c r="M29" s="5" t="s">
        <v>4</v>
      </c>
      <c r="N29" s="2" t="s">
        <v>3</v>
      </c>
      <c r="O29" s="3" t="s">
        <v>4</v>
      </c>
      <c r="P29" s="2" t="s">
        <v>3</v>
      </c>
      <c r="Q29" s="3" t="s">
        <v>4</v>
      </c>
      <c r="R29" s="2" t="s">
        <v>5</v>
      </c>
      <c r="S29" s="6" t="s">
        <v>4</v>
      </c>
      <c r="T29" s="2" t="s">
        <v>3</v>
      </c>
      <c r="U29" s="3" t="s">
        <v>4</v>
      </c>
      <c r="V29" s="2" t="s">
        <v>3</v>
      </c>
      <c r="W29" s="3" t="s">
        <v>4</v>
      </c>
      <c r="X29" s="4" t="s">
        <v>5</v>
      </c>
      <c r="Y29" s="5" t="s">
        <v>4</v>
      </c>
      <c r="Z29" s="2" t="s">
        <v>3</v>
      </c>
      <c r="AA29" s="3" t="s">
        <v>4</v>
      </c>
      <c r="AB29" s="2" t="s">
        <v>3</v>
      </c>
      <c r="AC29" s="3" t="s">
        <v>4</v>
      </c>
      <c r="AD29" s="2" t="s">
        <v>5</v>
      </c>
      <c r="AE29" s="6" t="s">
        <v>4</v>
      </c>
      <c r="AF29" s="2" t="s">
        <v>3</v>
      </c>
      <c r="AG29" s="3" t="s">
        <v>4</v>
      </c>
      <c r="AH29" s="2" t="s">
        <v>3</v>
      </c>
      <c r="AI29" s="3" t="s">
        <v>4</v>
      </c>
      <c r="AJ29" s="2" t="s">
        <v>5</v>
      </c>
      <c r="AK29" s="6" t="s">
        <v>4</v>
      </c>
      <c r="AL29" s="76"/>
    </row>
    <row r="30" spans="3:72" x14ac:dyDescent="0.3">
      <c r="C30" s="76"/>
      <c r="D30" s="109" t="str">
        <f t="shared" ref="D30:D31" si="14">AO30</f>
        <v>SM-A175</v>
      </c>
      <c r="E30" s="110"/>
      <c r="F30" s="110" t="str">
        <f t="shared" ref="F30:F32" si="15">AP30</f>
        <v>갤럭시 A17</v>
      </c>
      <c r="G30" s="222" t="s">
        <v>18</v>
      </c>
      <c r="H30" s="18">
        <v>10</v>
      </c>
      <c r="I30" s="18">
        <v>10</v>
      </c>
      <c r="J30" s="7">
        <v>20</v>
      </c>
      <c r="K30" s="7">
        <v>20</v>
      </c>
      <c r="L30" s="8">
        <v>15</v>
      </c>
      <c r="M30" s="8">
        <v>15</v>
      </c>
      <c r="N30" s="18">
        <v>10</v>
      </c>
      <c r="O30" s="18">
        <v>10</v>
      </c>
      <c r="P30" s="7">
        <v>20</v>
      </c>
      <c r="Q30" s="7">
        <v>20</v>
      </c>
      <c r="R30" s="8">
        <v>15</v>
      </c>
      <c r="S30" s="8">
        <v>15</v>
      </c>
      <c r="T30" s="18">
        <v>10</v>
      </c>
      <c r="U30" s="18">
        <v>10</v>
      </c>
      <c r="V30" s="7">
        <v>20</v>
      </c>
      <c r="W30" s="7">
        <v>20</v>
      </c>
      <c r="X30" s="8">
        <v>15</v>
      </c>
      <c r="Y30" s="8">
        <v>15</v>
      </c>
      <c r="Z30" s="18">
        <v>10</v>
      </c>
      <c r="AA30" s="18">
        <v>10</v>
      </c>
      <c r="AB30" s="7">
        <v>20</v>
      </c>
      <c r="AC30" s="7">
        <v>20</v>
      </c>
      <c r="AD30" s="8">
        <v>15</v>
      </c>
      <c r="AE30" s="8">
        <v>15</v>
      </c>
      <c r="AF30" s="18">
        <v>10</v>
      </c>
      <c r="AG30" s="18">
        <v>10</v>
      </c>
      <c r="AH30" s="7">
        <v>20</v>
      </c>
      <c r="AI30" s="7">
        <v>20</v>
      </c>
      <c r="AJ30" s="8">
        <v>15</v>
      </c>
      <c r="AK30" s="8">
        <v>15</v>
      </c>
      <c r="AL30" s="76"/>
      <c r="AO30" t="s">
        <v>19</v>
      </c>
      <c r="AP30" t="s">
        <v>20</v>
      </c>
    </row>
    <row r="31" spans="3:72" x14ac:dyDescent="0.3">
      <c r="C31" s="76"/>
      <c r="D31" s="105" t="str">
        <f t="shared" si="14"/>
        <v>AT-M150</v>
      </c>
      <c r="E31" s="106"/>
      <c r="F31" s="107" t="str">
        <f t="shared" si="15"/>
        <v>ZEM폰 포켓몬에디션3</v>
      </c>
      <c r="G31" s="108" t="s">
        <v>18</v>
      </c>
      <c r="H31" s="18">
        <v>10</v>
      </c>
      <c r="I31" s="18">
        <v>10</v>
      </c>
      <c r="J31" s="7">
        <v>20</v>
      </c>
      <c r="K31" s="7">
        <v>20</v>
      </c>
      <c r="L31" s="8">
        <v>15</v>
      </c>
      <c r="M31" s="8">
        <v>15</v>
      </c>
      <c r="N31" s="18">
        <v>10</v>
      </c>
      <c r="O31" s="18">
        <v>10</v>
      </c>
      <c r="P31" s="7">
        <v>20</v>
      </c>
      <c r="Q31" s="7">
        <v>20</v>
      </c>
      <c r="R31" s="8">
        <v>15</v>
      </c>
      <c r="S31" s="8">
        <v>15</v>
      </c>
      <c r="T31" s="18">
        <v>10</v>
      </c>
      <c r="U31" s="18">
        <v>10</v>
      </c>
      <c r="V31" s="7">
        <v>20</v>
      </c>
      <c r="W31" s="7">
        <v>20</v>
      </c>
      <c r="X31" s="8">
        <v>15</v>
      </c>
      <c r="Y31" s="8">
        <v>15</v>
      </c>
      <c r="Z31" s="18">
        <v>10</v>
      </c>
      <c r="AA31" s="18">
        <v>10</v>
      </c>
      <c r="AB31" s="7">
        <v>20</v>
      </c>
      <c r="AC31" s="7">
        <v>20</v>
      </c>
      <c r="AD31" s="8">
        <v>15</v>
      </c>
      <c r="AE31" s="8">
        <v>15</v>
      </c>
      <c r="AF31" s="18">
        <v>10</v>
      </c>
      <c r="AG31" s="18">
        <v>10</v>
      </c>
      <c r="AH31" s="7">
        <v>20</v>
      </c>
      <c r="AI31" s="7">
        <v>20</v>
      </c>
      <c r="AJ31" s="8">
        <v>15</v>
      </c>
      <c r="AK31" s="8">
        <v>15</v>
      </c>
      <c r="AL31" s="76"/>
      <c r="AO31" t="s">
        <v>21</v>
      </c>
      <c r="AP31" t="s">
        <v>89</v>
      </c>
    </row>
    <row r="32" spans="3:72" ht="17.25" thickBot="1" x14ac:dyDescent="0.35">
      <c r="C32" s="76"/>
      <c r="D32" s="105" t="str">
        <f t="shared" ref="D32" si="16">AO32</f>
        <v>AT-M140</v>
      </c>
      <c r="E32" s="106"/>
      <c r="F32" s="107" t="str">
        <f t="shared" si="15"/>
        <v>스타일폴더2</v>
      </c>
      <c r="G32" s="108" t="s">
        <v>18</v>
      </c>
      <c r="H32" s="18">
        <v>10</v>
      </c>
      <c r="I32" s="18">
        <v>10</v>
      </c>
      <c r="J32" s="7">
        <v>20</v>
      </c>
      <c r="K32" s="7">
        <v>20</v>
      </c>
      <c r="L32" s="8">
        <v>15</v>
      </c>
      <c r="M32" s="8">
        <v>15</v>
      </c>
      <c r="N32" s="18">
        <v>10</v>
      </c>
      <c r="O32" s="18">
        <v>10</v>
      </c>
      <c r="P32" s="7">
        <v>20</v>
      </c>
      <c r="Q32" s="7">
        <v>20</v>
      </c>
      <c r="R32" s="8">
        <v>15</v>
      </c>
      <c r="S32" s="8">
        <v>15</v>
      </c>
      <c r="T32" s="18">
        <v>10</v>
      </c>
      <c r="U32" s="18">
        <v>10</v>
      </c>
      <c r="V32" s="7">
        <v>20</v>
      </c>
      <c r="W32" s="7">
        <v>20</v>
      </c>
      <c r="X32" s="8">
        <v>15</v>
      </c>
      <c r="Y32" s="8">
        <v>15</v>
      </c>
      <c r="Z32" s="18">
        <v>10</v>
      </c>
      <c r="AA32" s="18">
        <v>10</v>
      </c>
      <c r="AB32" s="7">
        <v>20</v>
      </c>
      <c r="AC32" s="7">
        <v>20</v>
      </c>
      <c r="AD32" s="8">
        <v>15</v>
      </c>
      <c r="AE32" s="8">
        <v>15</v>
      </c>
      <c r="AF32" s="18">
        <v>10</v>
      </c>
      <c r="AG32" s="18">
        <v>10</v>
      </c>
      <c r="AH32" s="7">
        <v>20</v>
      </c>
      <c r="AI32" s="7">
        <v>20</v>
      </c>
      <c r="AJ32" s="8">
        <v>15</v>
      </c>
      <c r="AK32" s="8">
        <v>15</v>
      </c>
      <c r="AL32" s="76"/>
      <c r="AO32" t="s">
        <v>22</v>
      </c>
      <c r="AP32" t="s">
        <v>23</v>
      </c>
    </row>
    <row r="33" spans="3:38" ht="37.5" customHeight="1" thickBot="1" x14ac:dyDescent="0.35">
      <c r="C33" s="76"/>
      <c r="D33" s="153" t="s">
        <v>105</v>
      </c>
      <c r="E33" s="154"/>
      <c r="F33" s="154"/>
      <c r="G33" s="154"/>
      <c r="H33" s="154"/>
      <c r="I33" s="154"/>
      <c r="J33" s="154"/>
      <c r="K33" s="154"/>
      <c r="L33" s="154"/>
      <c r="M33" s="154"/>
      <c r="N33" s="155"/>
      <c r="O33" s="153" t="s">
        <v>90</v>
      </c>
      <c r="P33" s="154"/>
      <c r="Q33" s="154"/>
      <c r="R33" s="154"/>
      <c r="S33" s="154"/>
      <c r="T33" s="154"/>
      <c r="U33" s="154"/>
      <c r="V33" s="154"/>
      <c r="W33" s="155"/>
      <c r="X33" s="111" t="s">
        <v>29</v>
      </c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3"/>
      <c r="AL33" s="76"/>
    </row>
    <row r="34" spans="3:38" ht="16.5" customHeight="1" x14ac:dyDescent="0.3">
      <c r="C34" s="76"/>
      <c r="D34" s="135" t="s">
        <v>129</v>
      </c>
      <c r="E34" s="136"/>
      <c r="F34" s="136"/>
      <c r="G34" s="136"/>
      <c r="H34" s="136"/>
      <c r="I34" s="136"/>
      <c r="J34" s="136"/>
      <c r="K34" s="136"/>
      <c r="L34" s="136"/>
      <c r="M34" s="136"/>
      <c r="N34" s="137"/>
      <c r="O34" s="135" t="s">
        <v>130</v>
      </c>
      <c r="P34" s="136"/>
      <c r="Q34" s="136"/>
      <c r="R34" s="136"/>
      <c r="S34" s="136"/>
      <c r="T34" s="136"/>
      <c r="U34" s="136"/>
      <c r="V34" s="136"/>
      <c r="W34" s="137"/>
      <c r="X34" s="162" t="s">
        <v>25</v>
      </c>
      <c r="Y34" s="163"/>
      <c r="Z34" s="163"/>
      <c r="AA34" s="163"/>
      <c r="AB34" s="163"/>
      <c r="AC34" s="148" t="s">
        <v>28</v>
      </c>
      <c r="AD34" s="148"/>
      <c r="AE34" s="144" t="s">
        <v>31</v>
      </c>
      <c r="AF34" s="144"/>
      <c r="AG34" s="144"/>
      <c r="AH34" s="144"/>
      <c r="AI34" s="144"/>
      <c r="AJ34" s="144"/>
      <c r="AK34" s="145"/>
      <c r="AL34" s="76"/>
    </row>
    <row r="35" spans="3:38" ht="16.5" customHeight="1" x14ac:dyDescent="0.3">
      <c r="C35" s="76"/>
      <c r="D35" s="138"/>
      <c r="E35" s="139"/>
      <c r="F35" s="139"/>
      <c r="G35" s="139"/>
      <c r="H35" s="139"/>
      <c r="I35" s="139"/>
      <c r="J35" s="139"/>
      <c r="K35" s="139"/>
      <c r="L35" s="139"/>
      <c r="M35" s="139"/>
      <c r="N35" s="140"/>
      <c r="O35" s="138"/>
      <c r="P35" s="139"/>
      <c r="Q35" s="139"/>
      <c r="R35" s="139"/>
      <c r="S35" s="139"/>
      <c r="T35" s="139"/>
      <c r="U35" s="139"/>
      <c r="V35" s="139"/>
      <c r="W35" s="140"/>
      <c r="X35" s="164"/>
      <c r="Y35" s="133"/>
      <c r="Z35" s="133"/>
      <c r="AA35" s="133"/>
      <c r="AB35" s="133"/>
      <c r="AC35" s="149"/>
      <c r="AD35" s="149"/>
      <c r="AE35" s="146"/>
      <c r="AF35" s="146"/>
      <c r="AG35" s="146"/>
      <c r="AH35" s="146"/>
      <c r="AI35" s="146"/>
      <c r="AJ35" s="146"/>
      <c r="AK35" s="147"/>
      <c r="AL35" s="76"/>
    </row>
    <row r="36" spans="3:38" ht="16.5" customHeight="1" x14ac:dyDescent="0.3">
      <c r="C36" s="76"/>
      <c r="D36" s="138"/>
      <c r="E36" s="139"/>
      <c r="F36" s="139"/>
      <c r="G36" s="139"/>
      <c r="H36" s="139"/>
      <c r="I36" s="139"/>
      <c r="J36" s="139"/>
      <c r="K36" s="139"/>
      <c r="L36" s="139"/>
      <c r="M36" s="139"/>
      <c r="N36" s="140"/>
      <c r="O36" s="138"/>
      <c r="P36" s="139"/>
      <c r="Q36" s="139"/>
      <c r="R36" s="139"/>
      <c r="S36" s="139"/>
      <c r="T36" s="139"/>
      <c r="U36" s="139"/>
      <c r="V36" s="139"/>
      <c r="W36" s="140"/>
      <c r="X36" s="164" t="s">
        <v>99</v>
      </c>
      <c r="Y36" s="133"/>
      <c r="Z36" s="133"/>
      <c r="AA36" s="133"/>
      <c r="AB36" s="133"/>
      <c r="AC36" s="133" t="s">
        <v>35</v>
      </c>
      <c r="AD36" s="133"/>
      <c r="AE36" s="114" t="s">
        <v>34</v>
      </c>
      <c r="AF36" s="115"/>
      <c r="AG36" s="116"/>
      <c r="AH36" s="150" t="s">
        <v>36</v>
      </c>
      <c r="AI36" s="151"/>
      <c r="AJ36" s="151"/>
      <c r="AK36" s="152"/>
      <c r="AL36" s="76"/>
    </row>
    <row r="37" spans="3:38" ht="16.5" customHeight="1" x14ac:dyDescent="0.3">
      <c r="C37" s="76"/>
      <c r="D37" s="138"/>
      <c r="E37" s="139"/>
      <c r="F37" s="139"/>
      <c r="G37" s="139"/>
      <c r="H37" s="139"/>
      <c r="I37" s="139"/>
      <c r="J37" s="139"/>
      <c r="K37" s="139"/>
      <c r="L37" s="139"/>
      <c r="M37" s="139"/>
      <c r="N37" s="140"/>
      <c r="O37" s="138"/>
      <c r="P37" s="139"/>
      <c r="Q37" s="139"/>
      <c r="R37" s="139"/>
      <c r="S37" s="139"/>
      <c r="T37" s="139"/>
      <c r="U37" s="139"/>
      <c r="V37" s="139"/>
      <c r="W37" s="140"/>
      <c r="X37" s="164"/>
      <c r="Y37" s="133"/>
      <c r="Z37" s="133"/>
      <c r="AA37" s="133"/>
      <c r="AB37" s="133"/>
      <c r="AC37" s="133"/>
      <c r="AD37" s="133"/>
      <c r="AE37" s="117"/>
      <c r="AF37" s="118"/>
      <c r="AG37" s="119"/>
      <c r="AH37" s="151"/>
      <c r="AI37" s="151"/>
      <c r="AJ37" s="151"/>
      <c r="AK37" s="152"/>
      <c r="AL37" s="76"/>
    </row>
    <row r="38" spans="3:38" ht="16.5" customHeight="1" x14ac:dyDescent="0.3">
      <c r="C38" s="76"/>
      <c r="D38" s="138"/>
      <c r="E38" s="139"/>
      <c r="F38" s="139"/>
      <c r="G38" s="139"/>
      <c r="H38" s="139"/>
      <c r="I38" s="139"/>
      <c r="J38" s="139"/>
      <c r="K38" s="139"/>
      <c r="L38" s="139"/>
      <c r="M38" s="139"/>
      <c r="N38" s="140"/>
      <c r="O38" s="138"/>
      <c r="P38" s="139"/>
      <c r="Q38" s="139"/>
      <c r="R38" s="139"/>
      <c r="S38" s="139"/>
      <c r="T38" s="139"/>
      <c r="U38" s="139"/>
      <c r="V38" s="139"/>
      <c r="W38" s="140"/>
      <c r="X38" s="168" t="s">
        <v>26</v>
      </c>
      <c r="Y38" s="169"/>
      <c r="Z38" s="169"/>
      <c r="AA38" s="169"/>
      <c r="AB38" s="130"/>
      <c r="AC38" s="129" t="s">
        <v>30</v>
      </c>
      <c r="AD38" s="130"/>
      <c r="AE38" s="114" t="s">
        <v>32</v>
      </c>
      <c r="AF38" s="115"/>
      <c r="AG38" s="116"/>
      <c r="AH38" s="156" t="s">
        <v>37</v>
      </c>
      <c r="AI38" s="157"/>
      <c r="AJ38" s="157"/>
      <c r="AK38" s="158"/>
      <c r="AL38" s="76"/>
    </row>
    <row r="39" spans="3:38" ht="16.5" customHeight="1" x14ac:dyDescent="0.3">
      <c r="C39" s="76"/>
      <c r="D39" s="138"/>
      <c r="E39" s="139"/>
      <c r="F39" s="139"/>
      <c r="G39" s="139"/>
      <c r="H39" s="139"/>
      <c r="I39" s="139"/>
      <c r="J39" s="139"/>
      <c r="K39" s="139"/>
      <c r="L39" s="139"/>
      <c r="M39" s="139"/>
      <c r="N39" s="140"/>
      <c r="O39" s="138"/>
      <c r="P39" s="139"/>
      <c r="Q39" s="139"/>
      <c r="R39" s="139"/>
      <c r="S39" s="139"/>
      <c r="T39" s="139"/>
      <c r="U39" s="139"/>
      <c r="V39" s="139"/>
      <c r="W39" s="140"/>
      <c r="X39" s="170"/>
      <c r="Y39" s="171"/>
      <c r="Z39" s="171"/>
      <c r="AA39" s="171"/>
      <c r="AB39" s="132"/>
      <c r="AC39" s="131"/>
      <c r="AD39" s="132"/>
      <c r="AE39" s="117"/>
      <c r="AF39" s="118"/>
      <c r="AG39" s="119"/>
      <c r="AH39" s="159"/>
      <c r="AI39" s="160"/>
      <c r="AJ39" s="160"/>
      <c r="AK39" s="161"/>
      <c r="AL39" s="76"/>
    </row>
    <row r="40" spans="3:38" ht="16.5" customHeight="1" x14ac:dyDescent="0.3">
      <c r="C40" s="76"/>
      <c r="D40" s="138"/>
      <c r="E40" s="139"/>
      <c r="F40" s="139"/>
      <c r="G40" s="139"/>
      <c r="H40" s="139"/>
      <c r="I40" s="139"/>
      <c r="J40" s="139"/>
      <c r="K40" s="139"/>
      <c r="L40" s="139"/>
      <c r="M40" s="139"/>
      <c r="N40" s="140"/>
      <c r="O40" s="138"/>
      <c r="P40" s="139"/>
      <c r="Q40" s="139"/>
      <c r="R40" s="139"/>
      <c r="S40" s="139"/>
      <c r="T40" s="139"/>
      <c r="U40" s="139"/>
      <c r="V40" s="139"/>
      <c r="W40" s="140"/>
      <c r="X40" s="164" t="s">
        <v>27</v>
      </c>
      <c r="Y40" s="133"/>
      <c r="Z40" s="133"/>
      <c r="AA40" s="133"/>
      <c r="AB40" s="133"/>
      <c r="AC40" s="133" t="s">
        <v>104</v>
      </c>
      <c r="AD40" s="133"/>
      <c r="AE40" s="114" t="s">
        <v>33</v>
      </c>
      <c r="AF40" s="115"/>
      <c r="AG40" s="116"/>
      <c r="AH40" s="151" t="s">
        <v>37</v>
      </c>
      <c r="AI40" s="151"/>
      <c r="AJ40" s="151"/>
      <c r="AK40" s="152"/>
      <c r="AL40" s="76"/>
    </row>
    <row r="41" spans="3:38" ht="17.25" customHeight="1" thickBot="1" x14ac:dyDescent="0.35">
      <c r="C41" s="76"/>
      <c r="D41" s="141"/>
      <c r="E41" s="142"/>
      <c r="F41" s="142"/>
      <c r="G41" s="142"/>
      <c r="H41" s="142"/>
      <c r="I41" s="142"/>
      <c r="J41" s="142"/>
      <c r="K41" s="142"/>
      <c r="L41" s="142"/>
      <c r="M41" s="142"/>
      <c r="N41" s="143"/>
      <c r="O41" s="141"/>
      <c r="P41" s="142"/>
      <c r="Q41" s="142"/>
      <c r="R41" s="142"/>
      <c r="S41" s="142"/>
      <c r="T41" s="142"/>
      <c r="U41" s="142"/>
      <c r="V41" s="142"/>
      <c r="W41" s="143"/>
      <c r="X41" s="200"/>
      <c r="Y41" s="134"/>
      <c r="Z41" s="134"/>
      <c r="AA41" s="134"/>
      <c r="AB41" s="134"/>
      <c r="AC41" s="134"/>
      <c r="AD41" s="134"/>
      <c r="AE41" s="165"/>
      <c r="AF41" s="166"/>
      <c r="AG41" s="167"/>
      <c r="AH41" s="201"/>
      <c r="AI41" s="201"/>
      <c r="AJ41" s="201"/>
      <c r="AK41" s="202"/>
      <c r="AL41" s="76"/>
    </row>
    <row r="42" spans="3:38" ht="28.5" customHeight="1" thickBot="1" x14ac:dyDescent="0.35">
      <c r="C42" s="76"/>
      <c r="D42" s="225" t="s">
        <v>38</v>
      </c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  <c r="AB42" s="226"/>
      <c r="AC42" s="226"/>
      <c r="AD42" s="226"/>
      <c r="AE42" s="226"/>
      <c r="AF42" s="226"/>
      <c r="AG42" s="226"/>
      <c r="AH42" s="226"/>
      <c r="AI42" s="226"/>
      <c r="AJ42" s="226"/>
      <c r="AK42" s="227"/>
      <c r="AL42" s="76"/>
    </row>
    <row r="43" spans="3:38" ht="16.5" customHeight="1" x14ac:dyDescent="0.3">
      <c r="C43" s="76"/>
      <c r="D43" s="120" t="s">
        <v>100</v>
      </c>
      <c r="E43" s="121"/>
      <c r="F43" s="121"/>
      <c r="G43" s="121"/>
      <c r="H43" s="121"/>
      <c r="I43" s="121"/>
      <c r="J43" s="121"/>
      <c r="K43" s="121"/>
      <c r="L43" s="121"/>
      <c r="M43" s="121"/>
      <c r="N43" s="122"/>
      <c r="O43" s="120" t="s">
        <v>92</v>
      </c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2"/>
      <c r="AA43" s="120" t="s">
        <v>131</v>
      </c>
      <c r="AB43" s="121"/>
      <c r="AC43" s="121"/>
      <c r="AD43" s="121"/>
      <c r="AE43" s="121"/>
      <c r="AF43" s="121"/>
      <c r="AG43" s="121"/>
      <c r="AH43" s="121"/>
      <c r="AI43" s="121"/>
      <c r="AJ43" s="121"/>
      <c r="AK43" s="122"/>
      <c r="AL43" s="76"/>
    </row>
    <row r="44" spans="3:38" x14ac:dyDescent="0.3">
      <c r="C44" s="76"/>
      <c r="D44" s="123"/>
      <c r="E44" s="124"/>
      <c r="F44" s="124"/>
      <c r="G44" s="124"/>
      <c r="H44" s="124"/>
      <c r="I44" s="124"/>
      <c r="J44" s="124"/>
      <c r="K44" s="124"/>
      <c r="L44" s="124"/>
      <c r="M44" s="124"/>
      <c r="N44" s="125"/>
      <c r="O44" s="123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5"/>
      <c r="AA44" s="123"/>
      <c r="AB44" s="124"/>
      <c r="AC44" s="124"/>
      <c r="AD44" s="124"/>
      <c r="AE44" s="124"/>
      <c r="AF44" s="124"/>
      <c r="AG44" s="124"/>
      <c r="AH44" s="124"/>
      <c r="AI44" s="124"/>
      <c r="AJ44" s="124"/>
      <c r="AK44" s="125"/>
      <c r="AL44" s="76"/>
    </row>
    <row r="45" spans="3:38" x14ac:dyDescent="0.3">
      <c r="C45" s="76"/>
      <c r="D45" s="123"/>
      <c r="E45" s="124"/>
      <c r="F45" s="124"/>
      <c r="G45" s="124"/>
      <c r="H45" s="124"/>
      <c r="I45" s="124"/>
      <c r="J45" s="124"/>
      <c r="K45" s="124"/>
      <c r="L45" s="124"/>
      <c r="M45" s="124"/>
      <c r="N45" s="125"/>
      <c r="O45" s="123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5"/>
      <c r="AA45" s="123"/>
      <c r="AB45" s="124"/>
      <c r="AC45" s="124"/>
      <c r="AD45" s="124"/>
      <c r="AE45" s="124"/>
      <c r="AF45" s="124"/>
      <c r="AG45" s="124"/>
      <c r="AH45" s="124"/>
      <c r="AI45" s="124"/>
      <c r="AJ45" s="124"/>
      <c r="AK45" s="125"/>
      <c r="AL45" s="76"/>
    </row>
    <row r="46" spans="3:38" x14ac:dyDescent="0.3">
      <c r="C46" s="76"/>
      <c r="D46" s="123"/>
      <c r="E46" s="124"/>
      <c r="F46" s="124"/>
      <c r="G46" s="124"/>
      <c r="H46" s="124"/>
      <c r="I46" s="124"/>
      <c r="J46" s="124"/>
      <c r="K46" s="124"/>
      <c r="L46" s="124"/>
      <c r="M46" s="124"/>
      <c r="N46" s="125"/>
      <c r="O46" s="123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5"/>
      <c r="AA46" s="123"/>
      <c r="AB46" s="124"/>
      <c r="AC46" s="124"/>
      <c r="AD46" s="124"/>
      <c r="AE46" s="124"/>
      <c r="AF46" s="124"/>
      <c r="AG46" s="124"/>
      <c r="AH46" s="124"/>
      <c r="AI46" s="124"/>
      <c r="AJ46" s="124"/>
      <c r="AK46" s="125"/>
      <c r="AL46" s="76"/>
    </row>
    <row r="47" spans="3:38" x14ac:dyDescent="0.3">
      <c r="C47" s="76"/>
      <c r="D47" s="123"/>
      <c r="E47" s="124"/>
      <c r="F47" s="124"/>
      <c r="G47" s="124"/>
      <c r="H47" s="124"/>
      <c r="I47" s="124"/>
      <c r="J47" s="124"/>
      <c r="K47" s="124"/>
      <c r="L47" s="124"/>
      <c r="M47" s="124"/>
      <c r="N47" s="125"/>
      <c r="O47" s="123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5"/>
      <c r="AA47" s="123"/>
      <c r="AB47" s="124"/>
      <c r="AC47" s="124"/>
      <c r="AD47" s="124"/>
      <c r="AE47" s="124"/>
      <c r="AF47" s="124"/>
      <c r="AG47" s="124"/>
      <c r="AH47" s="124"/>
      <c r="AI47" s="124"/>
      <c r="AJ47" s="124"/>
      <c r="AK47" s="125"/>
      <c r="AL47" s="76"/>
    </row>
    <row r="48" spans="3:38" ht="17.25" thickBot="1" x14ac:dyDescent="0.35">
      <c r="C48" s="76"/>
      <c r="D48" s="123"/>
      <c r="E48" s="124"/>
      <c r="F48" s="124"/>
      <c r="G48" s="124"/>
      <c r="H48" s="124"/>
      <c r="I48" s="124"/>
      <c r="J48" s="124"/>
      <c r="K48" s="124"/>
      <c r="L48" s="124"/>
      <c r="M48" s="124"/>
      <c r="N48" s="125"/>
      <c r="O48" s="126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8"/>
      <c r="AA48" s="126"/>
      <c r="AB48" s="127"/>
      <c r="AC48" s="127"/>
      <c r="AD48" s="127"/>
      <c r="AE48" s="127"/>
      <c r="AF48" s="127"/>
      <c r="AG48" s="127"/>
      <c r="AH48" s="127"/>
      <c r="AI48" s="127"/>
      <c r="AJ48" s="127"/>
      <c r="AK48" s="128"/>
      <c r="AL48" s="76"/>
    </row>
    <row r="49" spans="3:38" ht="17.25" customHeight="1" x14ac:dyDescent="0.3">
      <c r="C49" s="76"/>
      <c r="D49" s="178" t="s">
        <v>79</v>
      </c>
      <c r="E49" s="179"/>
      <c r="F49" s="179"/>
      <c r="G49" s="176" t="s">
        <v>43</v>
      </c>
      <c r="H49" s="176"/>
      <c r="I49" s="176"/>
      <c r="J49" s="176"/>
      <c r="K49" s="176" t="s">
        <v>44</v>
      </c>
      <c r="L49" s="176"/>
      <c r="M49" s="176"/>
      <c r="N49" s="176" t="s">
        <v>86</v>
      </c>
      <c r="O49" s="176"/>
      <c r="P49" s="176"/>
      <c r="Q49" s="176"/>
      <c r="R49" s="184" t="s">
        <v>45</v>
      </c>
      <c r="S49" s="185"/>
      <c r="T49" s="185"/>
      <c r="U49" s="186"/>
      <c r="V49" s="203">
        <v>1</v>
      </c>
      <c r="W49" s="182" t="s">
        <v>58</v>
      </c>
      <c r="X49" s="182"/>
      <c r="Y49" s="182"/>
      <c r="Z49" s="238" t="s">
        <v>66</v>
      </c>
      <c r="AA49" s="238"/>
      <c r="AB49" s="238"/>
      <c r="AC49" s="238"/>
      <c r="AD49" s="197" t="s">
        <v>72</v>
      </c>
      <c r="AE49" s="197"/>
      <c r="AF49" s="197"/>
      <c r="AG49" s="197"/>
      <c r="AH49" s="197"/>
      <c r="AI49" s="197"/>
      <c r="AJ49" s="197"/>
      <c r="AK49" s="198"/>
      <c r="AL49" s="76"/>
    </row>
    <row r="50" spans="3:38" ht="16.5" customHeight="1" x14ac:dyDescent="0.3">
      <c r="C50" s="76"/>
      <c r="D50" s="180"/>
      <c r="E50" s="149"/>
      <c r="F50" s="149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87"/>
      <c r="S50" s="188"/>
      <c r="T50" s="188"/>
      <c r="U50" s="189"/>
      <c r="V50" s="104"/>
      <c r="W50" s="183"/>
      <c r="X50" s="183"/>
      <c r="Y50" s="183"/>
      <c r="Z50" s="239"/>
      <c r="AA50" s="239"/>
      <c r="AB50" s="239"/>
      <c r="AC50" s="239"/>
      <c r="AD50" s="92"/>
      <c r="AE50" s="92"/>
      <c r="AF50" s="92"/>
      <c r="AG50" s="92"/>
      <c r="AH50" s="92"/>
      <c r="AI50" s="92"/>
      <c r="AJ50" s="92"/>
      <c r="AK50" s="199"/>
      <c r="AL50" s="76"/>
    </row>
    <row r="51" spans="3:38" ht="17.25" customHeight="1" x14ac:dyDescent="0.3">
      <c r="C51" s="76"/>
      <c r="D51" s="223" t="s">
        <v>125</v>
      </c>
      <c r="E51" s="224"/>
      <c r="F51" s="224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90"/>
      <c r="S51" s="191"/>
      <c r="T51" s="191"/>
      <c r="U51" s="192"/>
      <c r="V51" s="181">
        <v>2</v>
      </c>
      <c r="W51" s="90" t="s">
        <v>59</v>
      </c>
      <c r="X51" s="90"/>
      <c r="Y51" s="90"/>
      <c r="Z51" s="91" t="s">
        <v>67</v>
      </c>
      <c r="AA51" s="91"/>
      <c r="AB51" s="91"/>
      <c r="AC51" s="91"/>
      <c r="AD51" s="93" t="s">
        <v>73</v>
      </c>
      <c r="AE51" s="93"/>
      <c r="AF51" s="93"/>
      <c r="AG51" s="93"/>
      <c r="AH51" s="93"/>
      <c r="AI51" s="93"/>
      <c r="AJ51" s="93"/>
      <c r="AK51" s="94"/>
      <c r="AL51" s="76"/>
    </row>
    <row r="52" spans="3:38" ht="16.5" customHeight="1" x14ac:dyDescent="0.3">
      <c r="C52" s="76"/>
      <c r="D52" s="11" t="s">
        <v>39</v>
      </c>
      <c r="E52" s="172" t="s">
        <v>40</v>
      </c>
      <c r="F52" s="172"/>
      <c r="G52" s="173" t="s">
        <v>41</v>
      </c>
      <c r="H52" s="173"/>
      <c r="I52" s="173"/>
      <c r="J52" s="173"/>
      <c r="K52" s="173"/>
      <c r="L52" s="173"/>
      <c r="M52" s="173"/>
      <c r="N52" s="196">
        <v>70000</v>
      </c>
      <c r="O52" s="196"/>
      <c r="P52" s="173"/>
      <c r="Q52" s="173"/>
      <c r="R52" s="193" t="s">
        <v>42</v>
      </c>
      <c r="S52" s="194"/>
      <c r="T52" s="194"/>
      <c r="U52" s="195"/>
      <c r="V52" s="181"/>
      <c r="W52" s="90"/>
      <c r="X52" s="90"/>
      <c r="Y52" s="90"/>
      <c r="Z52" s="91"/>
      <c r="AA52" s="91"/>
      <c r="AB52" s="91"/>
      <c r="AC52" s="91"/>
      <c r="AD52" s="93"/>
      <c r="AE52" s="93"/>
      <c r="AF52" s="93"/>
      <c r="AG52" s="93"/>
      <c r="AH52" s="93"/>
      <c r="AI52" s="93"/>
      <c r="AJ52" s="93"/>
      <c r="AK52" s="94"/>
      <c r="AL52" s="76"/>
    </row>
    <row r="53" spans="3:38" ht="16.5" customHeight="1" x14ac:dyDescent="0.3">
      <c r="C53" s="76"/>
      <c r="D53" s="104" t="s">
        <v>47</v>
      </c>
      <c r="E53" s="172" t="s">
        <v>46</v>
      </c>
      <c r="F53" s="172"/>
      <c r="G53" s="173" t="s">
        <v>109</v>
      </c>
      <c r="H53" s="173"/>
      <c r="I53" s="173"/>
      <c r="J53" s="173"/>
      <c r="K53" s="196">
        <v>300000</v>
      </c>
      <c r="L53" s="173"/>
      <c r="M53" s="173"/>
      <c r="N53" s="196">
        <v>20000</v>
      </c>
      <c r="O53" s="196"/>
      <c r="P53" s="173"/>
      <c r="Q53" s="173"/>
      <c r="R53" s="95" t="s">
        <v>54</v>
      </c>
      <c r="S53" s="96"/>
      <c r="T53" s="96"/>
      <c r="U53" s="97"/>
      <c r="V53" s="181">
        <v>3</v>
      </c>
      <c r="W53" s="90" t="s">
        <v>60</v>
      </c>
      <c r="X53" s="90"/>
      <c r="Y53" s="90"/>
      <c r="Z53" s="91" t="s">
        <v>65</v>
      </c>
      <c r="AA53" s="91"/>
      <c r="AB53" s="91"/>
      <c r="AC53" s="91"/>
      <c r="AD53" s="92" t="s">
        <v>74</v>
      </c>
      <c r="AE53" s="93"/>
      <c r="AF53" s="93"/>
      <c r="AG53" s="93"/>
      <c r="AH53" s="93"/>
      <c r="AI53" s="93"/>
      <c r="AJ53" s="93"/>
      <c r="AK53" s="94"/>
      <c r="AL53" s="76"/>
    </row>
    <row r="54" spans="3:38" x14ac:dyDescent="0.3">
      <c r="C54" s="76"/>
      <c r="D54" s="104"/>
      <c r="E54" s="172"/>
      <c r="F54" s="172"/>
      <c r="G54" s="173" t="s">
        <v>110</v>
      </c>
      <c r="H54" s="173"/>
      <c r="I54" s="173"/>
      <c r="J54" s="173"/>
      <c r="K54" s="196">
        <v>360000</v>
      </c>
      <c r="L54" s="173"/>
      <c r="M54" s="173"/>
      <c r="N54" s="196">
        <v>100000</v>
      </c>
      <c r="O54" s="196"/>
      <c r="P54" s="173"/>
      <c r="Q54" s="173"/>
      <c r="R54" s="98"/>
      <c r="S54" s="99"/>
      <c r="T54" s="99"/>
      <c r="U54" s="100"/>
      <c r="V54" s="181"/>
      <c r="W54" s="90"/>
      <c r="X54" s="90"/>
      <c r="Y54" s="90"/>
      <c r="Z54" s="91"/>
      <c r="AA54" s="91"/>
      <c r="AB54" s="91"/>
      <c r="AC54" s="91"/>
      <c r="AD54" s="93"/>
      <c r="AE54" s="93"/>
      <c r="AF54" s="93"/>
      <c r="AG54" s="93"/>
      <c r="AH54" s="93"/>
      <c r="AI54" s="93"/>
      <c r="AJ54" s="93"/>
      <c r="AK54" s="94"/>
      <c r="AL54" s="76"/>
    </row>
    <row r="55" spans="3:38" x14ac:dyDescent="0.3">
      <c r="C55" s="76"/>
      <c r="D55" s="104"/>
      <c r="E55" s="172"/>
      <c r="F55" s="172"/>
      <c r="G55" s="173" t="s">
        <v>111</v>
      </c>
      <c r="H55" s="173"/>
      <c r="I55" s="173"/>
      <c r="J55" s="173"/>
      <c r="K55" s="196">
        <v>360000</v>
      </c>
      <c r="L55" s="173"/>
      <c r="M55" s="173"/>
      <c r="N55" s="196">
        <v>220000</v>
      </c>
      <c r="O55" s="196"/>
      <c r="P55" s="173"/>
      <c r="Q55" s="173"/>
      <c r="R55" s="101"/>
      <c r="S55" s="102"/>
      <c r="T55" s="102"/>
      <c r="U55" s="103"/>
      <c r="V55" s="181">
        <v>4</v>
      </c>
      <c r="W55" s="90" t="s">
        <v>61</v>
      </c>
      <c r="X55" s="90"/>
      <c r="Y55" s="90"/>
      <c r="Z55" s="91" t="s">
        <v>68</v>
      </c>
      <c r="AA55" s="91"/>
      <c r="AB55" s="91"/>
      <c r="AC55" s="91"/>
      <c r="AD55" s="93" t="s">
        <v>75</v>
      </c>
      <c r="AE55" s="93"/>
      <c r="AF55" s="93"/>
      <c r="AG55" s="93"/>
      <c r="AH55" s="93"/>
      <c r="AI55" s="93"/>
      <c r="AJ55" s="93"/>
      <c r="AK55" s="94"/>
      <c r="AL55" s="76"/>
    </row>
    <row r="56" spans="3:38" x14ac:dyDescent="0.3">
      <c r="C56" s="76"/>
      <c r="D56" s="181" t="s">
        <v>48</v>
      </c>
      <c r="E56" s="204" t="s">
        <v>49</v>
      </c>
      <c r="F56" s="204"/>
      <c r="G56" s="175" t="s">
        <v>51</v>
      </c>
      <c r="H56" s="175"/>
      <c r="I56" s="175"/>
      <c r="J56" s="175"/>
      <c r="K56" s="174">
        <v>60000</v>
      </c>
      <c r="L56" s="175"/>
      <c r="M56" s="175"/>
      <c r="N56" s="174">
        <v>200000</v>
      </c>
      <c r="O56" s="174"/>
      <c r="P56" s="175"/>
      <c r="Q56" s="175"/>
      <c r="R56" s="211"/>
      <c r="S56" s="212"/>
      <c r="T56" s="212"/>
      <c r="U56" s="213"/>
      <c r="V56" s="181"/>
      <c r="W56" s="90"/>
      <c r="X56" s="90"/>
      <c r="Y56" s="90"/>
      <c r="Z56" s="91"/>
      <c r="AA56" s="91"/>
      <c r="AB56" s="91"/>
      <c r="AC56" s="91"/>
      <c r="AD56" s="93"/>
      <c r="AE56" s="93"/>
      <c r="AF56" s="93"/>
      <c r="AG56" s="93"/>
      <c r="AH56" s="93"/>
      <c r="AI56" s="93"/>
      <c r="AJ56" s="93"/>
      <c r="AK56" s="94"/>
      <c r="AL56" s="76"/>
    </row>
    <row r="57" spans="3:38" x14ac:dyDescent="0.3">
      <c r="C57" s="76"/>
      <c r="D57" s="181"/>
      <c r="E57" s="204"/>
      <c r="F57" s="204"/>
      <c r="G57" s="175" t="s">
        <v>52</v>
      </c>
      <c r="H57" s="175"/>
      <c r="I57" s="175"/>
      <c r="J57" s="175"/>
      <c r="K57" s="174">
        <v>70000</v>
      </c>
      <c r="L57" s="175"/>
      <c r="M57" s="175"/>
      <c r="N57" s="174">
        <v>400000</v>
      </c>
      <c r="O57" s="174"/>
      <c r="P57" s="175"/>
      <c r="Q57" s="175"/>
      <c r="R57" s="214"/>
      <c r="S57" s="76"/>
      <c r="T57" s="76"/>
      <c r="U57" s="215"/>
      <c r="V57" s="181">
        <v>5</v>
      </c>
      <c r="W57" s="90" t="s">
        <v>62</v>
      </c>
      <c r="X57" s="90"/>
      <c r="Y57" s="90"/>
      <c r="Z57" s="91" t="s">
        <v>69</v>
      </c>
      <c r="AA57" s="91"/>
      <c r="AB57" s="91"/>
      <c r="AC57" s="91"/>
      <c r="AD57" s="92" t="s">
        <v>76</v>
      </c>
      <c r="AE57" s="93"/>
      <c r="AF57" s="93"/>
      <c r="AG57" s="93"/>
      <c r="AH57" s="93"/>
      <c r="AI57" s="93"/>
      <c r="AJ57" s="93"/>
      <c r="AK57" s="94"/>
      <c r="AL57" s="76"/>
    </row>
    <row r="58" spans="3:38" x14ac:dyDescent="0.3">
      <c r="C58" s="76"/>
      <c r="D58" s="181"/>
      <c r="E58" s="204"/>
      <c r="F58" s="204"/>
      <c r="G58" s="175" t="s">
        <v>53</v>
      </c>
      <c r="H58" s="175"/>
      <c r="I58" s="175"/>
      <c r="J58" s="175"/>
      <c r="K58" s="174">
        <v>70000</v>
      </c>
      <c r="L58" s="175"/>
      <c r="M58" s="175"/>
      <c r="N58" s="174">
        <v>500000</v>
      </c>
      <c r="O58" s="174"/>
      <c r="P58" s="175"/>
      <c r="Q58" s="175"/>
      <c r="R58" s="216"/>
      <c r="S58" s="217"/>
      <c r="T58" s="217"/>
      <c r="U58" s="218"/>
      <c r="V58" s="181"/>
      <c r="W58" s="90"/>
      <c r="X58" s="90"/>
      <c r="Y58" s="90"/>
      <c r="Z58" s="91"/>
      <c r="AA58" s="91"/>
      <c r="AB58" s="91"/>
      <c r="AC58" s="91"/>
      <c r="AD58" s="93"/>
      <c r="AE58" s="93"/>
      <c r="AF58" s="93"/>
      <c r="AG58" s="93"/>
      <c r="AH58" s="93"/>
      <c r="AI58" s="93"/>
      <c r="AJ58" s="93"/>
      <c r="AK58" s="94"/>
      <c r="AL58" s="76"/>
    </row>
    <row r="59" spans="3:38" ht="16.5" customHeight="1" x14ac:dyDescent="0.3">
      <c r="C59" s="76"/>
      <c r="D59" s="181"/>
      <c r="E59" s="204" t="s">
        <v>50</v>
      </c>
      <c r="F59" s="204"/>
      <c r="G59" s="175" t="s">
        <v>106</v>
      </c>
      <c r="H59" s="175"/>
      <c r="I59" s="175"/>
      <c r="J59" s="175"/>
      <c r="K59" s="174">
        <v>300000</v>
      </c>
      <c r="L59" s="175"/>
      <c r="M59" s="175"/>
      <c r="N59" s="174">
        <v>300000</v>
      </c>
      <c r="O59" s="174"/>
      <c r="P59" s="175"/>
      <c r="Q59" s="175"/>
      <c r="R59" s="95" t="s">
        <v>54</v>
      </c>
      <c r="S59" s="96"/>
      <c r="T59" s="96"/>
      <c r="U59" s="97"/>
      <c r="V59" s="181">
        <v>6</v>
      </c>
      <c r="W59" s="90" t="s">
        <v>63</v>
      </c>
      <c r="X59" s="90"/>
      <c r="Y59" s="90"/>
      <c r="Z59" s="91" t="s">
        <v>70</v>
      </c>
      <c r="AA59" s="91"/>
      <c r="AB59" s="91"/>
      <c r="AC59" s="91"/>
      <c r="AD59" s="93" t="s">
        <v>77</v>
      </c>
      <c r="AE59" s="93"/>
      <c r="AF59" s="93"/>
      <c r="AG59" s="93"/>
      <c r="AH59" s="93"/>
      <c r="AI59" s="93"/>
      <c r="AJ59" s="93"/>
      <c r="AK59" s="94"/>
      <c r="AL59" s="76"/>
    </row>
    <row r="60" spans="3:38" x14ac:dyDescent="0.3">
      <c r="C60" s="76"/>
      <c r="D60" s="181"/>
      <c r="E60" s="204"/>
      <c r="F60" s="204"/>
      <c r="G60" s="175" t="s">
        <v>107</v>
      </c>
      <c r="H60" s="175"/>
      <c r="I60" s="175"/>
      <c r="J60" s="175"/>
      <c r="K60" s="174">
        <v>350000</v>
      </c>
      <c r="L60" s="175"/>
      <c r="M60" s="175"/>
      <c r="N60" s="174">
        <v>470000</v>
      </c>
      <c r="O60" s="174"/>
      <c r="P60" s="175"/>
      <c r="Q60" s="175"/>
      <c r="R60" s="98"/>
      <c r="S60" s="99"/>
      <c r="T60" s="99"/>
      <c r="U60" s="100"/>
      <c r="V60" s="181"/>
      <c r="W60" s="90"/>
      <c r="X60" s="90"/>
      <c r="Y60" s="90"/>
      <c r="Z60" s="91"/>
      <c r="AA60" s="91"/>
      <c r="AB60" s="91"/>
      <c r="AC60" s="91"/>
      <c r="AD60" s="93"/>
      <c r="AE60" s="93"/>
      <c r="AF60" s="93"/>
      <c r="AG60" s="93"/>
      <c r="AH60" s="93"/>
      <c r="AI60" s="93"/>
      <c r="AJ60" s="93"/>
      <c r="AK60" s="94"/>
      <c r="AL60" s="76"/>
    </row>
    <row r="61" spans="3:38" x14ac:dyDescent="0.3">
      <c r="C61" s="76"/>
      <c r="D61" s="181"/>
      <c r="E61" s="204"/>
      <c r="F61" s="204"/>
      <c r="G61" s="175" t="s">
        <v>108</v>
      </c>
      <c r="H61" s="175"/>
      <c r="I61" s="175"/>
      <c r="J61" s="175"/>
      <c r="K61" s="174">
        <v>350000</v>
      </c>
      <c r="L61" s="175"/>
      <c r="M61" s="175"/>
      <c r="N61" s="174">
        <v>550000</v>
      </c>
      <c r="O61" s="174"/>
      <c r="P61" s="175"/>
      <c r="Q61" s="175"/>
      <c r="R61" s="101"/>
      <c r="S61" s="102"/>
      <c r="T61" s="102"/>
      <c r="U61" s="103"/>
      <c r="V61" s="181">
        <v>7</v>
      </c>
      <c r="W61" s="90" t="s">
        <v>64</v>
      </c>
      <c r="X61" s="90"/>
      <c r="Y61" s="90"/>
      <c r="Z61" s="91" t="s">
        <v>71</v>
      </c>
      <c r="AA61" s="91"/>
      <c r="AB61" s="91"/>
      <c r="AC61" s="91"/>
      <c r="AD61" s="234" t="s">
        <v>78</v>
      </c>
      <c r="AE61" s="234"/>
      <c r="AF61" s="234"/>
      <c r="AG61" s="234"/>
      <c r="AH61" s="234"/>
      <c r="AI61" s="234"/>
      <c r="AJ61" s="234"/>
      <c r="AK61" s="235"/>
      <c r="AL61" s="76"/>
    </row>
    <row r="62" spans="3:38" ht="17.25" thickBot="1" x14ac:dyDescent="0.35">
      <c r="C62" s="76"/>
      <c r="D62" s="12" t="s">
        <v>55</v>
      </c>
      <c r="E62" s="221" t="s">
        <v>56</v>
      </c>
      <c r="F62" s="221"/>
      <c r="G62" s="207" t="s">
        <v>57</v>
      </c>
      <c r="H62" s="207"/>
      <c r="I62" s="207"/>
      <c r="J62" s="207"/>
      <c r="K62" s="207"/>
      <c r="L62" s="207"/>
      <c r="M62" s="207"/>
      <c r="N62" s="220">
        <v>10000</v>
      </c>
      <c r="O62" s="220"/>
      <c r="P62" s="207"/>
      <c r="Q62" s="207"/>
      <c r="R62" s="208"/>
      <c r="S62" s="209"/>
      <c r="T62" s="209"/>
      <c r="U62" s="210"/>
      <c r="V62" s="206"/>
      <c r="W62" s="205"/>
      <c r="X62" s="205"/>
      <c r="Y62" s="205"/>
      <c r="Z62" s="219"/>
      <c r="AA62" s="219"/>
      <c r="AB62" s="219"/>
      <c r="AC62" s="219"/>
      <c r="AD62" s="236"/>
      <c r="AE62" s="236"/>
      <c r="AF62" s="236"/>
      <c r="AG62" s="236"/>
      <c r="AH62" s="236"/>
      <c r="AI62" s="236"/>
      <c r="AJ62" s="236"/>
      <c r="AK62" s="237"/>
      <c r="AL62" s="76"/>
    </row>
    <row r="63" spans="3:38" ht="9.75" customHeight="1" x14ac:dyDescent="0.3">
      <c r="C63" s="76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76"/>
    </row>
  </sheetData>
  <mergeCells count="228">
    <mergeCell ref="R59:U61"/>
    <mergeCell ref="G54:J54"/>
    <mergeCell ref="N57:Q57"/>
    <mergeCell ref="N58:Q58"/>
    <mergeCell ref="N59:Q59"/>
    <mergeCell ref="K57:M57"/>
    <mergeCell ref="N54:Q54"/>
    <mergeCell ref="N55:Q55"/>
    <mergeCell ref="K56:M56"/>
    <mergeCell ref="K59:M59"/>
    <mergeCell ref="E62:F62"/>
    <mergeCell ref="D24:E24"/>
    <mergeCell ref="F30:G30"/>
    <mergeCell ref="F23:G23"/>
    <mergeCell ref="F24:G24"/>
    <mergeCell ref="D51:F51"/>
    <mergeCell ref="D56:D61"/>
    <mergeCell ref="D42:AK42"/>
    <mergeCell ref="N52:Q52"/>
    <mergeCell ref="D43:N48"/>
    <mergeCell ref="N49:Q51"/>
    <mergeCell ref="N60:Q60"/>
    <mergeCell ref="N61:Q61"/>
    <mergeCell ref="G58:J58"/>
    <mergeCell ref="G59:J59"/>
    <mergeCell ref="G60:J60"/>
    <mergeCell ref="O33:W33"/>
    <mergeCell ref="H26:M27"/>
    <mergeCell ref="H28:I28"/>
    <mergeCell ref="N28:O28"/>
    <mergeCell ref="K62:M62"/>
    <mergeCell ref="V55:V56"/>
    <mergeCell ref="AD61:AK62"/>
    <mergeCell ref="Z49:AC50"/>
    <mergeCell ref="AD49:AK50"/>
    <mergeCell ref="W51:Y52"/>
    <mergeCell ref="Z51:AC52"/>
    <mergeCell ref="AD51:AK52"/>
    <mergeCell ref="X40:AB41"/>
    <mergeCell ref="AH40:AK41"/>
    <mergeCell ref="V49:V50"/>
    <mergeCell ref="V51:V52"/>
    <mergeCell ref="E59:F61"/>
    <mergeCell ref="G56:J56"/>
    <mergeCell ref="G57:J57"/>
    <mergeCell ref="G61:J61"/>
    <mergeCell ref="E56:F58"/>
    <mergeCell ref="AD55:AK56"/>
    <mergeCell ref="W61:Y62"/>
    <mergeCell ref="V61:V62"/>
    <mergeCell ref="G62:J62"/>
    <mergeCell ref="R62:U62"/>
    <mergeCell ref="R56:U58"/>
    <mergeCell ref="V59:V60"/>
    <mergeCell ref="N53:Q53"/>
    <mergeCell ref="Z61:AC62"/>
    <mergeCell ref="K60:M60"/>
    <mergeCell ref="N62:Q62"/>
    <mergeCell ref="V57:V58"/>
    <mergeCell ref="W49:Y50"/>
    <mergeCell ref="V53:V54"/>
    <mergeCell ref="N56:Q56"/>
    <mergeCell ref="K49:M51"/>
    <mergeCell ref="R49:U51"/>
    <mergeCell ref="R52:U52"/>
    <mergeCell ref="O34:W41"/>
    <mergeCell ref="K52:M52"/>
    <mergeCell ref="K53:M53"/>
    <mergeCell ref="K54:M54"/>
    <mergeCell ref="K55:M55"/>
    <mergeCell ref="K58:M58"/>
    <mergeCell ref="E53:F55"/>
    <mergeCell ref="G53:J53"/>
    <mergeCell ref="E52:F52"/>
    <mergeCell ref="G52:J52"/>
    <mergeCell ref="K61:M61"/>
    <mergeCell ref="G49:J51"/>
    <mergeCell ref="D49:F50"/>
    <mergeCell ref="G55:J55"/>
    <mergeCell ref="F31:G31"/>
    <mergeCell ref="X33:AK33"/>
    <mergeCell ref="AE36:AG37"/>
    <mergeCell ref="O43:Z48"/>
    <mergeCell ref="AC38:AD39"/>
    <mergeCell ref="AC40:AD41"/>
    <mergeCell ref="D34:N41"/>
    <mergeCell ref="AE34:AK35"/>
    <mergeCell ref="AC34:AD35"/>
    <mergeCell ref="AC36:AD37"/>
    <mergeCell ref="AA43:AK48"/>
    <mergeCell ref="AH36:AK37"/>
    <mergeCell ref="D33:N33"/>
    <mergeCell ref="AH38:AK39"/>
    <mergeCell ref="X34:AB35"/>
    <mergeCell ref="X36:AB37"/>
    <mergeCell ref="AE38:AG39"/>
    <mergeCell ref="AE40:AG41"/>
    <mergeCell ref="X38:AB39"/>
    <mergeCell ref="D25:E25"/>
    <mergeCell ref="F25:G25"/>
    <mergeCell ref="D10:E10"/>
    <mergeCell ref="D11:E11"/>
    <mergeCell ref="D32:E32"/>
    <mergeCell ref="F32:G32"/>
    <mergeCell ref="D31:E31"/>
    <mergeCell ref="D22:E22"/>
    <mergeCell ref="F22:G22"/>
    <mergeCell ref="D20:E20"/>
    <mergeCell ref="D21:E21"/>
    <mergeCell ref="F20:G20"/>
    <mergeCell ref="F21:G21"/>
    <mergeCell ref="F18:G18"/>
    <mergeCell ref="F19:G19"/>
    <mergeCell ref="D23:E23"/>
    <mergeCell ref="D18:E18"/>
    <mergeCell ref="D19:E19"/>
    <mergeCell ref="F16:G16"/>
    <mergeCell ref="F17:G17"/>
    <mergeCell ref="D12:E12"/>
    <mergeCell ref="D30:E30"/>
    <mergeCell ref="D17:E17"/>
    <mergeCell ref="D16:E16"/>
    <mergeCell ref="C2:AL2"/>
    <mergeCell ref="AL3:AL63"/>
    <mergeCell ref="D63:AK63"/>
    <mergeCell ref="C3:C63"/>
    <mergeCell ref="D27:E29"/>
    <mergeCell ref="F27:G29"/>
    <mergeCell ref="D26:G26"/>
    <mergeCell ref="W57:Y58"/>
    <mergeCell ref="Z57:AC58"/>
    <mergeCell ref="AD57:AK58"/>
    <mergeCell ref="W59:Y60"/>
    <mergeCell ref="Z59:AC60"/>
    <mergeCell ref="AD59:AK60"/>
    <mergeCell ref="W53:Y54"/>
    <mergeCell ref="Z53:AC54"/>
    <mergeCell ref="AD53:AK54"/>
    <mergeCell ref="W55:Y56"/>
    <mergeCell ref="Z28:AA28"/>
    <mergeCell ref="Z55:AC56"/>
    <mergeCell ref="R53:U55"/>
    <mergeCell ref="D53:D55"/>
    <mergeCell ref="J28:K28"/>
    <mergeCell ref="F11:G11"/>
    <mergeCell ref="F12:G12"/>
    <mergeCell ref="AF28:AG28"/>
    <mergeCell ref="AH28:AI28"/>
    <mergeCell ref="L28:M28"/>
    <mergeCell ref="P28:Q28"/>
    <mergeCell ref="R28:S28"/>
    <mergeCell ref="V28:W28"/>
    <mergeCell ref="X28:Y28"/>
    <mergeCell ref="AB28:AC28"/>
    <mergeCell ref="AD28:AE28"/>
    <mergeCell ref="T28:U28"/>
    <mergeCell ref="BS28:BT28"/>
    <mergeCell ref="AJ28:AK28"/>
    <mergeCell ref="AS28:AT28"/>
    <mergeCell ref="AU28:AV28"/>
    <mergeCell ref="AY28:AZ28"/>
    <mergeCell ref="BA28:BB28"/>
    <mergeCell ref="BE28:BF28"/>
    <mergeCell ref="BO28:BP28"/>
    <mergeCell ref="BI28:BJ28"/>
    <mergeCell ref="BG28:BH28"/>
    <mergeCell ref="BC28:BD28"/>
    <mergeCell ref="AW28:AX28"/>
    <mergeCell ref="AQ28:AR28"/>
    <mergeCell ref="BK28:BL28"/>
    <mergeCell ref="BM28:BN28"/>
    <mergeCell ref="BQ28:BR28"/>
    <mergeCell ref="N26:S27"/>
    <mergeCell ref="T26:Y27"/>
    <mergeCell ref="AY5:AZ5"/>
    <mergeCell ref="BA5:BB5"/>
    <mergeCell ref="BE5:BF5"/>
    <mergeCell ref="BG5:BH5"/>
    <mergeCell ref="AS5:AT5"/>
    <mergeCell ref="AU5:AV5"/>
    <mergeCell ref="Z26:AE27"/>
    <mergeCell ref="AF26:AK27"/>
    <mergeCell ref="AQ5:AR5"/>
    <mergeCell ref="AW5:AX5"/>
    <mergeCell ref="BC5:BD5"/>
    <mergeCell ref="Z5:AA5"/>
    <mergeCell ref="BS5:BT5"/>
    <mergeCell ref="BK5:BL5"/>
    <mergeCell ref="BM5:BN5"/>
    <mergeCell ref="BI5:BJ5"/>
    <mergeCell ref="BO5:BP5"/>
    <mergeCell ref="AF3:AK4"/>
    <mergeCell ref="AH5:AI5"/>
    <mergeCell ref="AJ5:AK5"/>
    <mergeCell ref="T3:Y4"/>
    <mergeCell ref="V5:W5"/>
    <mergeCell ref="X5:Y5"/>
    <mergeCell ref="Z3:AE4"/>
    <mergeCell ref="AB5:AC5"/>
    <mergeCell ref="AD5:AE5"/>
    <mergeCell ref="T5:U5"/>
    <mergeCell ref="J5:K5"/>
    <mergeCell ref="N3:S4"/>
    <mergeCell ref="P5:Q5"/>
    <mergeCell ref="R5:S5"/>
    <mergeCell ref="H5:I5"/>
    <mergeCell ref="H3:M4"/>
    <mergeCell ref="N5:O5"/>
    <mergeCell ref="AF5:AG5"/>
    <mergeCell ref="BQ5:BR5"/>
    <mergeCell ref="L5:M5"/>
    <mergeCell ref="D13:E13"/>
    <mergeCell ref="D14:E14"/>
    <mergeCell ref="D15:E15"/>
    <mergeCell ref="F13:G13"/>
    <mergeCell ref="F14:G14"/>
    <mergeCell ref="F15:G15"/>
    <mergeCell ref="D3:E4"/>
    <mergeCell ref="D9:E9"/>
    <mergeCell ref="F3:G4"/>
    <mergeCell ref="D7:E7"/>
    <mergeCell ref="D8:E8"/>
    <mergeCell ref="F8:G8"/>
    <mergeCell ref="F7:G7"/>
    <mergeCell ref="D5:E6"/>
    <mergeCell ref="F5:G6"/>
    <mergeCell ref="F9:G9"/>
    <mergeCell ref="F10:G10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4ED9-440C-4AEA-90BF-8F7982F87558}">
  <sheetPr>
    <pageSetUpPr fitToPage="1"/>
  </sheetPr>
  <dimension ref="B2:Z91"/>
  <sheetViews>
    <sheetView topLeftCell="A65" zoomScale="85" zoomScaleNormal="85" workbookViewId="0">
      <selection activeCell="R19" sqref="R19"/>
    </sheetView>
  </sheetViews>
  <sheetFormatPr defaultRowHeight="16.5" x14ac:dyDescent="0.3"/>
  <cols>
    <col min="2" max="2" width="1.75" customWidth="1"/>
    <col min="4" max="4" width="34.125" bestFit="1" customWidth="1"/>
    <col min="5" max="5" width="20.875" customWidth="1"/>
    <col min="6" max="11" width="13" customWidth="1"/>
    <col min="12" max="12" width="18" customWidth="1"/>
    <col min="13" max="14" width="17.5" customWidth="1"/>
    <col min="15" max="15" width="1.875" customWidth="1"/>
    <col min="20" max="20" width="18.375" customWidth="1"/>
    <col min="22" max="22" width="7" customWidth="1"/>
    <col min="23" max="23" width="8.125" customWidth="1"/>
    <col min="25" max="25" width="7.625" customWidth="1"/>
  </cols>
  <sheetData>
    <row r="2" spans="2:26" ht="9.75" customHeight="1" thickBot="1" x14ac:dyDescent="0.35">
      <c r="B2" s="7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76"/>
      <c r="S2" s="99"/>
      <c r="T2" s="99"/>
      <c r="U2" s="99"/>
      <c r="V2" s="99"/>
      <c r="W2" s="99"/>
      <c r="X2" s="99"/>
      <c r="Y2" s="99"/>
      <c r="Z2" s="99"/>
    </row>
    <row r="3" spans="2:26" ht="19.5" customHeight="1" x14ac:dyDescent="0.3">
      <c r="B3" s="76"/>
      <c r="C3" s="482" t="s">
        <v>230</v>
      </c>
      <c r="D3" s="481" t="s">
        <v>125</v>
      </c>
      <c r="E3" s="480"/>
      <c r="F3" s="479" t="s">
        <v>229</v>
      </c>
      <c r="G3" s="478"/>
      <c r="H3" s="478"/>
      <c r="I3" s="478"/>
      <c r="J3" s="478"/>
      <c r="K3" s="478"/>
      <c r="L3" s="477" t="s">
        <v>228</v>
      </c>
      <c r="M3" s="476"/>
      <c r="N3" s="475"/>
      <c r="O3" s="76"/>
      <c r="S3" s="99"/>
      <c r="T3" s="99"/>
      <c r="U3" s="99"/>
      <c r="V3" s="99"/>
      <c r="W3" s="99"/>
      <c r="X3" s="99"/>
      <c r="Y3" s="99"/>
      <c r="Z3" s="99"/>
    </row>
    <row r="4" spans="2:26" ht="16.5" customHeight="1" x14ac:dyDescent="0.3">
      <c r="B4" s="76"/>
      <c r="C4" s="474"/>
      <c r="D4" s="472"/>
      <c r="E4" s="471"/>
      <c r="F4" s="470" t="s">
        <v>227</v>
      </c>
      <c r="G4" s="470"/>
      <c r="H4" s="470" t="s">
        <v>226</v>
      </c>
      <c r="I4" s="470"/>
      <c r="J4" s="469" t="s">
        <v>225</v>
      </c>
      <c r="K4" s="468"/>
      <c r="L4" s="452"/>
      <c r="M4" s="451"/>
      <c r="N4" s="467"/>
      <c r="O4" s="76"/>
      <c r="S4" s="99"/>
      <c r="T4" s="99"/>
      <c r="U4" s="99"/>
      <c r="V4" s="99"/>
      <c r="W4" s="99"/>
      <c r="X4" s="99"/>
      <c r="Y4" s="99"/>
      <c r="Z4" s="99"/>
    </row>
    <row r="5" spans="2:26" ht="19.5" customHeight="1" thickBot="1" x14ac:dyDescent="0.35">
      <c r="B5" s="76"/>
      <c r="C5" s="473"/>
      <c r="D5" s="472"/>
      <c r="E5" s="471"/>
      <c r="F5" s="470"/>
      <c r="G5" s="470"/>
      <c r="H5" s="470"/>
      <c r="I5" s="470"/>
      <c r="J5" s="469"/>
      <c r="K5" s="468"/>
      <c r="L5" s="452" t="s">
        <v>224</v>
      </c>
      <c r="M5" s="451"/>
      <c r="N5" s="467"/>
      <c r="O5" s="76"/>
      <c r="S5" s="99"/>
      <c r="T5" s="99"/>
      <c r="U5" s="99"/>
      <c r="V5" s="99"/>
      <c r="W5" s="99"/>
      <c r="X5" s="99"/>
      <c r="Y5" s="99"/>
      <c r="Z5" s="99"/>
    </row>
    <row r="6" spans="2:26" ht="19.5" customHeight="1" thickBot="1" x14ac:dyDescent="0.35">
      <c r="B6" s="76"/>
      <c r="C6" s="466" t="s">
        <v>223</v>
      </c>
      <c r="D6" s="464" t="s">
        <v>6</v>
      </c>
      <c r="E6" s="465" t="s">
        <v>0</v>
      </c>
      <c r="F6" s="465" t="s">
        <v>1</v>
      </c>
      <c r="G6" s="465" t="s">
        <v>222</v>
      </c>
      <c r="H6" s="465" t="s">
        <v>1</v>
      </c>
      <c r="I6" s="465" t="s">
        <v>222</v>
      </c>
      <c r="J6" s="464" t="s">
        <v>1</v>
      </c>
      <c r="K6" s="463" t="s">
        <v>222</v>
      </c>
      <c r="L6" s="441" t="s">
        <v>6</v>
      </c>
      <c r="M6" s="440" t="s">
        <v>205</v>
      </c>
      <c r="N6" s="439" t="s">
        <v>204</v>
      </c>
      <c r="O6" s="76"/>
    </row>
    <row r="7" spans="2:26" ht="24.95" customHeight="1" x14ac:dyDescent="0.3">
      <c r="B7" s="76"/>
      <c r="C7" s="462" t="s">
        <v>221</v>
      </c>
      <c r="D7" s="435">
        <f>S7</f>
        <v>0</v>
      </c>
      <c r="E7" s="433">
        <f>T7</f>
        <v>0</v>
      </c>
      <c r="F7" s="447">
        <v>30</v>
      </c>
      <c r="G7" s="483">
        <v>30</v>
      </c>
      <c r="H7" s="434">
        <v>30</v>
      </c>
      <c r="I7" s="433">
        <v>30</v>
      </c>
      <c r="J7" s="434">
        <v>30</v>
      </c>
      <c r="K7" s="433">
        <v>30</v>
      </c>
      <c r="L7" s="461" t="s">
        <v>220</v>
      </c>
      <c r="M7" s="445">
        <v>30</v>
      </c>
      <c r="N7" s="439" t="s">
        <v>213</v>
      </c>
      <c r="O7" s="76"/>
      <c r="U7" s="426"/>
      <c r="V7" s="426"/>
      <c r="W7" s="426"/>
      <c r="X7" s="426"/>
      <c r="Y7" s="426"/>
      <c r="Z7" s="426"/>
    </row>
    <row r="8" spans="2:26" ht="24.95" customHeight="1" x14ac:dyDescent="0.3">
      <c r="B8" s="76"/>
      <c r="C8" s="432"/>
      <c r="D8" s="435">
        <f>S8</f>
        <v>0</v>
      </c>
      <c r="E8" s="433">
        <f>T8</f>
        <v>0</v>
      </c>
      <c r="F8" s="447">
        <v>30</v>
      </c>
      <c r="G8" s="483">
        <v>30</v>
      </c>
      <c r="H8" s="434">
        <v>30</v>
      </c>
      <c r="I8" s="433">
        <v>30</v>
      </c>
      <c r="J8" s="434">
        <v>30</v>
      </c>
      <c r="K8" s="433">
        <v>30</v>
      </c>
      <c r="L8" s="441" t="s">
        <v>219</v>
      </c>
      <c r="M8" s="445">
        <v>30</v>
      </c>
      <c r="N8" s="439" t="s">
        <v>213</v>
      </c>
      <c r="O8" s="76"/>
      <c r="U8" s="426"/>
      <c r="V8" s="426"/>
      <c r="W8" s="426"/>
      <c r="X8" s="426"/>
      <c r="Y8" s="426"/>
      <c r="Z8" s="426"/>
    </row>
    <row r="9" spans="2:26" ht="24.95" customHeight="1" x14ac:dyDescent="0.3">
      <c r="B9" s="76"/>
      <c r="C9" s="432"/>
      <c r="D9" s="435">
        <f>S9</f>
        <v>0</v>
      </c>
      <c r="E9" s="433">
        <f>T9</f>
        <v>0</v>
      </c>
      <c r="F9" s="447">
        <v>30</v>
      </c>
      <c r="G9" s="483">
        <v>30</v>
      </c>
      <c r="H9" s="434">
        <v>30</v>
      </c>
      <c r="I9" s="433">
        <v>30</v>
      </c>
      <c r="J9" s="434">
        <v>30</v>
      </c>
      <c r="K9" s="433">
        <v>30</v>
      </c>
      <c r="L9" s="461" t="s">
        <v>218</v>
      </c>
      <c r="M9" s="445">
        <v>30</v>
      </c>
      <c r="N9" s="439" t="s">
        <v>213</v>
      </c>
      <c r="O9" s="76"/>
      <c r="U9" s="426"/>
      <c r="V9" s="426"/>
      <c r="W9" s="426"/>
      <c r="X9" s="426"/>
      <c r="Y9" s="426"/>
      <c r="Z9" s="426"/>
    </row>
    <row r="10" spans="2:26" ht="24.95" customHeight="1" x14ac:dyDescent="0.3">
      <c r="B10" s="76"/>
      <c r="C10" s="432"/>
      <c r="D10" s="435">
        <f>S10</f>
        <v>0</v>
      </c>
      <c r="E10" s="433">
        <f>T10</f>
        <v>0</v>
      </c>
      <c r="F10" s="447">
        <v>30</v>
      </c>
      <c r="G10" s="483">
        <v>30</v>
      </c>
      <c r="H10" s="434">
        <v>30</v>
      </c>
      <c r="I10" s="433">
        <v>30</v>
      </c>
      <c r="J10" s="434">
        <v>30</v>
      </c>
      <c r="K10" s="433">
        <v>30</v>
      </c>
      <c r="L10" s="441" t="s">
        <v>217</v>
      </c>
      <c r="M10" s="445">
        <v>30</v>
      </c>
      <c r="N10" s="439" t="s">
        <v>213</v>
      </c>
      <c r="O10" s="76"/>
      <c r="U10" s="426"/>
      <c r="V10" s="426"/>
      <c r="W10" s="426"/>
      <c r="X10" s="426"/>
      <c r="Y10" s="426"/>
      <c r="Z10" s="426"/>
    </row>
    <row r="11" spans="2:26" ht="24.95" customHeight="1" x14ac:dyDescent="0.3">
      <c r="B11" s="76"/>
      <c r="C11" s="432"/>
      <c r="D11" s="435">
        <f>S11</f>
        <v>0</v>
      </c>
      <c r="E11" s="433">
        <f>T11</f>
        <v>0</v>
      </c>
      <c r="F11" s="447">
        <v>30</v>
      </c>
      <c r="G11" s="483">
        <v>30</v>
      </c>
      <c r="H11" s="434">
        <v>30</v>
      </c>
      <c r="I11" s="433">
        <v>30</v>
      </c>
      <c r="J11" s="434">
        <v>30</v>
      </c>
      <c r="K11" s="433">
        <v>30</v>
      </c>
      <c r="L11" s="441" t="s">
        <v>216</v>
      </c>
      <c r="M11" s="445">
        <v>30</v>
      </c>
      <c r="N11" s="439" t="s">
        <v>213</v>
      </c>
      <c r="O11" s="76"/>
      <c r="U11" s="426"/>
      <c r="V11" s="426"/>
      <c r="W11" s="426"/>
      <c r="X11" s="426"/>
      <c r="Y11" s="426"/>
      <c r="Z11" s="426"/>
    </row>
    <row r="12" spans="2:26" ht="24.95" customHeight="1" x14ac:dyDescent="0.3">
      <c r="B12" s="76"/>
      <c r="C12" s="432"/>
      <c r="D12" s="435">
        <f>S12</f>
        <v>0</v>
      </c>
      <c r="E12" s="433">
        <f>T12</f>
        <v>0</v>
      </c>
      <c r="F12" s="447">
        <v>30</v>
      </c>
      <c r="G12" s="483">
        <v>30</v>
      </c>
      <c r="H12" s="434">
        <v>30</v>
      </c>
      <c r="I12" s="433">
        <v>30</v>
      </c>
      <c r="J12" s="434">
        <v>30</v>
      </c>
      <c r="K12" s="433">
        <v>30</v>
      </c>
      <c r="L12" s="441" t="s">
        <v>215</v>
      </c>
      <c r="M12" s="445">
        <v>30</v>
      </c>
      <c r="N12" s="439" t="s">
        <v>213</v>
      </c>
      <c r="O12" s="76"/>
      <c r="U12" s="426"/>
      <c r="V12" s="426"/>
      <c r="W12" s="426"/>
      <c r="X12" s="426"/>
      <c r="Y12" s="426"/>
      <c r="Z12" s="426"/>
    </row>
    <row r="13" spans="2:26" ht="24.95" customHeight="1" thickBot="1" x14ac:dyDescent="0.35">
      <c r="B13" s="76"/>
      <c r="C13" s="432"/>
      <c r="D13" s="435">
        <f>S13</f>
        <v>0</v>
      </c>
      <c r="E13" s="433">
        <f>T13</f>
        <v>0</v>
      </c>
      <c r="F13" s="447">
        <v>30</v>
      </c>
      <c r="G13" s="483">
        <v>30</v>
      </c>
      <c r="H13" s="434">
        <v>30</v>
      </c>
      <c r="I13" s="433">
        <v>30</v>
      </c>
      <c r="J13" s="434">
        <v>30</v>
      </c>
      <c r="K13" s="433">
        <v>30</v>
      </c>
      <c r="L13" s="460" t="s">
        <v>214</v>
      </c>
      <c r="M13" s="445">
        <v>30</v>
      </c>
      <c r="N13" s="459" t="s">
        <v>213</v>
      </c>
      <c r="O13" s="76"/>
      <c r="U13" s="426"/>
      <c r="V13" s="426"/>
      <c r="W13" s="426"/>
      <c r="X13" s="426"/>
      <c r="Y13" s="426"/>
      <c r="Z13" s="426"/>
    </row>
    <row r="14" spans="2:26" ht="24.95" customHeight="1" x14ac:dyDescent="0.3">
      <c r="B14" s="76"/>
      <c r="C14" s="432"/>
      <c r="D14" s="435">
        <f>S14</f>
        <v>0</v>
      </c>
      <c r="E14" s="433">
        <f>T14</f>
        <v>0</v>
      </c>
      <c r="F14" s="447">
        <v>30</v>
      </c>
      <c r="G14" s="483">
        <v>30</v>
      </c>
      <c r="H14" s="434">
        <v>30</v>
      </c>
      <c r="I14" s="433">
        <v>30</v>
      </c>
      <c r="J14" s="434">
        <v>30</v>
      </c>
      <c r="K14" s="433">
        <v>30</v>
      </c>
      <c r="L14" s="458" t="s">
        <v>212</v>
      </c>
      <c r="M14" s="457"/>
      <c r="N14" s="456" t="s">
        <v>205</v>
      </c>
      <c r="O14" s="76"/>
      <c r="U14" s="426"/>
      <c r="V14" s="426"/>
      <c r="W14" s="426"/>
      <c r="X14" s="426"/>
      <c r="Y14" s="426"/>
      <c r="Z14" s="426"/>
    </row>
    <row r="15" spans="2:26" ht="24.95" customHeight="1" thickBot="1" x14ac:dyDescent="0.35">
      <c r="B15" s="76"/>
      <c r="C15" s="432"/>
      <c r="D15" s="435">
        <f>S15</f>
        <v>0</v>
      </c>
      <c r="E15" s="433">
        <f>T15</f>
        <v>0</v>
      </c>
      <c r="F15" s="434">
        <v>30</v>
      </c>
      <c r="G15" s="483">
        <v>30</v>
      </c>
      <c r="H15" s="434">
        <v>30</v>
      </c>
      <c r="I15" s="433">
        <v>30</v>
      </c>
      <c r="J15" s="434">
        <v>30</v>
      </c>
      <c r="K15" s="433">
        <v>30</v>
      </c>
      <c r="L15" s="455"/>
      <c r="M15" s="454"/>
      <c r="N15" s="453">
        <v>7</v>
      </c>
      <c r="O15" s="76"/>
      <c r="U15" s="426"/>
      <c r="V15" s="426"/>
      <c r="W15" s="426"/>
      <c r="X15" s="426"/>
      <c r="Y15" s="426"/>
      <c r="Z15" s="426"/>
    </row>
    <row r="16" spans="2:26" ht="24.95" customHeight="1" x14ac:dyDescent="0.3">
      <c r="B16" s="76"/>
      <c r="C16" s="432"/>
      <c r="D16" s="435">
        <f>S16</f>
        <v>0</v>
      </c>
      <c r="E16" s="433">
        <f>T16</f>
        <v>0</v>
      </c>
      <c r="F16" s="434">
        <v>30</v>
      </c>
      <c r="G16" s="483">
        <v>30</v>
      </c>
      <c r="H16" s="434">
        <v>30</v>
      </c>
      <c r="I16" s="433">
        <v>30</v>
      </c>
      <c r="J16" s="434">
        <v>30</v>
      </c>
      <c r="K16" s="433">
        <v>30</v>
      </c>
      <c r="L16" s="452" t="s">
        <v>211</v>
      </c>
      <c r="M16" s="451"/>
      <c r="N16" s="450"/>
      <c r="O16" s="76"/>
      <c r="U16" s="426"/>
      <c r="V16" s="426"/>
      <c r="W16" s="426"/>
      <c r="X16" s="426"/>
      <c r="Y16" s="426"/>
      <c r="Z16" s="426"/>
    </row>
    <row r="17" spans="2:26" ht="24.95" customHeight="1" x14ac:dyDescent="0.3">
      <c r="B17" s="76"/>
      <c r="C17" s="432"/>
      <c r="D17" s="435">
        <f>S17</f>
        <v>0</v>
      </c>
      <c r="E17" s="433">
        <f>T17</f>
        <v>0</v>
      </c>
      <c r="F17" s="447">
        <v>30</v>
      </c>
      <c r="G17" s="483">
        <v>30</v>
      </c>
      <c r="H17" s="434">
        <v>30</v>
      </c>
      <c r="I17" s="433">
        <v>30</v>
      </c>
      <c r="J17" s="434">
        <v>30</v>
      </c>
      <c r="K17" s="433">
        <v>30</v>
      </c>
      <c r="L17" s="441" t="s">
        <v>6</v>
      </c>
      <c r="M17" s="440" t="s">
        <v>205</v>
      </c>
      <c r="N17" s="439" t="s">
        <v>204</v>
      </c>
      <c r="O17" s="76"/>
      <c r="U17" s="426"/>
      <c r="V17" s="426"/>
      <c r="W17" s="426"/>
      <c r="X17" s="426"/>
      <c r="Y17" s="426"/>
      <c r="Z17" s="426"/>
    </row>
    <row r="18" spans="2:26" ht="24.95" customHeight="1" x14ac:dyDescent="0.3">
      <c r="B18" s="76"/>
      <c r="C18" s="432"/>
      <c r="D18" s="435">
        <f>S18</f>
        <v>0</v>
      </c>
      <c r="E18" s="433">
        <f>T18</f>
        <v>0</v>
      </c>
      <c r="F18" s="447">
        <v>30</v>
      </c>
      <c r="G18" s="483">
        <v>30</v>
      </c>
      <c r="H18" s="434">
        <v>30</v>
      </c>
      <c r="I18" s="433">
        <v>30</v>
      </c>
      <c r="J18" s="434">
        <v>30</v>
      </c>
      <c r="K18" s="433">
        <v>30</v>
      </c>
      <c r="L18" s="449" t="s">
        <v>210</v>
      </c>
      <c r="M18" s="445">
        <v>2</v>
      </c>
      <c r="N18" s="439" t="s">
        <v>209</v>
      </c>
      <c r="O18" s="76"/>
      <c r="U18" s="426"/>
      <c r="V18" s="426"/>
      <c r="W18" s="426"/>
      <c r="X18" s="426"/>
      <c r="Y18" s="426"/>
      <c r="Z18" s="426"/>
    </row>
    <row r="19" spans="2:26" ht="24.95" customHeight="1" x14ac:dyDescent="0.3">
      <c r="B19" s="76"/>
      <c r="C19" s="432"/>
      <c r="D19" s="435">
        <f>S19</f>
        <v>0</v>
      </c>
      <c r="E19" s="433">
        <f>T19</f>
        <v>0</v>
      </c>
      <c r="F19" s="447">
        <v>30</v>
      </c>
      <c r="G19" s="483">
        <v>30</v>
      </c>
      <c r="H19" s="434">
        <v>30</v>
      </c>
      <c r="I19" s="433">
        <v>30</v>
      </c>
      <c r="J19" s="434">
        <v>30</v>
      </c>
      <c r="K19" s="433">
        <v>30</v>
      </c>
      <c r="L19" s="448"/>
      <c r="M19" s="445">
        <v>5</v>
      </c>
      <c r="N19" s="439" t="s">
        <v>208</v>
      </c>
      <c r="O19" s="76"/>
      <c r="U19" s="426"/>
      <c r="V19" s="426"/>
      <c r="W19" s="426"/>
      <c r="X19" s="426"/>
      <c r="Y19" s="426"/>
      <c r="Z19" s="426"/>
    </row>
    <row r="20" spans="2:26" ht="24.95" customHeight="1" x14ac:dyDescent="0.3">
      <c r="B20" s="76"/>
      <c r="C20" s="432"/>
      <c r="D20" s="435">
        <f>S20</f>
        <v>0</v>
      </c>
      <c r="E20" s="433">
        <f>T20</f>
        <v>0</v>
      </c>
      <c r="F20" s="447">
        <v>30</v>
      </c>
      <c r="G20" s="483">
        <v>30</v>
      </c>
      <c r="H20" s="434">
        <v>30</v>
      </c>
      <c r="I20" s="433">
        <v>30</v>
      </c>
      <c r="J20" s="434">
        <v>30</v>
      </c>
      <c r="K20" s="433">
        <v>30</v>
      </c>
      <c r="L20" s="446"/>
      <c r="M20" s="445">
        <v>3</v>
      </c>
      <c r="N20" s="439" t="s">
        <v>207</v>
      </c>
      <c r="O20" s="76"/>
      <c r="U20" s="426"/>
      <c r="V20" s="426"/>
      <c r="W20" s="426"/>
      <c r="X20" s="426"/>
      <c r="Y20" s="426"/>
      <c r="Z20" s="426"/>
    </row>
    <row r="21" spans="2:26" ht="24.95" customHeight="1" x14ac:dyDescent="0.3">
      <c r="B21" s="76"/>
      <c r="C21" s="432"/>
      <c r="D21" s="435">
        <f>S21</f>
        <v>0</v>
      </c>
      <c r="E21" s="433">
        <f>T21</f>
        <v>0</v>
      </c>
      <c r="F21" s="434">
        <v>30</v>
      </c>
      <c r="G21" s="483">
        <v>30</v>
      </c>
      <c r="H21" s="434">
        <v>30</v>
      </c>
      <c r="I21" s="433">
        <v>30</v>
      </c>
      <c r="J21" s="434">
        <v>30</v>
      </c>
      <c r="K21" s="433">
        <v>30</v>
      </c>
      <c r="L21" s="444" t="s">
        <v>206</v>
      </c>
      <c r="M21" s="443"/>
      <c r="N21" s="442"/>
      <c r="O21" s="76"/>
      <c r="U21" s="426"/>
      <c r="V21" s="426"/>
      <c r="W21" s="426"/>
      <c r="X21" s="426"/>
      <c r="Y21" s="426"/>
      <c r="Z21" s="426"/>
    </row>
    <row r="22" spans="2:26" ht="24.95" customHeight="1" x14ac:dyDescent="0.3">
      <c r="B22" s="76"/>
      <c r="C22" s="432"/>
      <c r="D22" s="435">
        <f>S22</f>
        <v>0</v>
      </c>
      <c r="E22" s="433">
        <f>T22</f>
        <v>0</v>
      </c>
      <c r="F22" s="434">
        <v>30</v>
      </c>
      <c r="G22" s="483">
        <v>30</v>
      </c>
      <c r="H22" s="434">
        <v>30</v>
      </c>
      <c r="I22" s="433">
        <v>30</v>
      </c>
      <c r="J22" s="434">
        <v>30</v>
      </c>
      <c r="K22" s="433">
        <v>30</v>
      </c>
      <c r="L22" s="441" t="s">
        <v>6</v>
      </c>
      <c r="M22" s="440" t="s">
        <v>205</v>
      </c>
      <c r="N22" s="439" t="s">
        <v>204</v>
      </c>
      <c r="O22" s="76"/>
      <c r="U22" s="426"/>
      <c r="V22" s="426"/>
      <c r="W22" s="426"/>
      <c r="X22" s="426"/>
      <c r="Y22" s="426"/>
      <c r="Z22" s="426"/>
    </row>
    <row r="23" spans="2:26" ht="24.95" customHeight="1" x14ac:dyDescent="0.3">
      <c r="B23" s="76"/>
      <c r="C23" s="432"/>
      <c r="D23" s="435">
        <f>S23</f>
        <v>0</v>
      </c>
      <c r="E23" s="433">
        <f>T23</f>
        <v>0</v>
      </c>
      <c r="F23" s="434">
        <v>30</v>
      </c>
      <c r="G23" s="483">
        <v>30</v>
      </c>
      <c r="H23" s="434">
        <v>30</v>
      </c>
      <c r="I23" s="433">
        <v>30</v>
      </c>
      <c r="J23" s="434">
        <v>30</v>
      </c>
      <c r="K23" s="433">
        <v>30</v>
      </c>
      <c r="L23" s="438" t="s">
        <v>203</v>
      </c>
      <c r="M23" s="437">
        <v>3</v>
      </c>
      <c r="N23" s="436" t="s">
        <v>202</v>
      </c>
      <c r="O23" s="76"/>
      <c r="U23" s="426"/>
      <c r="V23" s="426"/>
      <c r="W23" s="426"/>
      <c r="X23" s="426"/>
      <c r="Y23" s="426"/>
      <c r="Z23" s="426"/>
    </row>
    <row r="24" spans="2:26" ht="24.95" customHeight="1" x14ac:dyDescent="0.3">
      <c r="B24" s="76"/>
      <c r="C24" s="432"/>
      <c r="D24" s="435">
        <f>S24</f>
        <v>0</v>
      </c>
      <c r="E24" s="433">
        <f>T24</f>
        <v>0</v>
      </c>
      <c r="F24" s="434">
        <v>30</v>
      </c>
      <c r="G24" s="483">
        <v>30</v>
      </c>
      <c r="H24" s="434">
        <v>30</v>
      </c>
      <c r="I24" s="433">
        <v>30</v>
      </c>
      <c r="J24" s="434">
        <v>30</v>
      </c>
      <c r="K24" s="433">
        <v>30</v>
      </c>
      <c r="L24" s="429"/>
      <c r="M24" s="428"/>
      <c r="N24" s="427"/>
      <c r="O24" s="76"/>
      <c r="U24" s="426"/>
      <c r="V24" s="426"/>
      <c r="W24" s="426"/>
      <c r="X24" s="426"/>
      <c r="Y24" s="426"/>
      <c r="Z24" s="426"/>
    </row>
    <row r="25" spans="2:26" ht="24.95" customHeight="1" x14ac:dyDescent="0.3">
      <c r="B25" s="76"/>
      <c r="C25" s="432"/>
      <c r="D25" s="431">
        <f>S25</f>
        <v>0</v>
      </c>
      <c r="E25" s="430">
        <f>T25</f>
        <v>0</v>
      </c>
      <c r="F25" s="434">
        <v>30</v>
      </c>
      <c r="G25" s="483">
        <v>30</v>
      </c>
      <c r="H25" s="434">
        <v>30</v>
      </c>
      <c r="I25" s="433">
        <v>30</v>
      </c>
      <c r="J25" s="434">
        <v>30</v>
      </c>
      <c r="K25" s="433">
        <v>30</v>
      </c>
      <c r="L25" s="429"/>
      <c r="M25" s="428"/>
      <c r="N25" s="427"/>
      <c r="O25" s="76"/>
      <c r="U25" s="426"/>
      <c r="V25" s="426"/>
      <c r="W25" s="426"/>
      <c r="X25" s="426"/>
      <c r="Y25" s="426"/>
      <c r="Z25" s="426"/>
    </row>
    <row r="26" spans="2:26" ht="24.95" customHeight="1" thickBot="1" x14ac:dyDescent="0.35">
      <c r="B26" s="76"/>
      <c r="C26" s="425"/>
      <c r="D26" s="424">
        <f>S26</f>
        <v>0</v>
      </c>
      <c r="E26" s="423">
        <f>T26</f>
        <v>0</v>
      </c>
      <c r="F26" s="422" t="s">
        <v>201</v>
      </c>
      <c r="G26" s="421"/>
      <c r="H26" s="421"/>
      <c r="I26" s="421"/>
      <c r="J26" s="420" t="s">
        <v>91</v>
      </c>
      <c r="K26" s="419">
        <f>V26+25</f>
        <v>25</v>
      </c>
      <c r="L26" s="418"/>
      <c r="M26" s="417"/>
      <c r="N26" s="416"/>
      <c r="O26" s="76"/>
    </row>
    <row r="27" spans="2:26" ht="20.25" hidden="1" customHeight="1" thickBot="1" x14ac:dyDescent="0.35">
      <c r="B27" s="76"/>
      <c r="C27" s="415" t="s">
        <v>80</v>
      </c>
      <c r="D27" s="413" t="s">
        <v>200</v>
      </c>
      <c r="E27" s="413" t="s">
        <v>199</v>
      </c>
      <c r="F27" s="413" t="s">
        <v>189</v>
      </c>
      <c r="G27" s="413" t="s">
        <v>189</v>
      </c>
      <c r="H27" s="413" t="s">
        <v>196</v>
      </c>
      <c r="I27" s="413" t="s">
        <v>196</v>
      </c>
      <c r="J27" s="414">
        <v>30</v>
      </c>
      <c r="K27" s="413">
        <v>30</v>
      </c>
      <c r="L27" s="410">
        <v>30</v>
      </c>
      <c r="M27" s="409"/>
      <c r="N27" s="412">
        <v>30</v>
      </c>
      <c r="O27" s="76"/>
    </row>
    <row r="28" spans="2:26" ht="20.25" hidden="1" customHeight="1" thickBot="1" x14ac:dyDescent="0.35">
      <c r="B28" s="76"/>
      <c r="C28" s="407"/>
      <c r="D28" s="410" t="s">
        <v>198</v>
      </c>
      <c r="E28" s="410" t="s">
        <v>197</v>
      </c>
      <c r="F28" s="405" t="s">
        <v>189</v>
      </c>
      <c r="G28" s="405" t="s">
        <v>189</v>
      </c>
      <c r="H28" s="405" t="s">
        <v>196</v>
      </c>
      <c r="I28" s="405" t="s">
        <v>196</v>
      </c>
      <c r="J28" s="411">
        <v>30</v>
      </c>
      <c r="K28" s="410">
        <v>30</v>
      </c>
      <c r="L28" s="410">
        <v>25</v>
      </c>
      <c r="M28" s="409"/>
      <c r="N28" s="403">
        <v>25</v>
      </c>
      <c r="O28" s="76"/>
    </row>
    <row r="29" spans="2:26" ht="20.25" hidden="1" customHeight="1" thickBot="1" x14ac:dyDescent="0.35">
      <c r="B29" s="76"/>
      <c r="C29" s="407"/>
      <c r="D29" s="405" t="s">
        <v>195</v>
      </c>
      <c r="E29" s="405" t="s">
        <v>194</v>
      </c>
      <c r="F29" s="408">
        <v>55</v>
      </c>
      <c r="G29" s="405">
        <v>10</v>
      </c>
      <c r="H29" s="405" t="s">
        <v>189</v>
      </c>
      <c r="I29" s="405" t="s">
        <v>189</v>
      </c>
      <c r="J29" s="406">
        <v>30</v>
      </c>
      <c r="K29" s="405">
        <v>30</v>
      </c>
      <c r="L29" s="405">
        <v>20</v>
      </c>
      <c r="M29" s="404"/>
      <c r="N29" s="403">
        <v>20</v>
      </c>
      <c r="O29" s="76"/>
    </row>
    <row r="30" spans="2:26" ht="20.25" hidden="1" customHeight="1" thickBot="1" x14ac:dyDescent="0.35">
      <c r="B30" s="76"/>
      <c r="C30" s="407"/>
      <c r="D30" s="405" t="s">
        <v>193</v>
      </c>
      <c r="E30" s="405" t="s">
        <v>192</v>
      </c>
      <c r="F30" s="405">
        <v>30</v>
      </c>
      <c r="G30" s="405">
        <v>20</v>
      </c>
      <c r="H30" s="405" t="s">
        <v>189</v>
      </c>
      <c r="I30" s="405" t="s">
        <v>189</v>
      </c>
      <c r="J30" s="406">
        <v>30</v>
      </c>
      <c r="K30" s="405">
        <v>25</v>
      </c>
      <c r="L30" s="405">
        <v>25</v>
      </c>
      <c r="M30" s="404"/>
      <c r="N30" s="403">
        <v>20</v>
      </c>
      <c r="O30" s="76"/>
    </row>
    <row r="31" spans="2:26" ht="20.25" hidden="1" customHeight="1" thickBot="1" x14ac:dyDescent="0.35">
      <c r="B31" s="76"/>
      <c r="C31" s="402"/>
      <c r="D31" s="401" t="s">
        <v>191</v>
      </c>
      <c r="E31" s="401" t="s">
        <v>190</v>
      </c>
      <c r="F31" s="401" t="s">
        <v>189</v>
      </c>
      <c r="G31" s="401" t="s">
        <v>189</v>
      </c>
      <c r="H31" s="401" t="s">
        <v>189</v>
      </c>
      <c r="I31" s="401" t="s">
        <v>189</v>
      </c>
      <c r="J31" s="400" t="s">
        <v>188</v>
      </c>
      <c r="K31" s="399"/>
      <c r="L31" s="399"/>
      <c r="M31" s="399"/>
      <c r="N31" s="398"/>
      <c r="O31" s="76"/>
    </row>
    <row r="32" spans="2:26" ht="26.25" customHeight="1" thickBot="1" x14ac:dyDescent="0.35">
      <c r="B32" s="76"/>
      <c r="C32" s="397" t="s">
        <v>187</v>
      </c>
      <c r="D32" s="395"/>
      <c r="E32" s="395"/>
      <c r="F32" s="395"/>
      <c r="G32" s="395"/>
      <c r="H32" s="395"/>
      <c r="I32" s="395"/>
      <c r="J32" s="395"/>
      <c r="K32" s="395"/>
      <c r="L32" s="395"/>
      <c r="M32" s="395"/>
      <c r="N32" s="394"/>
      <c r="O32" s="76"/>
    </row>
    <row r="33" spans="2:15" ht="26.25" customHeight="1" thickBot="1" x14ac:dyDescent="0.35">
      <c r="B33" s="76"/>
      <c r="C33" s="396" t="s">
        <v>186</v>
      </c>
      <c r="D33" s="395"/>
      <c r="E33" s="395"/>
      <c r="F33" s="395"/>
      <c r="G33" s="395"/>
      <c r="H33" s="395"/>
      <c r="I33" s="395"/>
      <c r="J33" s="395"/>
      <c r="K33" s="395"/>
      <c r="L33" s="395"/>
      <c r="M33" s="395"/>
      <c r="N33" s="394"/>
      <c r="O33" s="76"/>
    </row>
    <row r="34" spans="2:15" ht="33" customHeight="1" x14ac:dyDescent="0.3">
      <c r="B34" s="76"/>
      <c r="C34" s="393" t="s">
        <v>185</v>
      </c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1"/>
      <c r="O34" s="76"/>
    </row>
    <row r="35" spans="2:15" ht="33" customHeight="1" x14ac:dyDescent="0.3">
      <c r="B35" s="76"/>
      <c r="C35" s="390"/>
      <c r="D35" s="389"/>
      <c r="E35" s="389"/>
      <c r="F35" s="389"/>
      <c r="G35" s="389"/>
      <c r="H35" s="389"/>
      <c r="I35" s="389"/>
      <c r="J35" s="389"/>
      <c r="K35" s="389"/>
      <c r="L35" s="389"/>
      <c r="M35" s="389"/>
      <c r="N35" s="388"/>
      <c r="O35" s="76"/>
    </row>
    <row r="36" spans="2:15" ht="33" customHeight="1" x14ac:dyDescent="0.3">
      <c r="B36" s="76"/>
      <c r="C36" s="390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8"/>
      <c r="O36" s="76"/>
    </row>
    <row r="37" spans="2:15" ht="33" customHeight="1" x14ac:dyDescent="0.3">
      <c r="B37" s="76"/>
      <c r="C37" s="390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8"/>
      <c r="O37" s="76"/>
    </row>
    <row r="38" spans="2:15" ht="33" customHeight="1" x14ac:dyDescent="0.3">
      <c r="B38" s="76"/>
      <c r="C38" s="390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8"/>
      <c r="O38" s="76"/>
    </row>
    <row r="39" spans="2:15" ht="33" customHeight="1" thickBot="1" x14ac:dyDescent="0.35">
      <c r="B39" s="76"/>
      <c r="C39" s="387"/>
      <c r="D39" s="386"/>
      <c r="E39" s="386"/>
      <c r="F39" s="386"/>
      <c r="G39" s="386"/>
      <c r="H39" s="386"/>
      <c r="I39" s="386"/>
      <c r="J39" s="386"/>
      <c r="K39" s="386"/>
      <c r="L39" s="386"/>
      <c r="M39" s="386"/>
      <c r="N39" s="385"/>
      <c r="O39" s="76"/>
    </row>
    <row r="40" spans="2:15" ht="26.25" customHeight="1" x14ac:dyDescent="0.3">
      <c r="B40" s="76"/>
      <c r="C40" s="384" t="s">
        <v>184</v>
      </c>
      <c r="D40" s="381"/>
      <c r="E40" s="381"/>
      <c r="F40" s="383"/>
      <c r="G40" s="382" t="s">
        <v>183</v>
      </c>
      <c r="H40" s="381"/>
      <c r="I40" s="383"/>
      <c r="J40" s="382" t="s">
        <v>182</v>
      </c>
      <c r="K40" s="381"/>
      <c r="L40" s="381"/>
      <c r="M40" s="381"/>
      <c r="N40" s="380"/>
      <c r="O40" s="76"/>
    </row>
    <row r="41" spans="2:15" ht="26.25" customHeight="1" x14ac:dyDescent="0.3">
      <c r="B41" s="76"/>
      <c r="C41" s="376" t="s">
        <v>181</v>
      </c>
      <c r="D41" s="374"/>
      <c r="E41" s="374"/>
      <c r="F41" s="373"/>
      <c r="G41" s="375">
        <v>15000</v>
      </c>
      <c r="H41" s="374"/>
      <c r="I41" s="373"/>
      <c r="J41" s="379" t="s">
        <v>180</v>
      </c>
      <c r="K41" s="378"/>
      <c r="L41" s="378"/>
      <c r="M41" s="378"/>
      <c r="N41" s="377"/>
      <c r="O41" s="76"/>
    </row>
    <row r="42" spans="2:15" ht="26.25" customHeight="1" x14ac:dyDescent="0.3">
      <c r="B42" s="76"/>
      <c r="C42" s="376" t="s">
        <v>179</v>
      </c>
      <c r="D42" s="374"/>
      <c r="E42" s="374"/>
      <c r="F42" s="373"/>
      <c r="G42" s="375">
        <v>10000</v>
      </c>
      <c r="H42" s="374"/>
      <c r="I42" s="373"/>
      <c r="J42" s="372"/>
      <c r="K42" s="371"/>
      <c r="L42" s="371"/>
      <c r="M42" s="371"/>
      <c r="N42" s="370"/>
      <c r="O42" s="76"/>
    </row>
    <row r="43" spans="2:15" ht="26.25" customHeight="1" x14ac:dyDescent="0.3">
      <c r="B43" s="76"/>
      <c r="C43" s="376" t="s">
        <v>178</v>
      </c>
      <c r="D43" s="374"/>
      <c r="E43" s="374"/>
      <c r="F43" s="373"/>
      <c r="G43" s="375">
        <v>20000</v>
      </c>
      <c r="H43" s="374"/>
      <c r="I43" s="373"/>
      <c r="J43" s="372"/>
      <c r="K43" s="371"/>
      <c r="L43" s="371"/>
      <c r="M43" s="371"/>
      <c r="N43" s="370"/>
      <c r="O43" s="76"/>
    </row>
    <row r="44" spans="2:15" ht="26.25" customHeight="1" x14ac:dyDescent="0.3">
      <c r="B44" s="76"/>
      <c r="C44" s="376" t="s">
        <v>177</v>
      </c>
      <c r="D44" s="374"/>
      <c r="E44" s="374"/>
      <c r="F44" s="373"/>
      <c r="G44" s="375">
        <v>3000</v>
      </c>
      <c r="H44" s="374"/>
      <c r="I44" s="373"/>
      <c r="J44" s="372"/>
      <c r="K44" s="371"/>
      <c r="L44" s="371"/>
      <c r="M44" s="371"/>
      <c r="N44" s="370"/>
      <c r="O44" s="76"/>
    </row>
    <row r="45" spans="2:15" ht="26.25" customHeight="1" x14ac:dyDescent="0.3">
      <c r="B45" s="76"/>
      <c r="C45" s="376" t="s">
        <v>176</v>
      </c>
      <c r="D45" s="374"/>
      <c r="E45" s="374"/>
      <c r="F45" s="373"/>
      <c r="G45" s="375">
        <v>8000</v>
      </c>
      <c r="H45" s="374"/>
      <c r="I45" s="373"/>
      <c r="J45" s="372"/>
      <c r="K45" s="371"/>
      <c r="L45" s="371"/>
      <c r="M45" s="371"/>
      <c r="N45" s="370"/>
      <c r="O45" s="76"/>
    </row>
    <row r="46" spans="2:15" ht="26.25" customHeight="1" thickBot="1" x14ac:dyDescent="0.35">
      <c r="B46" s="76"/>
      <c r="C46" s="369" t="s">
        <v>175</v>
      </c>
      <c r="D46" s="367"/>
      <c r="E46" s="367"/>
      <c r="F46" s="366"/>
      <c r="G46" s="368">
        <v>20000</v>
      </c>
      <c r="H46" s="367"/>
      <c r="I46" s="366"/>
      <c r="J46" s="365"/>
      <c r="K46" s="364"/>
      <c r="L46" s="364"/>
      <c r="M46" s="364"/>
      <c r="N46" s="363"/>
      <c r="O46" s="76"/>
    </row>
    <row r="47" spans="2:15" ht="3.75" customHeight="1" thickBot="1" x14ac:dyDescent="0.35">
      <c r="B47" s="76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76"/>
    </row>
    <row r="48" spans="2:15" ht="16.5" customHeight="1" x14ac:dyDescent="0.3">
      <c r="B48" s="76"/>
      <c r="C48" s="362" t="s">
        <v>125</v>
      </c>
      <c r="D48" s="361"/>
      <c r="E48" s="360" t="s">
        <v>174</v>
      </c>
      <c r="F48" s="359"/>
      <c r="G48" s="359"/>
      <c r="H48" s="359"/>
      <c r="I48" s="359"/>
      <c r="J48" s="359"/>
      <c r="K48" s="359"/>
      <c r="L48" s="359"/>
      <c r="M48" s="359"/>
      <c r="N48" s="358"/>
      <c r="O48" s="76"/>
    </row>
    <row r="49" spans="2:26" ht="16.5" customHeight="1" x14ac:dyDescent="0.3">
      <c r="B49" s="76"/>
      <c r="C49" s="354"/>
      <c r="D49" s="353"/>
      <c r="E49" s="357"/>
      <c r="F49" s="356"/>
      <c r="G49" s="356"/>
      <c r="H49" s="356"/>
      <c r="I49" s="356"/>
      <c r="J49" s="356"/>
      <c r="K49" s="356"/>
      <c r="L49" s="356"/>
      <c r="M49" s="356"/>
      <c r="N49" s="355"/>
      <c r="O49" s="76"/>
    </row>
    <row r="50" spans="2:26" ht="16.5" customHeight="1" x14ac:dyDescent="0.3">
      <c r="B50" s="76"/>
      <c r="C50" s="354"/>
      <c r="D50" s="353"/>
      <c r="E50" s="349" t="s">
        <v>173</v>
      </c>
      <c r="F50" s="348"/>
      <c r="G50" s="348"/>
      <c r="H50" s="348"/>
      <c r="I50" s="348"/>
      <c r="J50" s="348"/>
      <c r="K50" s="348"/>
      <c r="L50" s="348"/>
      <c r="M50" s="348"/>
      <c r="N50" s="352"/>
      <c r="O50" s="76"/>
    </row>
    <row r="51" spans="2:26" ht="17.25" customHeight="1" thickBot="1" x14ac:dyDescent="0.35">
      <c r="B51" s="76"/>
      <c r="C51" s="351"/>
      <c r="D51" s="350"/>
      <c r="E51" s="349"/>
      <c r="F51" s="348"/>
      <c r="G51" s="348"/>
      <c r="H51" s="348"/>
      <c r="I51" s="347"/>
      <c r="J51" s="347"/>
      <c r="K51" s="347"/>
      <c r="L51" s="347"/>
      <c r="M51" s="347"/>
      <c r="N51" s="346"/>
      <c r="O51" s="76"/>
    </row>
    <row r="52" spans="2:26" ht="16.5" customHeight="1" x14ac:dyDescent="0.3">
      <c r="B52" s="76"/>
      <c r="C52" s="345" t="s">
        <v>172</v>
      </c>
      <c r="D52" s="344"/>
      <c r="E52" s="344" t="s">
        <v>171</v>
      </c>
      <c r="F52" s="344"/>
      <c r="G52" s="344" t="s">
        <v>170</v>
      </c>
      <c r="H52" s="343"/>
      <c r="I52" s="342" t="s">
        <v>169</v>
      </c>
      <c r="J52" s="341"/>
      <c r="K52" s="340" t="s">
        <v>168</v>
      </c>
      <c r="L52" s="339"/>
      <c r="M52" s="338"/>
      <c r="N52" s="337" t="s">
        <v>167</v>
      </c>
      <c r="O52" s="76"/>
    </row>
    <row r="53" spans="2:26" x14ac:dyDescent="0.3">
      <c r="B53" s="76"/>
      <c r="C53" s="316"/>
      <c r="D53" s="315"/>
      <c r="E53" s="315"/>
      <c r="F53" s="315"/>
      <c r="G53" s="315"/>
      <c r="H53" s="334"/>
      <c r="I53" s="314"/>
      <c r="J53" s="313"/>
      <c r="K53" s="326"/>
      <c r="L53" s="336"/>
      <c r="M53" s="325"/>
      <c r="N53" s="335"/>
      <c r="O53" s="76"/>
    </row>
    <row r="54" spans="2:26" x14ac:dyDescent="0.3">
      <c r="B54" s="76"/>
      <c r="C54" s="316"/>
      <c r="D54" s="315"/>
      <c r="E54" s="315"/>
      <c r="F54" s="315"/>
      <c r="G54" s="315"/>
      <c r="H54" s="334"/>
      <c r="I54" s="333"/>
      <c r="J54" s="332"/>
      <c r="K54" s="319"/>
      <c r="L54" s="331"/>
      <c r="M54" s="318"/>
      <c r="N54" s="330"/>
      <c r="O54" s="76"/>
    </row>
    <row r="55" spans="2:26" ht="16.5" customHeight="1" x14ac:dyDescent="0.3">
      <c r="B55" s="76"/>
      <c r="C55" s="316" t="s">
        <v>166</v>
      </c>
      <c r="D55" s="315"/>
      <c r="E55" s="484">
        <v>30</v>
      </c>
      <c r="F55" s="485"/>
      <c r="G55" s="484">
        <v>30</v>
      </c>
      <c r="H55" s="485"/>
      <c r="I55" s="323" t="s">
        <v>165</v>
      </c>
      <c r="J55" s="328">
        <f>X55-5</f>
        <v>62</v>
      </c>
      <c r="K55" s="312" t="s">
        <v>164</v>
      </c>
      <c r="L55" s="311"/>
      <c r="M55" s="310">
        <f>Z55-5</f>
        <v>35</v>
      </c>
      <c r="N55" s="329" t="s">
        <v>163</v>
      </c>
      <c r="O55" s="76"/>
      <c r="V55">
        <v>105</v>
      </c>
      <c r="W55">
        <v>99</v>
      </c>
      <c r="X55">
        <v>67</v>
      </c>
      <c r="Z55">
        <v>40</v>
      </c>
    </row>
    <row r="56" spans="2:26" ht="16.5" customHeight="1" x14ac:dyDescent="0.3">
      <c r="B56" s="76"/>
      <c r="C56" s="316"/>
      <c r="D56" s="315"/>
      <c r="E56" s="357"/>
      <c r="F56" s="486"/>
      <c r="G56" s="357"/>
      <c r="H56" s="486"/>
      <c r="I56" s="323"/>
      <c r="J56" s="327"/>
      <c r="K56" s="326"/>
      <c r="L56" s="325"/>
      <c r="M56" s="324"/>
      <c r="N56" s="309"/>
      <c r="O56" s="76"/>
      <c r="V56">
        <v>95</v>
      </c>
      <c r="W56">
        <v>85</v>
      </c>
      <c r="X56">
        <v>57</v>
      </c>
      <c r="Z56">
        <v>35</v>
      </c>
    </row>
    <row r="57" spans="2:26" ht="16.5" customHeight="1" x14ac:dyDescent="0.3">
      <c r="B57" s="76"/>
      <c r="C57" s="316" t="s">
        <v>162</v>
      </c>
      <c r="D57" s="315"/>
      <c r="E57" s="484">
        <v>30</v>
      </c>
      <c r="F57" s="485"/>
      <c r="G57" s="484">
        <v>30</v>
      </c>
      <c r="H57" s="485"/>
      <c r="I57" s="323"/>
      <c r="J57" s="322"/>
      <c r="K57" s="319"/>
      <c r="L57" s="318"/>
      <c r="M57" s="317"/>
      <c r="N57" s="309"/>
      <c r="O57" s="76"/>
      <c r="V57">
        <v>55</v>
      </c>
      <c r="W57">
        <v>55</v>
      </c>
      <c r="X57">
        <v>42</v>
      </c>
      <c r="Z57">
        <v>30</v>
      </c>
    </row>
    <row r="58" spans="2:26" ht="16.5" customHeight="1" x14ac:dyDescent="0.3">
      <c r="B58" s="76"/>
      <c r="C58" s="316"/>
      <c r="D58" s="315"/>
      <c r="E58" s="357"/>
      <c r="F58" s="486"/>
      <c r="G58" s="357"/>
      <c r="H58" s="486"/>
      <c r="I58" s="323" t="s">
        <v>161</v>
      </c>
      <c r="J58" s="328">
        <f>X56-5</f>
        <v>52</v>
      </c>
      <c r="K58" s="312" t="s">
        <v>160</v>
      </c>
      <c r="L58" s="311"/>
      <c r="M58" s="310">
        <f>Z56-5</f>
        <v>30</v>
      </c>
      <c r="N58" s="309"/>
      <c r="O58" s="76"/>
      <c r="V58">
        <v>93</v>
      </c>
      <c r="W58">
        <v>85</v>
      </c>
      <c r="Z58">
        <v>35</v>
      </c>
    </row>
    <row r="59" spans="2:26" ht="16.5" customHeight="1" x14ac:dyDescent="0.3">
      <c r="B59" s="76"/>
      <c r="C59" s="316" t="s">
        <v>159</v>
      </c>
      <c r="D59" s="315"/>
      <c r="E59" s="484">
        <v>30</v>
      </c>
      <c r="F59" s="485"/>
      <c r="G59" s="484">
        <v>30</v>
      </c>
      <c r="H59" s="485"/>
      <c r="I59" s="323"/>
      <c r="J59" s="327"/>
      <c r="K59" s="326"/>
      <c r="L59" s="325"/>
      <c r="M59" s="324"/>
      <c r="N59" s="309"/>
      <c r="O59" s="76"/>
      <c r="V59">
        <v>83</v>
      </c>
      <c r="W59">
        <v>65</v>
      </c>
      <c r="Z59">
        <v>30</v>
      </c>
    </row>
    <row r="60" spans="2:26" ht="16.5" customHeight="1" x14ac:dyDescent="0.3">
      <c r="B60" s="76"/>
      <c r="C60" s="316"/>
      <c r="D60" s="315"/>
      <c r="E60" s="357"/>
      <c r="F60" s="486"/>
      <c r="G60" s="357"/>
      <c r="H60" s="486"/>
      <c r="I60" s="323"/>
      <c r="J60" s="322"/>
      <c r="K60" s="319"/>
      <c r="L60" s="318"/>
      <c r="M60" s="317"/>
      <c r="N60" s="309"/>
      <c r="O60" s="76"/>
      <c r="V60">
        <v>82</v>
      </c>
      <c r="W60">
        <v>58</v>
      </c>
      <c r="Z60">
        <v>20</v>
      </c>
    </row>
    <row r="61" spans="2:26" ht="19.5" customHeight="1" x14ac:dyDescent="0.3">
      <c r="B61" s="76"/>
      <c r="C61" s="316" t="s">
        <v>158</v>
      </c>
      <c r="D61" s="315"/>
      <c r="E61" s="484">
        <v>30</v>
      </c>
      <c r="F61" s="485"/>
      <c r="G61" s="484">
        <v>30</v>
      </c>
      <c r="H61" s="485"/>
      <c r="I61" s="323" t="s">
        <v>157</v>
      </c>
      <c r="J61" s="328">
        <f>X57-5</f>
        <v>37</v>
      </c>
      <c r="K61" s="312" t="s">
        <v>156</v>
      </c>
      <c r="L61" s="311"/>
      <c r="M61" s="310">
        <f>Z57-5</f>
        <v>25</v>
      </c>
      <c r="N61" s="309"/>
      <c r="O61" s="76"/>
      <c r="V61">
        <v>75</v>
      </c>
      <c r="W61">
        <v>49</v>
      </c>
      <c r="Z61">
        <v>18</v>
      </c>
    </row>
    <row r="62" spans="2:26" ht="19.5" customHeight="1" x14ac:dyDescent="0.3">
      <c r="B62" s="76"/>
      <c r="C62" s="316"/>
      <c r="D62" s="315"/>
      <c r="E62" s="357"/>
      <c r="F62" s="486"/>
      <c r="G62" s="357"/>
      <c r="H62" s="486"/>
      <c r="I62" s="323"/>
      <c r="J62" s="327"/>
      <c r="K62" s="326"/>
      <c r="L62" s="325"/>
      <c r="M62" s="324"/>
      <c r="N62" s="309"/>
      <c r="O62" s="76"/>
    </row>
    <row r="63" spans="2:26" ht="19.5" customHeight="1" x14ac:dyDescent="0.3">
      <c r="B63" s="76"/>
      <c r="C63" s="316" t="s">
        <v>155</v>
      </c>
      <c r="D63" s="315"/>
      <c r="E63" s="484">
        <v>30</v>
      </c>
      <c r="F63" s="485"/>
      <c r="G63" s="484">
        <v>30</v>
      </c>
      <c r="H63" s="485"/>
      <c r="I63" s="323"/>
      <c r="J63" s="322"/>
      <c r="K63" s="319"/>
      <c r="L63" s="318"/>
      <c r="M63" s="317"/>
      <c r="N63" s="309"/>
      <c r="O63" s="76"/>
    </row>
    <row r="64" spans="2:26" ht="16.5" customHeight="1" x14ac:dyDescent="0.3">
      <c r="B64" s="76"/>
      <c r="C64" s="316"/>
      <c r="D64" s="315"/>
      <c r="E64" s="357"/>
      <c r="F64" s="486"/>
      <c r="G64" s="357"/>
      <c r="H64" s="486"/>
      <c r="I64" s="321"/>
      <c r="J64" s="320"/>
      <c r="K64" s="312" t="s">
        <v>154</v>
      </c>
      <c r="L64" s="311"/>
      <c r="M64" s="310">
        <f>Z58-5</f>
        <v>30</v>
      </c>
      <c r="N64" s="309"/>
      <c r="O64" s="76"/>
    </row>
    <row r="65" spans="2:19" ht="16.5" customHeight="1" x14ac:dyDescent="0.3">
      <c r="B65" s="76"/>
      <c r="C65" s="316" t="s">
        <v>153</v>
      </c>
      <c r="D65" s="315"/>
      <c r="E65" s="484">
        <v>30</v>
      </c>
      <c r="F65" s="485"/>
      <c r="G65" s="484">
        <v>30</v>
      </c>
      <c r="H65" s="485"/>
      <c r="I65" s="314"/>
      <c r="J65" s="313"/>
      <c r="K65" s="319"/>
      <c r="L65" s="318"/>
      <c r="M65" s="317"/>
      <c r="N65" s="309"/>
      <c r="O65" s="76"/>
    </row>
    <row r="66" spans="2:19" ht="16.5" customHeight="1" x14ac:dyDescent="0.3">
      <c r="B66" s="76"/>
      <c r="C66" s="316"/>
      <c r="D66" s="315"/>
      <c r="E66" s="357"/>
      <c r="F66" s="486"/>
      <c r="G66" s="357"/>
      <c r="H66" s="486"/>
      <c r="I66" s="314"/>
      <c r="J66" s="313"/>
      <c r="K66" s="312" t="s">
        <v>152</v>
      </c>
      <c r="L66" s="311"/>
      <c r="M66" s="310">
        <f>Z59-5</f>
        <v>25</v>
      </c>
      <c r="N66" s="309"/>
      <c r="O66" s="76"/>
    </row>
    <row r="67" spans="2:19" ht="16.5" customHeight="1" x14ac:dyDescent="0.3">
      <c r="B67" s="76"/>
      <c r="C67" s="316" t="s">
        <v>151</v>
      </c>
      <c r="D67" s="315"/>
      <c r="E67" s="484">
        <v>30</v>
      </c>
      <c r="F67" s="485"/>
      <c r="G67" s="484">
        <v>30</v>
      </c>
      <c r="H67" s="485"/>
      <c r="I67" s="314"/>
      <c r="J67" s="313"/>
      <c r="K67" s="319"/>
      <c r="L67" s="318"/>
      <c r="M67" s="317"/>
      <c r="N67" s="309"/>
      <c r="O67" s="76"/>
    </row>
    <row r="68" spans="2:19" ht="16.5" customHeight="1" x14ac:dyDescent="0.3">
      <c r="B68" s="76"/>
      <c r="C68" s="316"/>
      <c r="D68" s="315"/>
      <c r="E68" s="357"/>
      <c r="F68" s="486"/>
      <c r="G68" s="357"/>
      <c r="H68" s="486"/>
      <c r="I68" s="314"/>
      <c r="J68" s="313"/>
      <c r="K68" s="312" t="s">
        <v>150</v>
      </c>
      <c r="L68" s="311"/>
      <c r="M68" s="310">
        <f>Z60-5</f>
        <v>15</v>
      </c>
      <c r="N68" s="309"/>
      <c r="O68" s="76"/>
    </row>
    <row r="69" spans="2:19" ht="17.25" customHeight="1" thickBot="1" x14ac:dyDescent="0.35">
      <c r="B69" s="76"/>
      <c r="C69" s="308"/>
      <c r="D69" s="307"/>
      <c r="E69" s="307"/>
      <c r="F69" s="307"/>
      <c r="G69" s="307"/>
      <c r="H69" s="306"/>
      <c r="I69" s="305"/>
      <c r="J69" s="304"/>
      <c r="K69" s="303"/>
      <c r="L69" s="302"/>
      <c r="M69" s="301"/>
      <c r="N69" s="300"/>
      <c r="O69" s="76"/>
    </row>
    <row r="70" spans="2:19" ht="16.5" customHeight="1" x14ac:dyDescent="0.3">
      <c r="B70" s="76"/>
      <c r="C70" s="293"/>
      <c r="D70" s="76"/>
      <c r="E70" s="76"/>
      <c r="F70" s="76"/>
      <c r="G70" s="76"/>
      <c r="H70" s="76"/>
      <c r="I70" s="299" t="s">
        <v>149</v>
      </c>
      <c r="J70" s="298"/>
      <c r="K70" s="298"/>
      <c r="L70" s="297"/>
      <c r="M70" s="296" t="s">
        <v>148</v>
      </c>
      <c r="N70" s="295"/>
      <c r="O70" s="76"/>
    </row>
    <row r="71" spans="2:19" ht="16.5" customHeight="1" x14ac:dyDescent="0.3">
      <c r="B71" s="76"/>
      <c r="C71" s="293"/>
      <c r="D71" s="76"/>
      <c r="E71" s="76"/>
      <c r="F71" s="76"/>
      <c r="G71" s="76"/>
      <c r="H71" s="76"/>
      <c r="I71" s="292"/>
      <c r="J71" s="291"/>
      <c r="K71" s="291"/>
      <c r="L71" s="290"/>
      <c r="M71" s="289"/>
      <c r="N71" s="288"/>
      <c r="O71" s="76"/>
    </row>
    <row r="72" spans="2:19" ht="16.5" customHeight="1" x14ac:dyDescent="0.3">
      <c r="B72" s="76"/>
      <c r="C72" s="293"/>
      <c r="D72" s="76"/>
      <c r="E72" s="76"/>
      <c r="F72" s="76"/>
      <c r="G72" s="76"/>
      <c r="H72" s="76"/>
      <c r="I72" s="292"/>
      <c r="J72" s="291"/>
      <c r="K72" s="291"/>
      <c r="L72" s="290"/>
      <c r="M72" s="289"/>
      <c r="N72" s="288"/>
      <c r="O72" s="76"/>
    </row>
    <row r="73" spans="2:19" ht="16.5" customHeight="1" x14ac:dyDescent="0.3">
      <c r="B73" s="76"/>
      <c r="C73" s="293"/>
      <c r="D73" s="76"/>
      <c r="E73" s="76"/>
      <c r="F73" s="76"/>
      <c r="G73" s="76"/>
      <c r="H73" s="76"/>
      <c r="I73" s="292"/>
      <c r="J73" s="291"/>
      <c r="K73" s="291"/>
      <c r="L73" s="290"/>
      <c r="M73" s="289"/>
      <c r="N73" s="288"/>
      <c r="O73" s="76"/>
    </row>
    <row r="74" spans="2:19" ht="16.5" customHeight="1" x14ac:dyDescent="0.3">
      <c r="B74" s="76"/>
      <c r="C74" s="293"/>
      <c r="D74" s="76"/>
      <c r="E74" s="76"/>
      <c r="F74" s="76"/>
      <c r="G74" s="76"/>
      <c r="H74" s="76"/>
      <c r="I74" s="292"/>
      <c r="J74" s="291"/>
      <c r="K74" s="291"/>
      <c r="L74" s="290"/>
      <c r="M74" s="289"/>
      <c r="N74" s="288"/>
      <c r="O74" s="76"/>
      <c r="S74" s="294"/>
    </row>
    <row r="75" spans="2:19" ht="16.5" customHeight="1" x14ac:dyDescent="0.3">
      <c r="B75" s="76"/>
      <c r="C75" s="293"/>
      <c r="D75" s="76"/>
      <c r="E75" s="76"/>
      <c r="F75" s="76"/>
      <c r="G75" s="76"/>
      <c r="H75" s="76"/>
      <c r="I75" s="292"/>
      <c r="J75" s="291"/>
      <c r="K75" s="291"/>
      <c r="L75" s="290"/>
      <c r="M75" s="289"/>
      <c r="N75" s="288"/>
      <c r="O75" s="76"/>
    </row>
    <row r="76" spans="2:19" ht="16.5" customHeight="1" x14ac:dyDescent="0.3">
      <c r="B76" s="76"/>
      <c r="C76" s="293"/>
      <c r="D76" s="76"/>
      <c r="E76" s="76"/>
      <c r="F76" s="76"/>
      <c r="G76" s="76"/>
      <c r="H76" s="76"/>
      <c r="I76" s="292"/>
      <c r="J76" s="291"/>
      <c r="K76" s="291"/>
      <c r="L76" s="290"/>
      <c r="M76" s="289"/>
      <c r="N76" s="288"/>
      <c r="O76" s="76"/>
    </row>
    <row r="77" spans="2:19" ht="16.5" customHeight="1" x14ac:dyDescent="0.3">
      <c r="B77" s="76"/>
      <c r="C77" s="293"/>
      <c r="D77" s="76"/>
      <c r="E77" s="76"/>
      <c r="F77" s="76"/>
      <c r="G77" s="76"/>
      <c r="H77" s="76"/>
      <c r="I77" s="292"/>
      <c r="J77" s="291"/>
      <c r="K77" s="291"/>
      <c r="L77" s="290"/>
      <c r="M77" s="289"/>
      <c r="N77" s="288"/>
      <c r="O77" s="76"/>
    </row>
    <row r="78" spans="2:19" ht="16.5" customHeight="1" x14ac:dyDescent="0.3">
      <c r="B78" s="76"/>
      <c r="C78" s="293"/>
      <c r="D78" s="76"/>
      <c r="E78" s="76"/>
      <c r="F78" s="76"/>
      <c r="G78" s="76"/>
      <c r="H78" s="76"/>
      <c r="I78" s="292"/>
      <c r="J78" s="291"/>
      <c r="K78" s="291"/>
      <c r="L78" s="290"/>
      <c r="M78" s="289"/>
      <c r="N78" s="288"/>
      <c r="O78" s="76"/>
    </row>
    <row r="79" spans="2:19" ht="17.25" customHeight="1" thickBot="1" x14ac:dyDescent="0.35">
      <c r="B79" s="76"/>
      <c r="C79" s="287"/>
      <c r="D79" s="286"/>
      <c r="E79" s="286"/>
      <c r="F79" s="286"/>
      <c r="G79" s="286"/>
      <c r="H79" s="286"/>
      <c r="I79" s="285"/>
      <c r="J79" s="284"/>
      <c r="K79" s="284"/>
      <c r="L79" s="283"/>
      <c r="M79" s="282"/>
      <c r="N79" s="281"/>
      <c r="O79" s="76"/>
    </row>
    <row r="80" spans="2:19" ht="38.25" customHeight="1" x14ac:dyDescent="0.3">
      <c r="B80" s="76"/>
      <c r="C80" s="135" t="s">
        <v>147</v>
      </c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79"/>
      <c r="O80" s="76"/>
    </row>
    <row r="81" spans="2:15" ht="38.25" customHeight="1" thickBot="1" x14ac:dyDescent="0.35">
      <c r="B81" s="76"/>
      <c r="C81" s="278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6"/>
      <c r="O81" s="76"/>
    </row>
    <row r="82" spans="2:15" x14ac:dyDescent="0.3">
      <c r="B82" s="76"/>
      <c r="C82" s="275" t="s">
        <v>146</v>
      </c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3"/>
      <c r="O82" s="76"/>
    </row>
    <row r="83" spans="2:15" x14ac:dyDescent="0.3">
      <c r="B83" s="76"/>
      <c r="C83" s="272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0"/>
      <c r="O83" s="76"/>
    </row>
    <row r="84" spans="2:15" ht="20.25" x14ac:dyDescent="0.3">
      <c r="B84" s="76"/>
      <c r="C84" s="269" t="s">
        <v>6</v>
      </c>
      <c r="D84" s="146"/>
      <c r="E84" s="146"/>
      <c r="F84" s="146" t="s">
        <v>145</v>
      </c>
      <c r="G84" s="146"/>
      <c r="H84" s="267" t="s">
        <v>144</v>
      </c>
      <c r="I84" s="266"/>
      <c r="J84" s="266"/>
      <c r="K84" s="268"/>
      <c r="L84" s="267" t="s">
        <v>143</v>
      </c>
      <c r="M84" s="266"/>
      <c r="N84" s="265"/>
      <c r="O84" s="76"/>
    </row>
    <row r="85" spans="2:15" ht="20.25" x14ac:dyDescent="0.3">
      <c r="B85" s="76"/>
      <c r="C85" s="258" t="s">
        <v>142</v>
      </c>
      <c r="D85" s="257"/>
      <c r="E85" s="257"/>
      <c r="F85" s="146">
        <v>30</v>
      </c>
      <c r="G85" s="146"/>
      <c r="H85" s="264" t="s">
        <v>141</v>
      </c>
      <c r="I85" s="263"/>
      <c r="J85" s="263"/>
      <c r="K85" s="262"/>
      <c r="L85" s="261" t="s">
        <v>140</v>
      </c>
      <c r="M85" s="260"/>
      <c r="N85" s="259"/>
      <c r="O85" s="76"/>
    </row>
    <row r="86" spans="2:15" ht="20.25" x14ac:dyDescent="0.3">
      <c r="B86" s="76"/>
      <c r="C86" s="258" t="s">
        <v>139</v>
      </c>
      <c r="D86" s="257"/>
      <c r="E86" s="257"/>
      <c r="F86" s="146">
        <v>30</v>
      </c>
      <c r="G86" s="146"/>
      <c r="H86" s="254"/>
      <c r="I86" s="253"/>
      <c r="J86" s="253"/>
      <c r="K86" s="252"/>
      <c r="L86" s="251"/>
      <c r="M86" s="250"/>
      <c r="N86" s="249"/>
      <c r="O86" s="76"/>
    </row>
    <row r="87" spans="2:15" ht="20.25" x14ac:dyDescent="0.3">
      <c r="B87" s="76"/>
      <c r="C87" s="258" t="s">
        <v>138</v>
      </c>
      <c r="D87" s="257"/>
      <c r="E87" s="257"/>
      <c r="F87" s="146">
        <v>30</v>
      </c>
      <c r="G87" s="146"/>
      <c r="H87" s="254"/>
      <c r="I87" s="253"/>
      <c r="J87" s="253"/>
      <c r="K87" s="252"/>
      <c r="L87" s="251"/>
      <c r="M87" s="250"/>
      <c r="N87" s="249"/>
      <c r="O87" s="76"/>
    </row>
    <row r="88" spans="2:15" ht="20.25" x14ac:dyDescent="0.3">
      <c r="B88" s="76"/>
      <c r="C88" s="256" t="s">
        <v>137</v>
      </c>
      <c r="D88" s="255"/>
      <c r="E88" s="255"/>
      <c r="F88" s="146">
        <v>30</v>
      </c>
      <c r="G88" s="146"/>
      <c r="H88" s="254"/>
      <c r="I88" s="253"/>
      <c r="J88" s="253"/>
      <c r="K88" s="252"/>
      <c r="L88" s="251"/>
      <c r="M88" s="250"/>
      <c r="N88" s="249"/>
      <c r="O88" s="76"/>
    </row>
    <row r="89" spans="2:15" ht="20.25" x14ac:dyDescent="0.3">
      <c r="B89" s="76"/>
      <c r="C89" s="256" t="s">
        <v>136</v>
      </c>
      <c r="D89" s="255"/>
      <c r="E89" s="255"/>
      <c r="F89" s="146">
        <v>30</v>
      </c>
      <c r="G89" s="146"/>
      <c r="H89" s="254"/>
      <c r="I89" s="253"/>
      <c r="J89" s="253"/>
      <c r="K89" s="252"/>
      <c r="L89" s="251"/>
      <c r="M89" s="250"/>
      <c r="N89" s="249"/>
      <c r="O89" s="76"/>
    </row>
    <row r="90" spans="2:15" ht="21" thickBot="1" x14ac:dyDescent="0.35">
      <c r="B90" s="76"/>
      <c r="C90" s="248" t="s">
        <v>135</v>
      </c>
      <c r="D90" s="247"/>
      <c r="E90" s="247"/>
      <c r="F90" s="246">
        <v>30</v>
      </c>
      <c r="G90" s="246"/>
      <c r="H90" s="245"/>
      <c r="I90" s="244"/>
      <c r="J90" s="244"/>
      <c r="K90" s="243"/>
      <c r="L90" s="242"/>
      <c r="M90" s="241"/>
      <c r="N90" s="240"/>
      <c r="O90" s="76"/>
    </row>
    <row r="91" spans="2:15" ht="12" customHeight="1" x14ac:dyDescent="0.3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</row>
  </sheetData>
  <mergeCells count="119">
    <mergeCell ref="C91:N91"/>
    <mergeCell ref="M64:M65"/>
    <mergeCell ref="K66:L67"/>
    <mergeCell ref="I64:J69"/>
    <mergeCell ref="K64:L65"/>
    <mergeCell ref="M66:M67"/>
    <mergeCell ref="M68:M69"/>
    <mergeCell ref="C63:D64"/>
    <mergeCell ref="N55:N69"/>
    <mergeCell ref="K68:L69"/>
    <mergeCell ref="B2:B91"/>
    <mergeCell ref="C2:N2"/>
    <mergeCell ref="O2:O91"/>
    <mergeCell ref="C3:C5"/>
    <mergeCell ref="D3:E5"/>
    <mergeCell ref="F3:K3"/>
    <mergeCell ref="F4:G5"/>
    <mergeCell ref="H4:I5"/>
    <mergeCell ref="J4:K5"/>
    <mergeCell ref="C7:C25"/>
    <mergeCell ref="L3:N3"/>
    <mergeCell ref="J31:N31"/>
    <mergeCell ref="C40:F40"/>
    <mergeCell ref="G40:I40"/>
    <mergeCell ref="J40:N40"/>
    <mergeCell ref="L5:N5"/>
    <mergeCell ref="F26:I26"/>
    <mergeCell ref="C27:C31"/>
    <mergeCell ref="L16:M16"/>
    <mergeCell ref="L4:N4"/>
    <mergeCell ref="J58:J60"/>
    <mergeCell ref="K58:L60"/>
    <mergeCell ref="M58:M60"/>
    <mergeCell ref="C47:N47"/>
    <mergeCell ref="C48:D51"/>
    <mergeCell ref="C52:D54"/>
    <mergeCell ref="C41:F41"/>
    <mergeCell ref="S2:Z5"/>
    <mergeCell ref="C70:H79"/>
    <mergeCell ref="I70:L79"/>
    <mergeCell ref="M70:N79"/>
    <mergeCell ref="M55:M57"/>
    <mergeCell ref="L23:L26"/>
    <mergeCell ref="M23:M26"/>
    <mergeCell ref="N23:N26"/>
    <mergeCell ref="L21:N21"/>
    <mergeCell ref="L18:L20"/>
    <mergeCell ref="J61:J63"/>
    <mergeCell ref="K61:L63"/>
    <mergeCell ref="I55:I57"/>
    <mergeCell ref="E48:N49"/>
    <mergeCell ref="E50:N51"/>
    <mergeCell ref="I58:I60"/>
    <mergeCell ref="J55:J57"/>
    <mergeCell ref="K55:L57"/>
    <mergeCell ref="N52:N54"/>
    <mergeCell ref="M61:M63"/>
    <mergeCell ref="C33:N33"/>
    <mergeCell ref="C34:N39"/>
    <mergeCell ref="G41:I41"/>
    <mergeCell ref="C69:H69"/>
    <mergeCell ref="C65:D66"/>
    <mergeCell ref="C67:D68"/>
    <mergeCell ref="E63:F64"/>
    <mergeCell ref="G43:I43"/>
    <mergeCell ref="C44:F44"/>
    <mergeCell ref="G44:I44"/>
    <mergeCell ref="C80:N81"/>
    <mergeCell ref="C84:E84"/>
    <mergeCell ref="E52:F54"/>
    <mergeCell ref="G52:H54"/>
    <mergeCell ref="I52:J54"/>
    <mergeCell ref="K52:M54"/>
    <mergeCell ref="G63:H64"/>
    <mergeCell ref="E65:F66"/>
    <mergeCell ref="G65:H66"/>
    <mergeCell ref="I61:I63"/>
    <mergeCell ref="C45:F45"/>
    <mergeCell ref="G45:I45"/>
    <mergeCell ref="C46:F46"/>
    <mergeCell ref="G46:I46"/>
    <mergeCell ref="J41:N46"/>
    <mergeCell ref="C42:F42"/>
    <mergeCell ref="G42:I42"/>
    <mergeCell ref="C43:F43"/>
    <mergeCell ref="C55:D56"/>
    <mergeCell ref="E55:F56"/>
    <mergeCell ref="G55:H56"/>
    <mergeCell ref="C57:D58"/>
    <mergeCell ref="E57:F58"/>
    <mergeCell ref="G57:H58"/>
    <mergeCell ref="L14:M15"/>
    <mergeCell ref="C32:N32"/>
    <mergeCell ref="E67:F68"/>
    <mergeCell ref="G67:H68"/>
    <mergeCell ref="E59:F60"/>
    <mergeCell ref="G59:H60"/>
    <mergeCell ref="C61:D62"/>
    <mergeCell ref="E61:F62"/>
    <mergeCell ref="G61:H62"/>
    <mergeCell ref="C59:D60"/>
    <mergeCell ref="H84:K84"/>
    <mergeCell ref="H85:K90"/>
    <mergeCell ref="L84:N84"/>
    <mergeCell ref="C85:E85"/>
    <mergeCell ref="C86:E86"/>
    <mergeCell ref="C87:E87"/>
    <mergeCell ref="C88:E88"/>
    <mergeCell ref="C89:E89"/>
    <mergeCell ref="L85:N90"/>
    <mergeCell ref="C90:E90"/>
    <mergeCell ref="C82:N83"/>
    <mergeCell ref="F84:G84"/>
    <mergeCell ref="F85:G85"/>
    <mergeCell ref="F86:G86"/>
    <mergeCell ref="F87:G87"/>
    <mergeCell ref="F88:G88"/>
    <mergeCell ref="F89:G89"/>
    <mergeCell ref="F90:G90"/>
  </mergeCells>
  <phoneticPr fontId="1" type="noConversion"/>
  <pageMargins left="0.7" right="0.7" top="0.75" bottom="0.75" header="0.3" footer="0.3"/>
  <pageSetup paperSize="9" scale="64" fitToWidth="0" orientation="landscape" horizontalDpi="4294967292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SKT</vt:lpstr>
      <vt:lpstr>LG</vt:lpstr>
      <vt:lpstr>LG!Print_Area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persons</dc:creator>
  <cp:lastModifiedBy>persons</cp:lastModifiedBy>
  <dcterms:created xsi:type="dcterms:W3CDTF">2026-01-02T01:33:48Z</dcterms:created>
  <dcterms:modified xsi:type="dcterms:W3CDTF">2026-09-30T05:17:59Z</dcterms:modified>
</cp:coreProperties>
</file>