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요약" sheetId="2" state="visible" r:id="rId4"/>
    <sheet name="월별" sheetId="3" state="visible" r:id="rId5"/>
    <sheet name="현실 점검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<sst xmlns="http://schemas.openxmlformats.org/spreadsheetml/2006/main" count="97" uniqueCount="90">
  <si>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WenQuanYi Zen Hei"/>
        <family val="2"/>
      </rPr>
      <t xml:space="preserve">이용권 원금 회수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적립 환산 시트 — 가정</t>
    </r>
  </si>
  <si>
    <r>
      <rPr>
        <b val="true"/>
        <sz val="9"/>
        <color rgb="FF7A1F1F"/>
        <rFont val="WenQuanYi Zen Hei"/>
        <family val="2"/>
      </rPr>
      <t xml:space="preserve">내부 검토용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대외 배포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고객 안내 금지</t>
    </r>
    <r>
      <rPr>
        <b val="true"/>
        <sz val="9"/>
        <color rgb="FF7A1F1F"/>
        <rFont val="Arial"/>
        <family val="0"/>
        <charset val="1"/>
      </rPr>
      <t xml:space="preserve">. WLBN </t>
    </r>
    <r>
      <rPr>
        <b val="true"/>
        <sz val="9"/>
        <color rgb="FF7A1F1F"/>
        <rFont val="WenQuanYi Zen Hei"/>
        <family val="2"/>
      </rPr>
      <t xml:space="preserve">가격은 가정</t>
    </r>
    <r>
      <rPr>
        <b val="true"/>
        <sz val="9"/>
        <color rgb="FF7A1F1F"/>
        <rFont val="Arial"/>
        <family val="0"/>
        <charset val="1"/>
      </rPr>
      <t xml:space="preserve">(</t>
    </r>
    <r>
      <rPr>
        <b val="true"/>
        <sz val="9"/>
        <color rgb="FF7A1F1F"/>
        <rFont val="WenQuanYi Zen Hei"/>
        <family val="2"/>
      </rPr>
      <t xml:space="preserve">전망 아님</t>
    </r>
    <r>
      <rPr>
        <b val="true"/>
        <sz val="9"/>
        <color rgb="FF7A1F1F"/>
        <rFont val="Arial"/>
        <family val="0"/>
        <charset val="1"/>
      </rPr>
      <t xml:space="preserve">). </t>
    </r>
    <r>
      <rPr>
        <b val="true"/>
        <sz val="9"/>
        <color rgb="FF7A1F1F"/>
        <rFont val="WenQuanYi Zen Hei"/>
        <family val="2"/>
      </rPr>
      <t xml:space="preserve">지급 수량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가치는 사이트 약관상 비보장</t>
    </r>
    <r>
      <rPr>
        <b val="true"/>
        <sz val="9"/>
        <color rgb="FF7A1F1F"/>
        <rFont val="Arial"/>
        <family val="0"/>
        <charset val="1"/>
      </rPr>
      <t xml:space="preserve">.</t>
    </r>
  </si>
  <si>
    <t xml:space="preserve">항목</t>
  </si>
  <si>
    <t xml:space="preserve">값</t>
  </si>
  <si>
    <t xml:space="preserve">근거</t>
  </si>
  <si>
    <r>
      <rPr>
        <sz val="10"/>
        <rFont val="WenQuanYi Zen Hei"/>
        <family val="2"/>
      </rPr>
      <t xml:space="preserve">정가 </t>
    </r>
    <r>
      <rPr>
        <sz val="10"/>
        <rFont val="Arial"/>
        <family val="0"/>
        <charset val="1"/>
      </rPr>
      <t xml:space="preserve">(RLUSD ≈ USD)</t>
    </r>
  </si>
  <si>
    <r>
      <rPr>
        <sz val="9"/>
        <color rgb="FF555555"/>
        <rFont val="WenQuanYi Zen Hei"/>
        <family val="2"/>
      </rPr>
      <t xml:space="preserve">사이트 상품 페이지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§4-1)</t>
    </r>
  </si>
  <si>
    <t xml:space="preserve">할인율</t>
  </si>
  <si>
    <r>
      <rPr>
        <sz val="9"/>
        <color rgb="FF555555"/>
        <rFont val="WenQuanYi Zen Hei"/>
        <family val="2"/>
      </rPr>
      <t xml:space="preserve">서우 지정</t>
    </r>
    <r>
      <rPr>
        <sz val="9"/>
        <color rgb="FF555555"/>
        <rFont val="Arial"/>
        <family val="0"/>
        <charset val="1"/>
      </rPr>
      <t xml:space="preserve">(10/15)</t>
    </r>
  </si>
  <si>
    <t xml:space="preserve">구매가</t>
  </si>
  <si>
    <r>
      <rPr>
        <sz val="9"/>
        <color rgb="FF555555"/>
        <rFont val="WenQuanYi Zen Hei"/>
        <family val="2"/>
      </rPr>
      <t xml:space="preserve">정가 </t>
    </r>
    <r>
      <rPr>
        <sz val="9"/>
        <color rgb="FF555555"/>
        <rFont val="Arial"/>
        <family val="0"/>
        <charset val="1"/>
      </rPr>
      <t xml:space="preserve">× (1 − </t>
    </r>
    <r>
      <rPr>
        <sz val="9"/>
        <color rgb="FF555555"/>
        <rFont val="WenQuanYi Zen Hei"/>
        <family val="2"/>
      </rPr>
      <t xml:space="preserve">할인율</t>
    </r>
    <r>
      <rPr>
        <sz val="9"/>
        <color rgb="FF555555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</si>
  <si>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일 지급 </t>
    </r>
    <r>
      <rPr>
        <sz val="10"/>
        <rFont val="Arial"/>
        <family val="0"/>
        <charset val="1"/>
      </rPr>
      <t xml:space="preserve">(WLBN / 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</si>
  <si>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§4-1</t>
    </r>
  </si>
  <si>
    <r>
      <rPr>
        <sz val="10"/>
        <rFont val="WenQuanYi Zen Hei"/>
        <family val="2"/>
      </rPr>
      <t xml:space="preserve">지급 기간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</si>
  <si>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WenQuanYi Zen Hei"/>
        <family val="2"/>
      </rPr>
      <t xml:space="preserve">정본 </t>
    </r>
    <r>
      <rPr>
        <sz val="9"/>
        <color rgb="FF555555"/>
        <rFont val="Arial"/>
        <family val="0"/>
        <charset val="1"/>
      </rPr>
      <t xml:space="preserve">§4-1 — </t>
    </r>
    <r>
      <rPr>
        <sz val="9"/>
        <color rgb="FF555555"/>
        <rFont val="WenQuanYi Zen Hei"/>
        <family val="2"/>
      </rPr>
      <t xml:space="preserve">발급일 기준 </t>
    </r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WenQuanYi Zen Hei"/>
        <family val="2"/>
      </rPr>
      <t xml:space="preserve">년</t>
    </r>
  </si>
  <si>
    <t xml:space="preserve">월 평균 일수</t>
  </si>
  <si>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년 </t>
    </r>
    <r>
      <rPr>
        <sz val="9"/>
        <color rgb="FF555555"/>
        <rFont val="Arial"/>
        <family val="0"/>
        <charset val="1"/>
      </rPr>
      <t xml:space="preserve">365</t>
    </r>
    <r>
      <rPr>
        <sz val="9"/>
        <color rgb="FF555555"/>
        <rFont val="WenQuanYi Zen Hei"/>
        <family val="2"/>
      </rPr>
      <t xml:space="preserve">일 </t>
    </r>
    <r>
      <rPr>
        <sz val="9"/>
        <color rgb="FF555555"/>
        <rFont val="Arial"/>
        <family val="0"/>
        <charset val="1"/>
      </rPr>
      <t xml:space="preserve">÷ 12</t>
    </r>
  </si>
  <si>
    <r>
      <rPr>
        <sz val="10"/>
        <rFont val="WenQuanYi Zen Hei"/>
        <family val="2"/>
      </rPr>
      <t xml:space="preserve">월 지급 </t>
    </r>
    <r>
      <rPr>
        <sz val="10"/>
        <rFont val="Arial"/>
        <family val="0"/>
        <charset val="1"/>
      </rPr>
      <t xml:space="preserve">(WLBN / 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</si>
  <si>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WenQuanYi Zen Hei"/>
        <family val="2"/>
      </rPr>
      <t xml:space="preserve">일 지급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WenQuanYi Zen Hei"/>
        <family val="2"/>
      </rPr>
      <t xml:space="preserve">월 평균 일수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</si>
  <si>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누적 지급 </t>
    </r>
    <r>
      <rPr>
        <sz val="10"/>
        <rFont val="Arial"/>
        <family val="0"/>
        <charset val="1"/>
      </rPr>
      <t xml:space="preserve">(WLBN / 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</si>
  <si>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Arial"/>
        <family val="0"/>
        <charset val="1"/>
      </rPr>
      <t xml:space="preserve">5,475 = </t>
    </r>
    <r>
      <rPr>
        <sz val="9"/>
        <color rgb="FF555555"/>
        <rFont val="WenQuanYi Zen Hei"/>
        <family val="2"/>
      </rPr>
      <t xml:space="preserve">정본 장당 누적</t>
    </r>
  </si>
  <si>
    <r>
      <rPr>
        <b val="true"/>
        <sz val="10"/>
        <rFont val="Arial"/>
        <family val="0"/>
        <charset val="1"/>
      </rPr>
      <t xml:space="preserve">WLBN </t>
    </r>
    <r>
      <rPr>
        <b val="true"/>
        <sz val="10"/>
        <rFont val="WenQuanYi Zen Hei"/>
        <family val="2"/>
      </rPr>
      <t xml:space="preserve">가격 시나리오 </t>
    </r>
    <r>
      <rPr>
        <b val="true"/>
        <sz val="10"/>
        <rFont val="Arial"/>
        <family val="0"/>
        <charset val="1"/>
      </rPr>
      <t xml:space="preserve">(USD / WLBN)</t>
    </r>
  </si>
  <si>
    <r>
      <rPr>
        <sz val="10"/>
        <rFont val="WenQuanYi Zen Hei"/>
        <family val="2"/>
      </rPr>
      <t xml:space="preserve">시나리오 </t>
    </r>
    <r>
      <rPr>
        <sz val="10"/>
        <rFont val="Arial"/>
        <family val="0"/>
        <charset val="1"/>
      </rPr>
      <t xml:space="preserve">A</t>
    </r>
  </si>
  <si>
    <r>
      <rPr>
        <sz val="9"/>
        <color rgb="FF555555"/>
        <rFont val="WenQuanYi Zen Hei"/>
        <family val="2"/>
      </rPr>
      <t xml:space="preserve">서우 지정 구간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가정</t>
    </r>
    <r>
      <rPr>
        <sz val="9"/>
        <color rgb="FF555555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</si>
  <si>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시나리오 </t>
    </r>
    <r>
      <rPr>
        <sz val="10"/>
        <rFont val="Arial"/>
        <family val="0"/>
        <charset val="1"/>
      </rPr>
      <t xml:space="preserve">B</t>
    </r>
  </si>
  <si>
    <r>
      <rPr>
        <sz val="10"/>
        <rFont val="WenQuanYi Zen Hei"/>
        <family val="2"/>
      </rPr>
      <t xml:space="preserve">시나리오 </t>
    </r>
    <r>
      <rPr>
        <sz val="10"/>
        <rFont val="Arial"/>
        <family val="0"/>
        <charset val="1"/>
      </rPr>
      <t xml:space="preserve">C</t>
    </r>
  </si>
  <si>
    <r>
      <rPr>
        <sz val="10"/>
        <rFont val="WenQuanYi Zen Hei"/>
        <family val="2"/>
      </rPr>
      <t xml:space="preserve">시나리오 </t>
    </r>
    <r>
      <rPr>
        <sz val="10"/>
        <rFont val="Arial"/>
        <family val="0"/>
        <charset val="1"/>
      </rPr>
      <t xml:space="preserve">D</t>
    </r>
  </si>
  <si>
    <r>
      <rPr>
        <sz val="10"/>
        <rFont val="WenQuanYi Zen Hei"/>
        <family val="2"/>
      </rPr>
      <t xml:space="preserve">참고</t>
    </r>
    <r>
      <rPr>
        <sz val="10"/>
        <rFont val="Arial"/>
        <family val="0"/>
        <charset val="1"/>
      </rPr>
      <t xml:space="preserve">: 10/14 AMM </t>
    </r>
    <r>
      <rPr>
        <sz val="10"/>
        <rFont val="WenQuanYi Zen Hei"/>
        <family val="2"/>
      </rPr>
      <t xml:space="preserve">풀 가격</t>
    </r>
  </si>
  <si>
    <r>
      <rPr>
        <sz val="9"/>
        <color rgb="FF555555"/>
        <rFont val="Arial"/>
        <family val="0"/>
        <charset val="1"/>
      </rPr>
      <t xml:space="preserve">XRPL </t>
    </r>
    <r>
      <rPr>
        <sz val="9"/>
        <color rgb="FF555555"/>
        <rFont val="WenQuanYi Zen Hei"/>
        <family val="2"/>
      </rPr>
      <t xml:space="preserve">탐색기 </t>
    </r>
    <r>
      <rPr>
        <sz val="9"/>
        <color rgb="FF555555"/>
        <rFont val="Arial"/>
        <family val="0"/>
        <charset val="1"/>
      </rPr>
      <t xml:space="preserve">RLUSD/WLBN </t>
    </r>
    <r>
      <rPr>
        <sz val="9"/>
        <color rgb="FF555555"/>
        <rFont val="WenQuanYi Zen Hei"/>
        <family val="2"/>
      </rPr>
      <t xml:space="preserve">풀 화면</t>
    </r>
    <r>
      <rPr>
        <sz val="9"/>
        <color rgb="FF555555"/>
        <rFont val="Arial"/>
        <family val="0"/>
        <charset val="1"/>
      </rPr>
      <t xml:space="preserve">(10/14) — </t>
    </r>
    <r>
      <rPr>
        <sz val="9"/>
        <color rgb="FF555555"/>
        <rFont val="WenQuanYi Zen Hei"/>
        <family val="2"/>
      </rPr>
      <t xml:space="preserve">비교용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시나리오 아님</t>
    </r>
  </si>
  <si>
    <r>
      <rPr>
        <sz val="9"/>
        <color rgb="FF555555"/>
        <rFont val="WenQuanYi Zen Hei"/>
        <family val="2"/>
      </rPr>
      <t xml:space="preserve">노란 칸만 바꾸면 다른 시트가 따라 바뀝니다</t>
    </r>
    <r>
      <rPr>
        <sz val="9"/>
        <color rgb="FF555555"/>
        <rFont val="Arial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</si>
  <si>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가격 구간별 원금 회수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적립 환산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장당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</si>
  <si>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9"/>
        <color rgb="FF7A1F1F"/>
        <rFont val="WenQuanYi Zen Hei"/>
        <family val="2"/>
      </rPr>
      <t xml:space="preserve">내부 검토용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대외 배포 금지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「환산액」 </t>
    </r>
    <r>
      <rPr>
        <b val="true"/>
        <sz val="9"/>
        <color rgb="FF7A1F1F"/>
        <rFont val="Arial"/>
        <family val="0"/>
        <charset val="1"/>
      </rPr>
      <t xml:space="preserve">= </t>
    </r>
    <r>
      <rPr>
        <b val="true"/>
        <sz val="9"/>
        <color rgb="FF7A1F1F"/>
        <rFont val="WenQuanYi Zen Hei"/>
        <family val="2"/>
      </rPr>
      <t xml:space="preserve">적립 </t>
    </r>
    <r>
      <rPr>
        <b val="true"/>
        <sz val="9"/>
        <color rgb="FF7A1F1F"/>
        <rFont val="Arial"/>
        <family val="0"/>
        <charset val="1"/>
      </rPr>
      <t xml:space="preserve">WLBN × </t>
    </r>
    <r>
      <rPr>
        <b val="true"/>
        <sz val="9"/>
        <color rgb="FF7A1F1F"/>
        <rFont val="WenQuanYi Zen Hei"/>
        <family val="2"/>
      </rPr>
      <t xml:space="preserve">가정 가격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실제로 그 가격에 팔 수 있다는 뜻이 아님</t>
    </r>
    <r>
      <rPr>
        <b val="true"/>
        <sz val="9"/>
        <color rgb="FF7A1F1F"/>
        <rFont val="Arial"/>
        <family val="0"/>
        <charset val="1"/>
      </rPr>
      <t xml:space="preserve">(</t>
    </r>
    <r>
      <rPr>
        <b val="true"/>
        <sz val="9"/>
        <color rgb="FF7A1F1F"/>
        <rFont val="WenQuanYi Zen Hei"/>
        <family val="2"/>
      </rPr>
      <t xml:space="preserve">「현실 점검」 시트</t>
    </r>
    <r>
      <rPr>
        <b val="true"/>
        <sz val="9"/>
        <color rgb="FF7A1F1F"/>
        <rFont val="Arial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</si>
  <si>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참고</t>
    </r>
    <r>
      <rPr>
        <b val="true"/>
        <sz val="10"/>
        <rFont val="Arial"/>
        <family val="0"/>
        <charset val="1"/>
      </rPr>
      <t xml:space="preserve">(10/14 </t>
    </r>
    <r>
      <rPr>
        <b val="true"/>
        <sz val="10"/>
        <rFont val="WenQuanYi Zen Hei"/>
        <family val="2"/>
      </rPr>
      <t xml:space="preserve">풀</t>
    </r>
    <r>
      <rPr>
        <b val="true"/>
        <sz val="10"/>
        <rFont val="Arial"/>
        <family val="0"/>
        <charset val="1"/>
      </rPr>
      <t xml:space="preserve">)</t>
    </r>
  </si>
  <si>
    <t xml:space="preserve">A</t>
  </si>
  <si>
    <t xml:space="preserve">B</t>
  </si>
  <si>
    <t xml:space="preserve">C</t>
  </si>
  <si>
    <t xml:space="preserve">D</t>
  </si>
  <si>
    <r>
      <rPr>
        <sz val="10"/>
        <rFont val="Arial"/>
        <family val="0"/>
        <charset val="1"/>
      </rPr>
      <t xml:space="preserve">WLBN </t>
    </r>
    <r>
      <rPr>
        <sz val="10"/>
        <rFont val="WenQuanYi Zen Hei"/>
        <family val="2"/>
      </rPr>
      <t xml:space="preserve">가격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</si>
  <si>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WenQuanYi Zen Hei"/>
        <family val="2"/>
      </rPr>
      <t xml:space="preserve">구매가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</si>
  <si>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WenQuanYi Zen Hei"/>
        <family val="2"/>
      </rPr>
      <t xml:space="preserve">일 적립 환산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</si>
  <si>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WenQuanYi Zen Hei"/>
        <family val="2"/>
      </rPr>
      <t xml:space="preserve">월 적립 환산 </t>
    </r>
    <r>
      <rPr>
        <sz val="10"/>
        <rFont val="Arial"/>
        <family val="0"/>
        <charset val="1"/>
      </rPr>
      <t xml:space="preserve">(USD)</t>
    </r>
  </si>
  <si>
    <r>
      <rPr>
        <b val="true"/>
        <sz val="10"/>
        <rFont val="WenQuanYi Zen Hei"/>
        <family val="2"/>
      </rPr>
      <t xml:space="preserve">원금 회수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</si>
  <si>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원금 회수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개월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</si>
  <si>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누적 </t>
    </r>
    <r>
      <rPr>
        <sz val="10"/>
        <rFont val="Arial"/>
        <family val="0"/>
        <charset val="1"/>
      </rPr>
      <t xml:space="preserve">WLBN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</si>
  <si>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누적 환산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</si>
  <si>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순차액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환산 − 구매가</t>
    </r>
    <r>
      <rPr>
        <sz val="10"/>
        <rFont val="Arial"/>
        <family val="0"/>
        <charset val="1"/>
      </rPr>
      <t xml:space="preserve">)</t>
    </r>
  </si>
  <si>
    <t xml:space="preserve">구매가 대비 배수</t>
  </si>
  <si>
    <r>
      <rPr>
        <sz val="10"/>
        <rFont val="WenQuanYi Zen Hei"/>
        <family val="2"/>
      </rPr>
      <t xml:space="preserve">회수에 필요한 최저 가격 </t>
    </r>
    <r>
      <rPr>
        <sz val="10"/>
        <rFont val="Arial"/>
        <family val="0"/>
        <charset val="1"/>
      </rPr>
      <t xml:space="preserve">(USD/WLBN)</t>
    </r>
  </si>
  <si>
    <r>
      <rPr>
        <sz val="9"/>
        <color rgb="FF555555"/>
        <rFont val="WenQuanYi Zen Hei"/>
        <family val="2"/>
      </rPr>
      <t xml:space="preserve">읽는 법</t>
    </r>
    <r>
      <rPr>
        <sz val="9"/>
        <color rgb="FF555555"/>
        <rFont val="Arial"/>
        <family val="0"/>
        <charset val="1"/>
      </rPr>
      <t xml:space="preserve">: </t>
    </r>
    <r>
      <rPr>
        <sz val="9"/>
        <color rgb="FF555555"/>
        <rFont val="WenQuanYi Zen Hei"/>
        <family val="2"/>
      </rPr>
      <t xml:space="preserve">「회수에 필요한 최저 가격」 아래로 내려가면 </t>
    </r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WenQuanYi Zen Hei"/>
        <family val="2"/>
      </rPr>
      <t xml:space="preserve">년을 다 받아도 구매가를 못 돌려받는다</t>
    </r>
    <r>
      <rPr>
        <sz val="9"/>
        <color rgb="FF555555"/>
        <rFont val="Arial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</si>
  <si>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월별 누적 — 장당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구매가 차감 뒤 순누적</t>
    </r>
    <r>
      <rPr>
        <b val="true"/>
        <sz val="13"/>
        <rFont val="Arial"/>
        <family val="0"/>
        <charset val="1"/>
      </rPr>
      <t xml:space="preserve">, USD)</t>
    </r>
  </si>
  <si>
    <r>
      <rPr>
        <b val="true"/>
        <sz val="9"/>
        <color rgb="FF7A1F1F"/>
        <rFont val="WenQuanYi Zen Hei"/>
        <family val="2"/>
      </rPr>
      <t xml:space="preserve">내부 검토용 </t>
    </r>
    <r>
      <rPr>
        <b val="true"/>
        <sz val="9"/>
        <color rgb="FF7A1F1F"/>
        <rFont val="Arial"/>
        <family val="0"/>
        <charset val="1"/>
      </rPr>
      <t xml:space="preserve">· </t>
    </r>
    <r>
      <rPr>
        <b val="true"/>
        <sz val="9"/>
        <color rgb="FF7A1F1F"/>
        <rFont val="WenQuanYi Zen Hei"/>
        <family val="2"/>
      </rPr>
      <t xml:space="preserve">대외 배포 금지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초록 칸 </t>
    </r>
    <r>
      <rPr>
        <b val="true"/>
        <sz val="9"/>
        <color rgb="FF7A1F1F"/>
        <rFont val="Arial"/>
        <family val="0"/>
        <charset val="1"/>
      </rPr>
      <t xml:space="preserve">= </t>
    </r>
    <r>
      <rPr>
        <b val="true"/>
        <sz val="9"/>
        <color rgb="FF7A1F1F"/>
        <rFont val="WenQuanYi Zen Hei"/>
        <family val="2"/>
      </rPr>
      <t xml:space="preserve">처음으로 구매가를 넘긴 달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가격은 </t>
    </r>
    <r>
      <rPr>
        <b val="true"/>
        <sz val="9"/>
        <color rgb="FF7A1F1F"/>
        <rFont val="Arial"/>
        <family val="0"/>
        <charset val="1"/>
      </rPr>
      <t xml:space="preserve">3</t>
    </r>
    <r>
      <rPr>
        <b val="true"/>
        <sz val="9"/>
        <color rgb="FF7A1F1F"/>
        <rFont val="WenQuanYi Zen Hei"/>
        <family val="2"/>
      </rPr>
      <t xml:space="preserve">년 내내 같다고 가정</t>
    </r>
    <r>
      <rPr>
        <b val="true"/>
        <sz val="9"/>
        <color rgb="FF7A1F1F"/>
        <rFont val="Arial"/>
        <family val="0"/>
        <charset val="1"/>
      </rPr>
      <t xml:space="preserve">.</t>
    </r>
  </si>
  <si>
    <t xml:space="preserve">개월</t>
  </si>
  <si>
    <t xml:space="preserve">누적 일수</t>
  </si>
  <si>
    <r>
      <rPr>
        <b val="true"/>
        <sz val="10"/>
        <rFont val="WenQuanYi Zen Hei"/>
        <family val="2"/>
      </rPr>
      <t xml:space="preserve">누적 </t>
    </r>
    <r>
      <rPr>
        <b val="true"/>
        <sz val="10"/>
        <rFont val="Arial"/>
        <family val="0"/>
        <charset val="1"/>
      </rPr>
      <t xml:space="preserve">WLBN</t>
    </r>
  </si>
  <si>
    <r>
      <rPr>
        <b val="true"/>
        <sz val="10"/>
        <rFont val="WenQuanYi Zen Hei"/>
        <family val="2"/>
      </rPr>
      <t xml:space="preserve">참고 </t>
    </r>
    <r>
      <rPr>
        <b val="true"/>
        <sz val="10"/>
        <rFont val="Arial"/>
        <family val="0"/>
        <charset val="1"/>
      </rPr>
      <t xml:space="preserve">0.46</t>
    </r>
  </si>
  <si>
    <t xml:space="preserve">A $0.5</t>
  </si>
  <si>
    <t xml:space="preserve">B $1.0</t>
  </si>
  <si>
    <t xml:space="preserve">C $1.5</t>
  </si>
  <si>
    <t xml:space="preserve">D $2.0</t>
  </si>
  <si>
    <r>
      <rPr>
        <b val="true"/>
        <sz val="13"/>
        <rFont val="WenQuanYi Zen Hei"/>
        <family val="2"/>
      </rPr>
      <t xml:space="preserve">현실 점검 — 환산액을 실제로 받을 수 있나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풀 깊이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매도 압력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</si>
  <si>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9"/>
        <color rgb="FF7A1F1F"/>
        <rFont val="WenQuanYi Zen Hei"/>
        <family val="2"/>
      </rPr>
      <t xml:space="preserve">내부 검토용</t>
    </r>
    <r>
      <rPr>
        <b val="true"/>
        <sz val="9"/>
        <color rgb="FF7A1F1F"/>
        <rFont val="Arial"/>
        <family val="0"/>
        <charset val="1"/>
      </rPr>
      <t xml:space="preserve">. 10/14 XRPL </t>
    </r>
    <r>
      <rPr>
        <b val="true"/>
        <sz val="9"/>
        <color rgb="FF7A1F1F"/>
        <rFont val="WenQuanYi Zen Hei"/>
        <family val="2"/>
      </rPr>
      <t xml:space="preserve">탐색기 풀 화면 기준</t>
    </r>
    <r>
      <rPr>
        <b val="true"/>
        <sz val="9"/>
        <color rgb="FF7A1F1F"/>
        <rFont val="Arial"/>
        <family val="0"/>
        <charset val="1"/>
      </rPr>
      <t xml:space="preserve">. </t>
    </r>
    <r>
      <rPr>
        <b val="true"/>
        <sz val="9"/>
        <color rgb="FF7A1F1F"/>
        <rFont val="WenQuanYi Zen Hei"/>
        <family val="2"/>
      </rPr>
      <t xml:space="preserve">상수곱</t>
    </r>
    <r>
      <rPr>
        <b val="true"/>
        <sz val="9"/>
        <color rgb="FF7A1F1F"/>
        <rFont val="Arial"/>
        <family val="0"/>
        <charset val="1"/>
      </rPr>
      <t xml:space="preserve">(x·y=k) AMM, </t>
    </r>
    <r>
      <rPr>
        <b val="true"/>
        <sz val="9"/>
        <color rgb="FF7A1F1F"/>
        <rFont val="WenQuanYi Zen Hei"/>
        <family val="2"/>
      </rPr>
      <t xml:space="preserve">수수료 </t>
    </r>
    <r>
      <rPr>
        <b val="true"/>
        <sz val="9"/>
        <color rgb="FF7A1F1F"/>
        <rFont val="Arial"/>
        <family val="0"/>
        <charset val="1"/>
      </rPr>
      <t xml:space="preserve">0.5% </t>
    </r>
    <r>
      <rPr>
        <b val="true"/>
        <sz val="9"/>
        <color rgb="FF7A1F1F"/>
        <rFont val="WenQuanYi Zen Hei"/>
        <family val="2"/>
      </rPr>
      <t xml:space="preserve">반영</t>
    </r>
    <r>
      <rPr>
        <b val="true"/>
        <sz val="9"/>
        <color rgb="FF7A1F1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</si>
  <si>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풀 </t>
    </r>
    <r>
      <rPr>
        <sz val="10"/>
        <rFont val="Arial"/>
        <family val="0"/>
        <charset val="1"/>
      </rPr>
      <t xml:space="preserve">RLUSD </t>
    </r>
    <r>
      <rPr>
        <sz val="10"/>
        <rFont val="WenQuanYi Zen Hei"/>
        <family val="2"/>
      </rPr>
      <t xml:space="preserve">보유</t>
    </r>
  </si>
  <si>
    <r>
      <rPr>
        <sz val="9"/>
        <color rgb="FF555555"/>
        <rFont val="Arial"/>
        <family val="0"/>
        <charset val="1"/>
      </rPr>
      <t xml:space="preserve">10/14 </t>
    </r>
    <r>
      <rPr>
        <sz val="9"/>
        <color rgb="FF555555"/>
        <rFont val="WenQuanYi Zen Hei"/>
        <family val="2"/>
      </rPr>
      <t xml:space="preserve">화면 </t>
    </r>
    <r>
      <rPr>
        <sz val="9"/>
        <color rgb="FF555555"/>
        <rFont val="Arial"/>
        <family val="0"/>
        <charset val="1"/>
      </rPr>
      <t xml:space="preserve">122.0K</t>
    </r>
  </si>
  <si>
    <r>
      <rPr>
        <sz val="10"/>
        <rFont val="WenQuanYi Zen Hei"/>
        <family val="2"/>
      </rPr>
      <t xml:space="preserve">풀 </t>
    </r>
    <r>
      <rPr>
        <sz val="10"/>
        <rFont val="Arial"/>
        <family val="0"/>
        <charset val="1"/>
      </rPr>
      <t xml:space="preserve">WLBN </t>
    </r>
    <r>
      <rPr>
        <sz val="10"/>
        <rFont val="WenQuanYi Zen Hei"/>
        <family val="2"/>
      </rPr>
      <t xml:space="preserve">보유</t>
    </r>
  </si>
  <si>
    <r>
      <rPr>
        <sz val="9"/>
        <color rgb="FF555555"/>
        <rFont val="Arial"/>
        <family val="0"/>
        <charset val="1"/>
      </rPr>
      <t xml:space="preserve">10/14 </t>
    </r>
    <r>
      <rPr>
        <sz val="9"/>
        <color rgb="FF555555"/>
        <rFont val="WenQuanYi Zen Hei"/>
        <family val="2"/>
      </rPr>
      <t xml:space="preserve">화면 </t>
    </r>
    <r>
      <rPr>
        <sz val="9"/>
        <color rgb="FF555555"/>
        <rFont val="Arial"/>
        <family val="0"/>
        <charset val="1"/>
      </rPr>
      <t xml:space="preserve">264.8K</t>
    </r>
  </si>
  <si>
    <t xml:space="preserve">풀 수수료</t>
  </si>
  <si>
    <t xml:space="preserve">0.50%</t>
  </si>
  <si>
    <r>
      <rPr>
        <sz val="10"/>
        <rFont val="WenQuanYi Zen Hei"/>
        <family val="2"/>
      </rPr>
      <t xml:space="preserve">판매된 이용권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</si>
  <si>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Arial"/>
        <family val="0"/>
        <charset val="1"/>
      </rPr>
      <t xml:space="preserve">10/12 </t>
    </r>
    <r>
      <rPr>
        <sz val="9"/>
        <color rgb="FF555555"/>
        <rFont val="WenQuanYi Zen Hei"/>
        <family val="2"/>
      </rPr>
      <t xml:space="preserve">화면 </t>
    </r>
    <r>
      <rPr>
        <sz val="9"/>
        <color rgb="FF555555"/>
        <rFont val="Arial"/>
        <family val="0"/>
        <charset val="1"/>
      </rPr>
      <t xml:space="preserve">101 / 4,000</t>
    </r>
  </si>
  <si>
    <r>
      <rPr>
        <sz val="10"/>
        <rFont val="WenQuanYi Zen Hei"/>
        <family val="2"/>
      </rPr>
      <t xml:space="preserve">완판 시 이용권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</si>
  <si>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WenQuanYi Zen Hei"/>
        <family val="2"/>
      </rPr>
      <t xml:space="preserve">발행 </t>
    </r>
    <r>
      <rPr>
        <sz val="9"/>
        <color rgb="FF555555"/>
        <rFont val="Arial"/>
        <family val="0"/>
        <charset val="1"/>
      </rPr>
      <t xml:space="preserve">4,000</t>
    </r>
  </si>
  <si>
    <t xml:space="preserve">계산</t>
  </si>
  <si>
    <r>
      <rPr>
        <sz val="10"/>
        <rFont val="WenQuanYi Zen Hei"/>
        <family val="2"/>
      </rPr>
      <t xml:space="preserve">현재 풀 가격 </t>
    </r>
    <r>
      <rPr>
        <sz val="10"/>
        <rFont val="Arial"/>
        <family val="0"/>
        <charset val="1"/>
      </rPr>
      <t xml:space="preserve">(RLUSD/WLBN)</t>
    </r>
  </si>
  <si>
    <r>
      <rPr>
        <sz val="10"/>
        <rFont val="WenQuanYi Zen Hei"/>
        <family val="2"/>
      </rPr>
      <t xml:space="preserve">하루 새로 풀리는 </t>
    </r>
    <r>
      <rPr>
        <sz val="10"/>
        <rFont val="Arial"/>
        <family val="0"/>
        <charset val="1"/>
      </rPr>
      <t xml:space="preserve">WLBN — </t>
    </r>
    <r>
      <rPr>
        <sz val="10"/>
        <rFont val="WenQuanYi Zen Hei"/>
        <family val="2"/>
      </rPr>
      <t xml:space="preserve">지금 판매분</t>
    </r>
  </si>
  <si>
    <r>
      <rPr>
        <sz val="9"/>
        <color rgb="FF555555"/>
        <rFont val="WenQuanYi Zen Hei"/>
        <family val="2"/>
      </rPr>
      <t xml:space="preserve">판매 장수 </t>
    </r>
    <r>
      <rPr>
        <sz val="9"/>
        <color rgb="FF555555"/>
        <rFont val="Arial"/>
        <family val="0"/>
        <charset val="1"/>
      </rPr>
      <t xml:space="preserve">× 5</t>
    </r>
  </si>
  <si>
    <r>
      <rPr>
        <sz val="10"/>
        <rFont val="WenQuanYi Zen Hei"/>
        <family val="2"/>
      </rPr>
      <t xml:space="preserve">하루 새로 풀리는 </t>
    </r>
    <r>
      <rPr>
        <sz val="10"/>
        <rFont val="Arial"/>
        <family val="0"/>
        <charset val="1"/>
      </rPr>
      <t xml:space="preserve">WLBN — </t>
    </r>
    <r>
      <rPr>
        <sz val="10"/>
        <rFont val="WenQuanYi Zen Hei"/>
        <family val="2"/>
      </rPr>
      <t xml:space="preserve">완판 시</t>
    </r>
  </si>
  <si>
    <t xml:space="preserve">4,000 × 5 = 20,000</t>
  </si>
  <si>
    <r>
      <rPr>
        <sz val="10"/>
        <rFont val="WenQuanYi Zen Hei"/>
        <family val="2"/>
      </rPr>
      <t xml:space="preserve">완판 시 한 달 풀리는 </t>
    </r>
    <r>
      <rPr>
        <sz val="10"/>
        <rFont val="Arial"/>
        <family val="0"/>
        <charset val="1"/>
      </rPr>
      <t xml:space="preserve">WLBN</t>
    </r>
  </si>
  <si>
    <r>
      <rPr>
        <sz val="10"/>
        <rFont val="WenQuanYi Zen Hei"/>
        <family val="2"/>
      </rPr>
      <t xml:space="preserve">풀 </t>
    </r>
    <r>
      <rPr>
        <sz val="10"/>
        <rFont val="Arial"/>
        <family val="0"/>
        <charset val="1"/>
      </rPr>
      <t xml:space="preserve">WLBN </t>
    </r>
    <r>
      <rPr>
        <sz val="10"/>
        <rFont val="WenQuanYi Zen Hei"/>
        <family val="2"/>
      </rPr>
      <t xml:space="preserve">대비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완판 시 한 달치</t>
    </r>
    <r>
      <rPr>
        <sz val="10"/>
        <rFont val="Arial"/>
        <family val="0"/>
        <charset val="1"/>
      </rPr>
      <t xml:space="preserve">)</t>
    </r>
  </si>
  <si>
    <t xml:space="preserve">풀 보유량의 몇 배가 한 달에 풀리나</t>
  </si>
  <si>
    <r>
      <rPr>
        <sz val="10"/>
        <rFont val="WenQuanYi Zen Hei"/>
        <family val="2"/>
      </rPr>
      <t xml:space="preserve">한 장 한 달치를 풀에 팔면 받는 </t>
    </r>
    <r>
      <rPr>
        <sz val="10"/>
        <rFont val="Arial"/>
        <family val="0"/>
        <charset val="1"/>
      </rPr>
      <t xml:space="preserve">RLUSD</t>
    </r>
  </si>
  <si>
    <r>
      <rPr>
        <sz val="9"/>
        <color rgb="FF555555"/>
        <rFont val="WenQuanYi Zen Hei"/>
        <family val="2"/>
      </rPr>
      <t xml:space="preserve">장당 약 </t>
    </r>
    <r>
      <rPr>
        <sz val="9"/>
        <color rgb="FF555555"/>
        <rFont val="Arial"/>
        <family val="0"/>
        <charset val="1"/>
      </rPr>
      <t xml:space="preserve">152 WLBN</t>
    </r>
  </si>
  <si>
    <r>
      <rPr>
        <sz val="10"/>
        <rFont val="WenQuanYi Zen Hei"/>
        <family val="2"/>
      </rPr>
      <t xml:space="preserve">  └ 같은 수량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현재 가격과 차이</t>
    </r>
  </si>
  <si>
    <r>
      <rPr>
        <sz val="9"/>
        <color rgb="FF555555"/>
        <rFont val="WenQuanYi Zen Hei"/>
        <family val="2"/>
      </rPr>
      <t xml:space="preserve">미끄러짐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작음</t>
    </r>
    <r>
      <rPr>
        <sz val="9"/>
        <color rgb="FF555555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</si>
  <si>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완판 뒤 한 달치 전량을 풀에 팔면 받는 </t>
    </r>
    <r>
      <rPr>
        <sz val="10"/>
        <rFont val="Arial"/>
        <family val="0"/>
        <charset val="1"/>
      </rPr>
      <t xml:space="preserve">RLUSD</t>
    </r>
  </si>
  <si>
    <t xml:space="preserve">모두가 한꺼번에 판다고 가정한 극단값</t>
  </si>
  <si>
    <r>
      <rPr>
        <sz val="10"/>
        <rFont val="WenQuanYi Zen Hei"/>
        <family val="2"/>
      </rPr>
      <t xml:space="preserve">  └ 그때 </t>
    </r>
    <r>
      <rPr>
        <sz val="10"/>
        <rFont val="Arial"/>
        <family val="0"/>
        <charset val="1"/>
      </rPr>
      <t xml:space="preserve">1 WLBN </t>
    </r>
    <r>
      <rPr>
        <sz val="10"/>
        <rFont val="WenQuanYi Zen Hei"/>
        <family val="2"/>
      </rPr>
      <t xml:space="preserve">평균 가격</t>
    </r>
  </si>
  <si>
    <t xml:space="preserve">  └ 매도 뒤 풀 가격</t>
  </si>
  <si>
    <r>
      <rPr>
        <sz val="9"/>
        <color rgb="FF555555"/>
        <rFont val="WenQuanYi Zen Hei"/>
        <family val="2"/>
      </rPr>
      <t xml:space="preserve">읽는 법</t>
    </r>
    <r>
      <rPr>
        <sz val="9"/>
        <color rgb="FF555555"/>
        <rFont val="Arial"/>
        <family val="0"/>
        <charset val="1"/>
      </rPr>
      <t xml:space="preserve">: </t>
    </r>
    <r>
      <rPr>
        <sz val="9"/>
        <color rgb="FF555555"/>
        <rFont val="WenQuanYi Zen Hei"/>
        <family val="2"/>
      </rPr>
      <t xml:space="preserve">한 장 단위로는 거의 제값에 팔 수 있지만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판매 장수가 늘수록 매일 풀리는 </t>
    </r>
    <r>
      <rPr>
        <sz val="9"/>
        <color rgb="FF555555"/>
        <rFont val="Arial"/>
        <family val="0"/>
        <charset val="1"/>
      </rPr>
      <t xml:space="preserve">WLBN </t>
    </r>
    <r>
      <rPr>
        <sz val="9"/>
        <color rgb="FF555555"/>
        <rFont val="WenQuanYi Zen Hei"/>
        <family val="2"/>
      </rPr>
      <t xml:space="preserve">이 풀 깊이를 크게 넘는다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「요약」의 환산액은 가격이 버틴다는 가정에서만 성립한다</t>
    </r>
    <r>
      <rPr>
        <sz val="9"/>
        <color rgb="FF555555"/>
        <rFont val="Arial"/>
        <family val="0"/>
        <charset val="1"/>
      </rPr>
      <t xml:space="preserve">.</t>
    </r>
  </si>
  <si>
    <r>
      <rPr>
        <sz val="9"/>
        <color rgb="FF555555"/>
        <rFont val="WenQuanYi Zen Hei"/>
        <family val="2"/>
      </rPr>
      <t xml:space="preserve">이용권 토큰의 본래 용도는 </t>
    </r>
    <r>
      <rPr>
        <sz val="9"/>
        <color rgb="FF555555"/>
        <rFont val="Arial"/>
        <family val="0"/>
        <charset val="1"/>
      </rPr>
      <t xml:space="preserve">AI </t>
    </r>
    <r>
      <rPr>
        <sz val="9"/>
        <color rgb="FF555555"/>
        <rFont val="WenQuanYi Zen Hei"/>
        <family val="2"/>
      </rPr>
      <t xml:space="preserve">팩토리 콘텐츠 결제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카탈로그 가격 </t>
    </r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WenQuanYi Zen Hei"/>
        <family val="2"/>
      </rPr>
      <t xml:space="preserve">년 고정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결제분 소각</t>
    </r>
    <r>
      <rPr>
        <sz val="9"/>
        <color rgb="FF555555"/>
        <rFont val="Arial"/>
        <family val="0"/>
        <charset val="1"/>
      </rPr>
      <t xml:space="preserve">) — </t>
    </r>
    <r>
      <rPr>
        <sz val="9"/>
        <color rgb="FF555555"/>
        <rFont val="WenQuanYi Zen Hei"/>
        <family val="2"/>
      </rPr>
      <t xml:space="preserve">시장 매도 가치와 다르다</t>
    </r>
    <r>
      <rPr>
        <sz val="9"/>
        <color rgb="FF555555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</si>
</sst>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;&quot;($&quot;#,##0.00\);\-"/>
    <numFmt numFmtId="166" formatCode="0.0%"/>
    <numFmt numFmtId="167" formatCode="#,##0;\(#,##0\);\-"/>
    <numFmt numFmtId="168" formatCode="0.0000"/>
    <numFmt numFmtId="169" formatCode="#,##0.0;\(#,##0.0\);\-"/>
    <numFmt numFmtId="170" formatCode="\$#,##0.0000"/>
    <numFmt numFmtId="171" formatCode="\$#,##0.00##"/>
    <numFmt numFmtId="172" formatCode="\$#,##0;&quot;($&quot;#,##0\);\-"/>
    <numFmt numFmtId="173" formatCode="0.0\x"/>
    <numFmt numFmtId="174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b val="true"/>
      <sz val="9"/>
      <color rgb="FF7A1F1F"/>
      <name val="WenQuanYi Zen Hei"/>
      <family val="2"/>
    </font>
    <font>
      <b val="true"/>
      <sz val="9"/>
      <color rgb="FF7A1F1F"/>
      <name val="Arial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55555"/>
      <name val="WenQuanYi Zen Hei"/>
      <family val="2"/>
    </font>
    <font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EEF4"/>
        <bgColor rgb="FFD9EAD3"/>
      </patternFill>
    </fill>
    <fill>
      <patternFill patternType="solid">
        <fgColor rgb="FFFFF2CC"/>
        <bgColor rgb="FFE8EE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9EAD3"/>
        </patternFill>
      </fill>
    </dxf>
  </dxfs>
  <colors>
    <indexedColors>
      <rgbColor rgb="FF000000"/>
      <rgbColor rgb="FFE8EE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7A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58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 t="n">
        <v>380</v>
      </c>
      <c r="C4" s="6" t="s">
        <v>6</v>
      </c>
    </row>
    <row r="5" customFormat="false" ht="15" hidden="false" customHeight="false" outlineLevel="0" collapsed="false">
      <c r="A5" s="4" t="s">
        <v>7</v>
      </c>
      <c r="B5" s="7" t="n">
        <v>0.3</v>
      </c>
      <c r="C5" s="6" t="s">
        <v>8</v>
      </c>
    </row>
    <row r="6" customFormat="false" ht="15" hidden="false" customHeight="false" outlineLevel="0" collapsed="false">
      <c r="A6" s="4" t="s">
        <v>9</v>
      </c>
      <c r="B6" s="8" t="n">
        <f aca="false">B4*(1-B5)</f>
        <v>266</v>
      </c>
      <c r="C6" s="6" t="s">
        <v>10</v>
      </c>
    </row>
    <row r="7" customFormat="false" ht="15" hidden="false" customHeight="false" outlineLevel="0" collapsed="false">
      <c r="A7" s="4" t="s">
        <v>11</v>
      </c>
      <c r="B7" s="9" t="n">
        <v>5</v>
      </c>
      <c r="C7" s="6" t="s">
        <v>12</v>
      </c>
    </row>
    <row r="8" customFormat="false" ht="15" hidden="false" customHeight="false" outlineLevel="0" collapsed="false">
      <c r="A8" s="4" t="s">
        <v>13</v>
      </c>
      <c r="B8" s="9" t="n">
        <v>1095</v>
      </c>
      <c r="C8" s="6" t="s">
        <v>14</v>
      </c>
    </row>
    <row r="9" customFormat="false" ht="15" hidden="false" customHeight="false" outlineLevel="0" collapsed="false">
      <c r="A9" s="4" t="s">
        <v>15</v>
      </c>
      <c r="B9" s="10" t="n">
        <f aca="false">365/12</f>
        <v>30.4166666666667</v>
      </c>
      <c r="C9" s="11" t="s">
        <v>16</v>
      </c>
    </row>
    <row r="10" customFormat="false" ht="15" hidden="false" customHeight="false" outlineLevel="0" collapsed="false">
      <c r="A10" s="4" t="s">
        <v>17</v>
      </c>
      <c r="B10" s="12" t="n">
        <f aca="false">B7*B9</f>
        <v>152.083333333333</v>
      </c>
      <c r="C10" s="6" t="s">
        <v>18</v>
      </c>
    </row>
    <row r="11" customFormat="false" ht="15" hidden="false" customHeight="false" outlineLevel="0" collapsed="false">
      <c r="A11" s="13" t="s">
        <v>19</v>
      </c>
      <c r="B11" s="14" t="n">
        <f aca="false">B7*B8</f>
        <v>5475</v>
      </c>
      <c r="C11" s="11" t="s">
        <v>20</v>
      </c>
    </row>
    <row r="13" customFormat="false" ht="15" hidden="false" customHeight="false" outlineLevel="0" collapsed="false">
      <c r="A13" s="15" t="s">
        <v>21</v>
      </c>
      <c r="B13" s="16"/>
      <c r="C13" s="16"/>
    </row>
    <row r="14" customFormat="false" ht="15" hidden="false" customHeight="false" outlineLevel="0" collapsed="false">
      <c r="A14" s="4" t="s">
        <v>22</v>
      </c>
      <c r="B14" s="5" t="n">
        <v>0.5</v>
      </c>
      <c r="C14" s="6" t="s">
        <v>23</v>
      </c>
    </row>
    <row r="15" customFormat="false" ht="15" hidden="false" customHeight="false" outlineLevel="0" collapsed="false">
      <c r="A15" s="4" t="s">
        <v>24</v>
      </c>
      <c r="B15" s="5" t="n">
        <v>1</v>
      </c>
      <c r="C15" s="6" t="s">
        <v>23</v>
      </c>
    </row>
    <row r="16" customFormat="false" ht="15" hidden="false" customHeight="false" outlineLevel="0" collapsed="false">
      <c r="A16" s="4" t="s">
        <v>25</v>
      </c>
      <c r="B16" s="5" t="n">
        <v>1.5</v>
      </c>
      <c r="C16" s="6" t="s">
        <v>23</v>
      </c>
    </row>
    <row r="17" customFormat="false" ht="15" hidden="false" customHeight="false" outlineLevel="0" collapsed="false">
      <c r="A17" s="4" t="s">
        <v>26</v>
      </c>
      <c r="B17" s="5" t="n">
        <v>2</v>
      </c>
      <c r="C17" s="6" t="s">
        <v>23</v>
      </c>
    </row>
    <row r="18" customFormat="false" ht="15" hidden="false" customHeight="false" outlineLevel="0" collapsed="false">
      <c r="A18" s="4" t="s">
        <v>27</v>
      </c>
      <c r="B18" s="17" t="n">
        <v>0.460535</v>
      </c>
      <c r="C18" s="11" t="s">
        <v>28</v>
      </c>
    </row>
    <row r="20" customFormat="false" ht="15" hidden="false" customHeight="false" outlineLevel="0" collapsed="false">
      <c r="A20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5"/>
  </cols>
  <sheetData>
    <row r="1" customFormat="false" ht="17.15" hidden="false" customHeight="false" outlineLevel="0" collapsed="false">
      <c r="A1" s="18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A3" s="19" t="s">
        <v>2</v>
      </c>
      <c r="B3" s="19" t="s">
        <v>32</v>
      </c>
      <c r="C3" s="20" t="s">
        <v>33</v>
      </c>
      <c r="D3" s="20" t="s">
        <v>34</v>
      </c>
      <c r="E3" s="20" t="s">
        <v>35</v>
      </c>
      <c r="F3" s="20" t="s">
        <v>36</v>
      </c>
    </row>
    <row r="4" customFormat="false" ht="15" hidden="false" customHeight="false" outlineLevel="0" collapsed="false">
      <c r="A4" s="13" t="s">
        <v>37</v>
      </c>
      <c r="B4" s="21" t="n">
        <f aca="false">가정!$B$18</f>
        <v>0.460535</v>
      </c>
      <c r="C4" s="21" t="n">
        <f aca="false">가정!$B$14</f>
        <v>0.5</v>
      </c>
      <c r="D4" s="21" t="n">
        <f aca="false">가정!$B$15</f>
        <v>1</v>
      </c>
      <c r="E4" s="21" t="n">
        <f aca="false">가정!$B$16</f>
        <v>1.5</v>
      </c>
      <c r="F4" s="21" t="n">
        <f aca="false">가정!$B$17</f>
        <v>2</v>
      </c>
    </row>
    <row r="5" customFormat="false" ht="15" hidden="false" customHeight="false" outlineLevel="0" collapsed="false">
      <c r="A5" s="4" t="s">
        <v>38</v>
      </c>
      <c r="B5" s="22" t="n">
        <f aca="false">가정!$B$6</f>
        <v>266</v>
      </c>
      <c r="C5" s="22" t="n">
        <f aca="false">가정!$B$6</f>
        <v>266</v>
      </c>
      <c r="D5" s="22" t="n">
        <f aca="false">가정!$B$6</f>
        <v>266</v>
      </c>
      <c r="E5" s="22" t="n">
        <f aca="false">가정!$B$6</f>
        <v>266</v>
      </c>
      <c r="F5" s="22" t="n">
        <f aca="false">가정!$B$6</f>
        <v>266</v>
      </c>
    </row>
    <row r="6" customFormat="false" ht="15" hidden="false" customHeight="false" outlineLevel="0" collapsed="false">
      <c r="A6" s="4" t="s">
        <v>39</v>
      </c>
      <c r="B6" s="22" t="n">
        <f aca="false">가정!$B$7*가정!$B$18</f>
        <v>2.302675</v>
      </c>
      <c r="C6" s="22" t="n">
        <f aca="false">가정!$B$7*가정!$B$14</f>
        <v>2.5</v>
      </c>
      <c r="D6" s="22" t="n">
        <f aca="false">가정!$B$7*가정!$B$15</f>
        <v>5</v>
      </c>
      <c r="E6" s="22" t="n">
        <f aca="false">가정!$B$7*가정!$B$16</f>
        <v>7.5</v>
      </c>
      <c r="F6" s="22" t="n">
        <f aca="false">가정!$B$7*가정!$B$17</f>
        <v>10</v>
      </c>
    </row>
    <row r="7" customFormat="false" ht="15" hidden="false" customHeight="false" outlineLevel="0" collapsed="false">
      <c r="A7" s="4" t="s">
        <v>40</v>
      </c>
      <c r="B7" s="22" t="n">
        <f aca="false">가정!$B$10*가정!$B$18</f>
        <v>70.0396979166667</v>
      </c>
      <c r="C7" s="22" t="n">
        <f aca="false">가정!$B$10*가정!$B$14</f>
        <v>76.0416666666667</v>
      </c>
      <c r="D7" s="22" t="n">
        <f aca="false">가정!$B$10*가정!$B$15</f>
        <v>152.083333333333</v>
      </c>
      <c r="E7" s="22" t="n">
        <f aca="false">가정!$B$10*가정!$B$16</f>
        <v>228.125</v>
      </c>
      <c r="F7" s="22" t="n">
        <f aca="false">가정!$B$10*가정!$B$17</f>
        <v>304.166666666667</v>
      </c>
    </row>
    <row r="8" customFormat="false" ht="15" hidden="false" customHeight="false" outlineLevel="0" collapsed="false">
      <c r="A8" s="23" t="s">
        <v>41</v>
      </c>
      <c r="B8" s="24" t="n">
        <f aca="false">IFERROR(가정!$B$6/(가정!$B$7*가정!$B$18),"-")</f>
        <v>115.517821663934</v>
      </c>
      <c r="C8" s="24" t="n">
        <f aca="false">IFERROR(가정!$B$6/(가정!$B$7*가정!$B$14),"-")</f>
        <v>106.4</v>
      </c>
      <c r="D8" s="24" t="n">
        <f aca="false">IFERROR(가정!$B$6/(가정!$B$7*가정!$B$15),"-")</f>
        <v>53.2</v>
      </c>
      <c r="E8" s="24" t="n">
        <f aca="false">IFERROR(가정!$B$6/(가정!$B$7*가정!$B$16),"-")</f>
        <v>35.4666666666667</v>
      </c>
      <c r="F8" s="24" t="n">
        <f aca="false">IFERROR(가정!$B$6/(가정!$B$7*가정!$B$17),"-")</f>
        <v>26.6</v>
      </c>
    </row>
    <row r="9" customFormat="false" ht="15" hidden="false" customHeight="false" outlineLevel="0" collapsed="false">
      <c r="A9" s="23" t="s">
        <v>42</v>
      </c>
      <c r="B9" s="25" t="n">
        <f aca="false">IFERROR(가정!$B$6/(가정!$B$7*가정!$B$18)/가정!$B$9,"-")</f>
        <v>3.79784619169099</v>
      </c>
      <c r="C9" s="25" t="n">
        <f aca="false">IFERROR(가정!$B$6/(가정!$B$7*가정!$B$14)/가정!$B$9,"-")</f>
        <v>3.49808219178082</v>
      </c>
      <c r="D9" s="25" t="n">
        <f aca="false">IFERROR(가정!$B$6/(가정!$B$7*가정!$B$15)/가정!$B$9,"-")</f>
        <v>1.74904109589041</v>
      </c>
      <c r="E9" s="25" t="n">
        <f aca="false">IFERROR(가정!$B$6/(가정!$B$7*가정!$B$16)/가정!$B$9,"-")</f>
        <v>1.16602739726027</v>
      </c>
      <c r="F9" s="25" t="n">
        <f aca="false">IFERROR(가정!$B$6/(가정!$B$7*가정!$B$17)/가정!$B$9,"-")</f>
        <v>0.874520547945206</v>
      </c>
    </row>
    <row r="10" customFormat="false" ht="15" hidden="false" customHeight="false" outlineLevel="0" collapsed="false">
      <c r="A10" s="13" t="s">
        <v>43</v>
      </c>
      <c r="B10" s="24" t="n">
        <f aca="false">가정!$B$11</f>
        <v>5475</v>
      </c>
      <c r="C10" s="24" t="n">
        <f aca="false">가정!$B$11</f>
        <v>5475</v>
      </c>
      <c r="D10" s="24" t="n">
        <f aca="false">가정!$B$11</f>
        <v>5475</v>
      </c>
      <c r="E10" s="24" t="n">
        <f aca="false">가정!$B$11</f>
        <v>5475</v>
      </c>
      <c r="F10" s="24" t="n">
        <f aca="false">가정!$B$11</f>
        <v>5475</v>
      </c>
    </row>
    <row r="11" customFormat="false" ht="15" hidden="false" customHeight="false" outlineLevel="0" collapsed="false">
      <c r="A11" s="13" t="s">
        <v>44</v>
      </c>
      <c r="B11" s="26" t="n">
        <f aca="false">가정!$B$11*가정!$B$18</f>
        <v>2521.429125</v>
      </c>
      <c r="C11" s="26" t="n">
        <f aca="false">가정!$B$11*가정!$B$14</f>
        <v>2737.5</v>
      </c>
      <c r="D11" s="26" t="n">
        <f aca="false">가정!$B$11*가정!$B$15</f>
        <v>5475</v>
      </c>
      <c r="E11" s="26" t="n">
        <f aca="false">가정!$B$11*가정!$B$16</f>
        <v>8212.5</v>
      </c>
      <c r="F11" s="26" t="n">
        <f aca="false">가정!$B$11*가정!$B$17</f>
        <v>10950</v>
      </c>
    </row>
    <row r="12" customFormat="false" ht="15" hidden="false" customHeight="false" outlineLevel="0" collapsed="false">
      <c r="A12" s="13" t="s">
        <v>45</v>
      </c>
      <c r="B12" s="26" t="n">
        <f aca="false">가정!$B$11*가정!$B$18-가정!$B$6</f>
        <v>2255.429125</v>
      </c>
      <c r="C12" s="26" t="n">
        <f aca="false">가정!$B$11*가정!$B$14-가정!$B$6</f>
        <v>2471.5</v>
      </c>
      <c r="D12" s="26" t="n">
        <f aca="false">가정!$B$11*가정!$B$15-가정!$B$6</f>
        <v>5209</v>
      </c>
      <c r="E12" s="26" t="n">
        <f aca="false">가정!$B$11*가정!$B$16-가정!$B$6</f>
        <v>7946.5</v>
      </c>
      <c r="F12" s="26" t="n">
        <f aca="false">가정!$B$11*가정!$B$17-가정!$B$6</f>
        <v>10684</v>
      </c>
    </row>
    <row r="13" customFormat="false" ht="15" hidden="false" customHeight="false" outlineLevel="0" collapsed="false">
      <c r="A13" s="4" t="s">
        <v>46</v>
      </c>
      <c r="B13" s="27" t="n">
        <f aca="false">IFERROR(가정!$B$11*가정!$B$18/가정!$B$6,"-")</f>
        <v>9.47905686090226</v>
      </c>
      <c r="C13" s="27" t="n">
        <f aca="false">IFERROR(가정!$B$11*가정!$B$14/가정!$B$6,"-")</f>
        <v>10.2913533834586</v>
      </c>
      <c r="D13" s="27" t="n">
        <f aca="false">IFERROR(가정!$B$11*가정!$B$15/가정!$B$6,"-")</f>
        <v>20.5827067669173</v>
      </c>
      <c r="E13" s="27" t="n">
        <f aca="false">IFERROR(가정!$B$11*가정!$B$16/가정!$B$6,"-")</f>
        <v>30.8740601503759</v>
      </c>
      <c r="F13" s="27" t="n">
        <f aca="false">IFERROR(가정!$B$11*가정!$B$17/가정!$B$6,"-")</f>
        <v>41.1654135338346</v>
      </c>
    </row>
    <row r="14" customFormat="false" ht="15" hidden="false" customHeight="false" outlineLevel="0" collapsed="false">
      <c r="A14" s="4" t="s">
        <v>47</v>
      </c>
      <c r="B14" s="28" t="n">
        <f aca="false">가정!$B$6/가정!$B$11</f>
        <v>0.0485844748858448</v>
      </c>
      <c r="C14" s="28" t="n">
        <f aca="false">가정!$B$6/가정!$B$11</f>
        <v>0.0485844748858448</v>
      </c>
      <c r="D14" s="28" t="n">
        <f aca="false">가정!$B$6/가정!$B$11</f>
        <v>0.0485844748858448</v>
      </c>
      <c r="E14" s="28" t="n">
        <f aca="false">가정!$B$6/가정!$B$11</f>
        <v>0.0485844748858448</v>
      </c>
      <c r="F14" s="28" t="n">
        <f aca="false">가정!$B$6/가정!$B$11</f>
        <v>0.0485844748858448</v>
      </c>
    </row>
    <row r="16" customFormat="false" ht="15" hidden="false" customHeight="false" outlineLevel="0" collapsed="false">
      <c r="A16" s="6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8" min="4" style="0" width="12"/>
  </cols>
  <sheetData>
    <row r="1" customFormat="false" ht="17.15" hidden="false" customHeight="false" outlineLevel="0" collapsed="false">
      <c r="A1" s="18" t="s">
        <v>49</v>
      </c>
    </row>
    <row r="2" customFormat="false" ht="15" hidden="false" customHeight="false" outlineLevel="0" collapsed="false">
      <c r="A2" s="2" t="s">
        <v>50</v>
      </c>
    </row>
    <row r="3" customFormat="false" ht="15" hidden="false" customHeight="false" outlineLevel="0" collapsed="false">
      <c r="A3" s="19" t="s">
        <v>51</v>
      </c>
      <c r="B3" s="19" t="s">
        <v>52</v>
      </c>
      <c r="C3" s="19" t="s">
        <v>53</v>
      </c>
      <c r="D3" s="19" t="s">
        <v>54</v>
      </c>
      <c r="E3" s="20" t="s">
        <v>55</v>
      </c>
      <c r="F3" s="20" t="s">
        <v>56</v>
      </c>
      <c r="G3" s="20" t="s">
        <v>57</v>
      </c>
      <c r="H3" s="20" t="s">
        <v>58</v>
      </c>
    </row>
    <row r="4" customFormat="false" ht="15" hidden="false" customHeight="false" outlineLevel="0" collapsed="false">
      <c r="A4" s="14" t="n">
        <v>1</v>
      </c>
      <c r="B4" s="14" t="n">
        <f aca="false">MIN(A4*가정!$B$9,가정!$B$8)</f>
        <v>30.4166666666667</v>
      </c>
      <c r="C4" s="14" t="n">
        <f aca="false">B4*가정!$B$7</f>
        <v>152.083333333333</v>
      </c>
      <c r="D4" s="29" t="n">
        <f aca="false">C4*가정!$B$18-가정!$B$6</f>
        <v>-195.960302083333</v>
      </c>
      <c r="E4" s="29" t="n">
        <f aca="false">C4*가정!$B$14-가정!$B$6</f>
        <v>-189.958333333333</v>
      </c>
      <c r="F4" s="29" t="n">
        <f aca="false">C4*가정!$B$15-가정!$B$6</f>
        <v>-113.916666666667</v>
      </c>
      <c r="G4" s="29" t="n">
        <f aca="false">C4*가정!$B$16-가정!$B$6</f>
        <v>-37.875</v>
      </c>
      <c r="H4" s="29" t="n">
        <f aca="false">C4*가정!$B$17-가정!$B$6</f>
        <v>38.1666666666667</v>
      </c>
    </row>
    <row r="5" customFormat="false" ht="15" hidden="false" customHeight="false" outlineLevel="0" collapsed="false">
      <c r="A5" s="14" t="n">
        <v>2</v>
      </c>
      <c r="B5" s="14" t="n">
        <f aca="false">MIN(A5*가정!$B$9,가정!$B$8)</f>
        <v>60.8333333333333</v>
      </c>
      <c r="C5" s="14" t="n">
        <f aca="false">B5*가정!$B$7</f>
        <v>304.166666666667</v>
      </c>
      <c r="D5" s="29" t="n">
        <f aca="false">C5*가정!$B$18-가정!$B$6</f>
        <v>-125.920604166667</v>
      </c>
      <c r="E5" s="29" t="n">
        <f aca="false">C5*가정!$B$14-가정!$B$6</f>
        <v>-113.916666666667</v>
      </c>
      <c r="F5" s="29" t="n">
        <f aca="false">C5*가정!$B$15-가정!$B$6</f>
        <v>38.1666666666667</v>
      </c>
      <c r="G5" s="29" t="n">
        <f aca="false">C5*가정!$B$16-가정!$B$6</f>
        <v>190.25</v>
      </c>
      <c r="H5" s="29" t="n">
        <f aca="false">C5*가정!$B$17-가정!$B$6</f>
        <v>342.333333333333</v>
      </c>
    </row>
    <row r="6" customFormat="false" ht="15" hidden="false" customHeight="false" outlineLevel="0" collapsed="false">
      <c r="A6" s="14" t="n">
        <v>3</v>
      </c>
      <c r="B6" s="14" t="n">
        <f aca="false">MIN(A6*가정!$B$9,가정!$B$8)</f>
        <v>91.25</v>
      </c>
      <c r="C6" s="14" t="n">
        <f aca="false">B6*가정!$B$7</f>
        <v>456.25</v>
      </c>
      <c r="D6" s="29" t="n">
        <f aca="false">C6*가정!$B$18-가정!$B$6</f>
        <v>-55.88090625</v>
      </c>
      <c r="E6" s="29" t="n">
        <f aca="false">C6*가정!$B$14-가정!$B$6</f>
        <v>-37.875</v>
      </c>
      <c r="F6" s="29" t="n">
        <f aca="false">C6*가정!$B$15-가정!$B$6</f>
        <v>190.25</v>
      </c>
      <c r="G6" s="29" t="n">
        <f aca="false">C6*가정!$B$16-가정!$B$6</f>
        <v>418.375</v>
      </c>
      <c r="H6" s="29" t="n">
        <f aca="false">C6*가정!$B$17-가정!$B$6</f>
        <v>646.5</v>
      </c>
    </row>
    <row r="7" customFormat="false" ht="15" hidden="false" customHeight="false" outlineLevel="0" collapsed="false">
      <c r="A7" s="14" t="n">
        <v>4</v>
      </c>
      <c r="B7" s="14" t="n">
        <f aca="false">MIN(A7*가정!$B$9,가정!$B$8)</f>
        <v>121.666666666667</v>
      </c>
      <c r="C7" s="14" t="n">
        <f aca="false">B7*가정!$B$7</f>
        <v>608.333333333333</v>
      </c>
      <c r="D7" s="29" t="n">
        <f aca="false">C7*가정!$B$18-가정!$B$6</f>
        <v>14.1587916666667</v>
      </c>
      <c r="E7" s="29" t="n">
        <f aca="false">C7*가정!$B$14-가정!$B$6</f>
        <v>38.1666666666667</v>
      </c>
      <c r="F7" s="29" t="n">
        <f aca="false">C7*가정!$B$15-가정!$B$6</f>
        <v>342.333333333333</v>
      </c>
      <c r="G7" s="29" t="n">
        <f aca="false">C7*가정!$B$16-가정!$B$6</f>
        <v>646.5</v>
      </c>
      <c r="H7" s="29" t="n">
        <f aca="false">C7*가정!$B$17-가정!$B$6</f>
        <v>950.666666666667</v>
      </c>
    </row>
    <row r="8" customFormat="false" ht="15" hidden="false" customHeight="false" outlineLevel="0" collapsed="false">
      <c r="A8" s="14" t="n">
        <v>5</v>
      </c>
      <c r="B8" s="14" t="n">
        <f aca="false">MIN(A8*가정!$B$9,가정!$B$8)</f>
        <v>152.083333333333</v>
      </c>
      <c r="C8" s="14" t="n">
        <f aca="false">B8*가정!$B$7</f>
        <v>760.416666666667</v>
      </c>
      <c r="D8" s="29" t="n">
        <f aca="false">C8*가정!$B$18-가정!$B$6</f>
        <v>84.1984895833334</v>
      </c>
      <c r="E8" s="29" t="n">
        <f aca="false">C8*가정!$B$14-가정!$B$6</f>
        <v>114.208333333333</v>
      </c>
      <c r="F8" s="29" t="n">
        <f aca="false">C8*가정!$B$15-가정!$B$6</f>
        <v>494.416666666667</v>
      </c>
      <c r="G8" s="29" t="n">
        <f aca="false">C8*가정!$B$16-가정!$B$6</f>
        <v>874.625</v>
      </c>
      <c r="H8" s="29" t="n">
        <f aca="false">C8*가정!$B$17-가정!$B$6</f>
        <v>1254.83333333333</v>
      </c>
    </row>
    <row r="9" customFormat="false" ht="15" hidden="false" customHeight="false" outlineLevel="0" collapsed="false">
      <c r="A9" s="14" t="n">
        <v>6</v>
      </c>
      <c r="B9" s="14" t="n">
        <f aca="false">MIN(A9*가정!$B$9,가정!$B$8)</f>
        <v>182.5</v>
      </c>
      <c r="C9" s="14" t="n">
        <f aca="false">B9*가정!$B$7</f>
        <v>912.5</v>
      </c>
      <c r="D9" s="29" t="n">
        <f aca="false">C9*가정!$B$18-가정!$B$6</f>
        <v>154.2381875</v>
      </c>
      <c r="E9" s="29" t="n">
        <f aca="false">C9*가정!$B$14-가정!$B$6</f>
        <v>190.25</v>
      </c>
      <c r="F9" s="29" t="n">
        <f aca="false">C9*가정!$B$15-가정!$B$6</f>
        <v>646.5</v>
      </c>
      <c r="G9" s="29" t="n">
        <f aca="false">C9*가정!$B$16-가정!$B$6</f>
        <v>1102.75</v>
      </c>
      <c r="H9" s="29" t="n">
        <f aca="false">C9*가정!$B$17-가정!$B$6</f>
        <v>1559</v>
      </c>
    </row>
    <row r="10" customFormat="false" ht="15" hidden="false" customHeight="false" outlineLevel="0" collapsed="false">
      <c r="A10" s="14" t="n">
        <v>7</v>
      </c>
      <c r="B10" s="14" t="n">
        <f aca="false">MIN(A10*가정!$B$9,가정!$B$8)</f>
        <v>212.916666666667</v>
      </c>
      <c r="C10" s="14" t="n">
        <f aca="false">B10*가정!$B$7</f>
        <v>1064.58333333333</v>
      </c>
      <c r="D10" s="29" t="n">
        <f aca="false">C10*가정!$B$18-가정!$B$6</f>
        <v>224.277885416667</v>
      </c>
      <c r="E10" s="29" t="n">
        <f aca="false">C10*가정!$B$14-가정!$B$6</f>
        <v>266.291666666667</v>
      </c>
      <c r="F10" s="29" t="n">
        <f aca="false">C10*가정!$B$15-가정!$B$6</f>
        <v>798.583333333334</v>
      </c>
      <c r="G10" s="29" t="n">
        <f aca="false">C10*가정!$B$16-가정!$B$6</f>
        <v>1330.875</v>
      </c>
      <c r="H10" s="29" t="n">
        <f aca="false">C10*가정!$B$17-가정!$B$6</f>
        <v>1863.16666666667</v>
      </c>
    </row>
    <row r="11" customFormat="false" ht="15" hidden="false" customHeight="false" outlineLevel="0" collapsed="false">
      <c r="A11" s="14" t="n">
        <v>8</v>
      </c>
      <c r="B11" s="14" t="n">
        <f aca="false">MIN(A11*가정!$B$9,가정!$B$8)</f>
        <v>243.333333333333</v>
      </c>
      <c r="C11" s="14" t="n">
        <f aca="false">B11*가정!$B$7</f>
        <v>1216.66666666667</v>
      </c>
      <c r="D11" s="29" t="n">
        <f aca="false">C11*가정!$B$18-가정!$B$6</f>
        <v>294.317583333333</v>
      </c>
      <c r="E11" s="29" t="n">
        <f aca="false">C11*가정!$B$14-가정!$B$6</f>
        <v>342.333333333333</v>
      </c>
      <c r="F11" s="29" t="n">
        <f aca="false">C11*가정!$B$15-가정!$B$6</f>
        <v>950.666666666667</v>
      </c>
      <c r="G11" s="29" t="n">
        <f aca="false">C11*가정!$B$16-가정!$B$6</f>
        <v>1559</v>
      </c>
      <c r="H11" s="29" t="n">
        <f aca="false">C11*가정!$B$17-가정!$B$6</f>
        <v>2167.33333333333</v>
      </c>
    </row>
    <row r="12" customFormat="false" ht="15" hidden="false" customHeight="false" outlineLevel="0" collapsed="false">
      <c r="A12" s="14" t="n">
        <v>9</v>
      </c>
      <c r="B12" s="14" t="n">
        <f aca="false">MIN(A12*가정!$B$9,가정!$B$8)</f>
        <v>273.75</v>
      </c>
      <c r="C12" s="14" t="n">
        <f aca="false">B12*가정!$B$7</f>
        <v>1368.75</v>
      </c>
      <c r="D12" s="29" t="n">
        <f aca="false">C12*가정!$B$18-가정!$B$6</f>
        <v>364.35728125</v>
      </c>
      <c r="E12" s="29" t="n">
        <f aca="false">C12*가정!$B$14-가정!$B$6</f>
        <v>418.375</v>
      </c>
      <c r="F12" s="29" t="n">
        <f aca="false">C12*가정!$B$15-가정!$B$6</f>
        <v>1102.75</v>
      </c>
      <c r="G12" s="29" t="n">
        <f aca="false">C12*가정!$B$16-가정!$B$6</f>
        <v>1787.125</v>
      </c>
      <c r="H12" s="29" t="n">
        <f aca="false">C12*가정!$B$17-가정!$B$6</f>
        <v>2471.5</v>
      </c>
    </row>
    <row r="13" customFormat="false" ht="15" hidden="false" customHeight="false" outlineLevel="0" collapsed="false">
      <c r="A13" s="14" t="n">
        <v>10</v>
      </c>
      <c r="B13" s="14" t="n">
        <f aca="false">MIN(A13*가정!$B$9,가정!$B$8)</f>
        <v>304.166666666667</v>
      </c>
      <c r="C13" s="14" t="n">
        <f aca="false">B13*가정!$B$7</f>
        <v>1520.83333333333</v>
      </c>
      <c r="D13" s="29" t="n">
        <f aca="false">C13*가정!$B$18-가정!$B$6</f>
        <v>434.396979166667</v>
      </c>
      <c r="E13" s="29" t="n">
        <f aca="false">C13*가정!$B$14-가정!$B$6</f>
        <v>494.416666666667</v>
      </c>
      <c r="F13" s="29" t="n">
        <f aca="false">C13*가정!$B$15-가정!$B$6</f>
        <v>1254.83333333333</v>
      </c>
      <c r="G13" s="29" t="n">
        <f aca="false">C13*가정!$B$16-가정!$B$6</f>
        <v>2015.25</v>
      </c>
      <c r="H13" s="29" t="n">
        <f aca="false">C13*가정!$B$17-가정!$B$6</f>
        <v>2775.66666666667</v>
      </c>
    </row>
    <row r="14" customFormat="false" ht="15" hidden="false" customHeight="false" outlineLevel="0" collapsed="false">
      <c r="A14" s="14" t="n">
        <v>11</v>
      </c>
      <c r="B14" s="14" t="n">
        <f aca="false">MIN(A14*가정!$B$9,가정!$B$8)</f>
        <v>334.583333333333</v>
      </c>
      <c r="C14" s="14" t="n">
        <f aca="false">B14*가정!$B$7</f>
        <v>1672.91666666667</v>
      </c>
      <c r="D14" s="29" t="n">
        <f aca="false">C14*가정!$B$18-가정!$B$6</f>
        <v>504.436677083334</v>
      </c>
      <c r="E14" s="29" t="n">
        <f aca="false">C14*가정!$B$14-가정!$B$6</f>
        <v>570.458333333334</v>
      </c>
      <c r="F14" s="29" t="n">
        <f aca="false">C14*가정!$B$15-가정!$B$6</f>
        <v>1406.91666666667</v>
      </c>
      <c r="G14" s="29" t="n">
        <f aca="false">C14*가정!$B$16-가정!$B$6</f>
        <v>2243.375</v>
      </c>
      <c r="H14" s="29" t="n">
        <f aca="false">C14*가정!$B$17-가정!$B$6</f>
        <v>3079.83333333333</v>
      </c>
    </row>
    <row r="15" customFormat="false" ht="15" hidden="false" customHeight="false" outlineLevel="0" collapsed="false">
      <c r="A15" s="14" t="n">
        <v>12</v>
      </c>
      <c r="B15" s="14" t="n">
        <f aca="false">MIN(A15*가정!$B$9,가정!$B$8)</f>
        <v>365</v>
      </c>
      <c r="C15" s="14" t="n">
        <f aca="false">B15*가정!$B$7</f>
        <v>1825</v>
      </c>
      <c r="D15" s="29" t="n">
        <f aca="false">C15*가정!$B$18-가정!$B$6</f>
        <v>574.476375</v>
      </c>
      <c r="E15" s="29" t="n">
        <f aca="false">C15*가정!$B$14-가정!$B$6</f>
        <v>646.5</v>
      </c>
      <c r="F15" s="29" t="n">
        <f aca="false">C15*가정!$B$15-가정!$B$6</f>
        <v>1559</v>
      </c>
      <c r="G15" s="29" t="n">
        <f aca="false">C15*가정!$B$16-가정!$B$6</f>
        <v>2471.5</v>
      </c>
      <c r="H15" s="29" t="n">
        <f aca="false">C15*가정!$B$17-가정!$B$6</f>
        <v>3384</v>
      </c>
    </row>
    <row r="16" customFormat="false" ht="15" hidden="false" customHeight="false" outlineLevel="0" collapsed="false">
      <c r="A16" s="14" t="n">
        <v>13</v>
      </c>
      <c r="B16" s="14" t="n">
        <f aca="false">MIN(A16*가정!$B$9,가정!$B$8)</f>
        <v>395.416666666667</v>
      </c>
      <c r="C16" s="14" t="n">
        <f aca="false">B16*가정!$B$7</f>
        <v>1977.08333333333</v>
      </c>
      <c r="D16" s="29" t="n">
        <f aca="false">C16*가정!$B$18-가정!$B$6</f>
        <v>644.516072916667</v>
      </c>
      <c r="E16" s="29" t="n">
        <f aca="false">C16*가정!$B$14-가정!$B$6</f>
        <v>722.541666666667</v>
      </c>
      <c r="F16" s="29" t="n">
        <f aca="false">C16*가정!$B$15-가정!$B$6</f>
        <v>1711.08333333333</v>
      </c>
      <c r="G16" s="29" t="n">
        <f aca="false">C16*가정!$B$16-가정!$B$6</f>
        <v>2699.625</v>
      </c>
      <c r="H16" s="29" t="n">
        <f aca="false">C16*가정!$B$17-가정!$B$6</f>
        <v>3688.16666666667</v>
      </c>
    </row>
    <row r="17" customFormat="false" ht="15" hidden="false" customHeight="false" outlineLevel="0" collapsed="false">
      <c r="A17" s="14" t="n">
        <v>14</v>
      </c>
      <c r="B17" s="14" t="n">
        <f aca="false">MIN(A17*가정!$B$9,가정!$B$8)</f>
        <v>425.833333333333</v>
      </c>
      <c r="C17" s="14" t="n">
        <f aca="false">B17*가정!$B$7</f>
        <v>2129.16666666667</v>
      </c>
      <c r="D17" s="29" t="n">
        <f aca="false">C17*가정!$B$18-가정!$B$6</f>
        <v>714.555770833334</v>
      </c>
      <c r="E17" s="29" t="n">
        <f aca="false">C17*가정!$B$14-가정!$B$6</f>
        <v>798.583333333334</v>
      </c>
      <c r="F17" s="29" t="n">
        <f aca="false">C17*가정!$B$15-가정!$B$6</f>
        <v>1863.16666666667</v>
      </c>
      <c r="G17" s="29" t="n">
        <f aca="false">C17*가정!$B$16-가정!$B$6</f>
        <v>2927.75</v>
      </c>
      <c r="H17" s="29" t="n">
        <f aca="false">C17*가정!$B$17-가정!$B$6</f>
        <v>3992.33333333333</v>
      </c>
    </row>
    <row r="18" customFormat="false" ht="15" hidden="false" customHeight="false" outlineLevel="0" collapsed="false">
      <c r="A18" s="14" t="n">
        <v>15</v>
      </c>
      <c r="B18" s="14" t="n">
        <f aca="false">MIN(A18*가정!$B$9,가정!$B$8)</f>
        <v>456.25</v>
      </c>
      <c r="C18" s="14" t="n">
        <f aca="false">B18*가정!$B$7</f>
        <v>2281.25</v>
      </c>
      <c r="D18" s="29" t="n">
        <f aca="false">C18*가정!$B$18-가정!$B$6</f>
        <v>784.59546875</v>
      </c>
      <c r="E18" s="29" t="n">
        <f aca="false">C18*가정!$B$14-가정!$B$6</f>
        <v>874.625</v>
      </c>
      <c r="F18" s="29" t="n">
        <f aca="false">C18*가정!$B$15-가정!$B$6</f>
        <v>2015.25</v>
      </c>
      <c r="G18" s="29" t="n">
        <f aca="false">C18*가정!$B$16-가정!$B$6</f>
        <v>3155.875</v>
      </c>
      <c r="H18" s="29" t="n">
        <f aca="false">C18*가정!$B$17-가정!$B$6</f>
        <v>4296.5</v>
      </c>
    </row>
    <row r="19" customFormat="false" ht="15" hidden="false" customHeight="false" outlineLevel="0" collapsed="false">
      <c r="A19" s="14" t="n">
        <v>16</v>
      </c>
      <c r="B19" s="14" t="n">
        <f aca="false">MIN(A19*가정!$B$9,가정!$B$8)</f>
        <v>486.666666666667</v>
      </c>
      <c r="C19" s="14" t="n">
        <f aca="false">B19*가정!$B$7</f>
        <v>2433.33333333333</v>
      </c>
      <c r="D19" s="29" t="n">
        <f aca="false">C19*가정!$B$18-가정!$B$6</f>
        <v>854.635166666667</v>
      </c>
      <c r="E19" s="29" t="n">
        <f aca="false">C19*가정!$B$14-가정!$B$6</f>
        <v>950.666666666667</v>
      </c>
      <c r="F19" s="29" t="n">
        <f aca="false">C19*가정!$B$15-가정!$B$6</f>
        <v>2167.33333333333</v>
      </c>
      <c r="G19" s="29" t="n">
        <f aca="false">C19*가정!$B$16-가정!$B$6</f>
        <v>3384</v>
      </c>
      <c r="H19" s="29" t="n">
        <f aca="false">C19*가정!$B$17-가정!$B$6</f>
        <v>4600.66666666667</v>
      </c>
    </row>
    <row r="20" customFormat="false" ht="15" hidden="false" customHeight="false" outlineLevel="0" collapsed="false">
      <c r="A20" s="14" t="n">
        <v>17</v>
      </c>
      <c r="B20" s="14" t="n">
        <f aca="false">MIN(A20*가정!$B$9,가정!$B$8)</f>
        <v>517.083333333333</v>
      </c>
      <c r="C20" s="14" t="n">
        <f aca="false">B20*가정!$B$7</f>
        <v>2585.41666666667</v>
      </c>
      <c r="D20" s="29" t="n">
        <f aca="false">C20*가정!$B$18-가정!$B$6</f>
        <v>924.674864583334</v>
      </c>
      <c r="E20" s="29" t="n">
        <f aca="false">C20*가정!$B$14-가정!$B$6</f>
        <v>1026.70833333333</v>
      </c>
      <c r="F20" s="29" t="n">
        <f aca="false">C20*가정!$B$15-가정!$B$6</f>
        <v>2319.41666666667</v>
      </c>
      <c r="G20" s="29" t="n">
        <f aca="false">C20*가정!$B$16-가정!$B$6</f>
        <v>3612.125</v>
      </c>
      <c r="H20" s="29" t="n">
        <f aca="false">C20*가정!$B$17-가정!$B$6</f>
        <v>4904.83333333333</v>
      </c>
    </row>
    <row r="21" customFormat="false" ht="15" hidden="false" customHeight="false" outlineLevel="0" collapsed="false">
      <c r="A21" s="14" t="n">
        <v>18</v>
      </c>
      <c r="B21" s="14" t="n">
        <f aca="false">MIN(A21*가정!$B$9,가정!$B$8)</f>
        <v>547.5</v>
      </c>
      <c r="C21" s="14" t="n">
        <f aca="false">B21*가정!$B$7</f>
        <v>2737.5</v>
      </c>
      <c r="D21" s="29" t="n">
        <f aca="false">C21*가정!$B$18-가정!$B$6</f>
        <v>994.7145625</v>
      </c>
      <c r="E21" s="29" t="n">
        <f aca="false">C21*가정!$B$14-가정!$B$6</f>
        <v>1102.75</v>
      </c>
      <c r="F21" s="29" t="n">
        <f aca="false">C21*가정!$B$15-가정!$B$6</f>
        <v>2471.5</v>
      </c>
      <c r="G21" s="29" t="n">
        <f aca="false">C21*가정!$B$16-가정!$B$6</f>
        <v>3840.25</v>
      </c>
      <c r="H21" s="29" t="n">
        <f aca="false">C21*가정!$B$17-가정!$B$6</f>
        <v>5209</v>
      </c>
    </row>
    <row r="22" customFormat="false" ht="15" hidden="false" customHeight="false" outlineLevel="0" collapsed="false">
      <c r="A22" s="14" t="n">
        <v>19</v>
      </c>
      <c r="B22" s="14" t="n">
        <f aca="false">MIN(A22*가정!$B$9,가정!$B$8)</f>
        <v>577.916666666667</v>
      </c>
      <c r="C22" s="14" t="n">
        <f aca="false">B22*가정!$B$7</f>
        <v>2889.58333333333</v>
      </c>
      <c r="D22" s="29" t="n">
        <f aca="false">C22*가정!$B$18-가정!$B$6</f>
        <v>1064.75426041667</v>
      </c>
      <c r="E22" s="29" t="n">
        <f aca="false">C22*가정!$B$14-가정!$B$6</f>
        <v>1178.79166666667</v>
      </c>
      <c r="F22" s="29" t="n">
        <f aca="false">C22*가정!$B$15-가정!$B$6</f>
        <v>2623.58333333333</v>
      </c>
      <c r="G22" s="29" t="n">
        <f aca="false">C22*가정!$B$16-가정!$B$6</f>
        <v>4068.375</v>
      </c>
      <c r="H22" s="29" t="n">
        <f aca="false">C22*가정!$B$17-가정!$B$6</f>
        <v>5513.16666666667</v>
      </c>
    </row>
    <row r="23" customFormat="false" ht="15" hidden="false" customHeight="false" outlineLevel="0" collapsed="false">
      <c r="A23" s="14" t="n">
        <v>20</v>
      </c>
      <c r="B23" s="14" t="n">
        <f aca="false">MIN(A23*가정!$B$9,가정!$B$8)</f>
        <v>608.333333333333</v>
      </c>
      <c r="C23" s="14" t="n">
        <f aca="false">B23*가정!$B$7</f>
        <v>3041.66666666667</v>
      </c>
      <c r="D23" s="29" t="n">
        <f aca="false">C23*가정!$B$18-가정!$B$6</f>
        <v>1134.79395833333</v>
      </c>
      <c r="E23" s="29" t="n">
        <f aca="false">C23*가정!$B$14-가정!$B$6</f>
        <v>1254.83333333333</v>
      </c>
      <c r="F23" s="29" t="n">
        <f aca="false">C23*가정!$B$15-가정!$B$6</f>
        <v>2775.66666666667</v>
      </c>
      <c r="G23" s="29" t="n">
        <f aca="false">C23*가정!$B$16-가정!$B$6</f>
        <v>4296.5</v>
      </c>
      <c r="H23" s="29" t="n">
        <f aca="false">C23*가정!$B$17-가정!$B$6</f>
        <v>5817.33333333333</v>
      </c>
    </row>
    <row r="24" customFormat="false" ht="15" hidden="false" customHeight="false" outlineLevel="0" collapsed="false">
      <c r="A24" s="14" t="n">
        <v>21</v>
      </c>
      <c r="B24" s="14" t="n">
        <f aca="false">MIN(A24*가정!$B$9,가정!$B$8)</f>
        <v>638.75</v>
      </c>
      <c r="C24" s="14" t="n">
        <f aca="false">B24*가정!$B$7</f>
        <v>3193.75</v>
      </c>
      <c r="D24" s="29" t="n">
        <f aca="false">C24*가정!$B$18-가정!$B$6</f>
        <v>1204.83365625</v>
      </c>
      <c r="E24" s="29" t="n">
        <f aca="false">C24*가정!$B$14-가정!$B$6</f>
        <v>1330.875</v>
      </c>
      <c r="F24" s="29" t="n">
        <f aca="false">C24*가정!$B$15-가정!$B$6</f>
        <v>2927.75</v>
      </c>
      <c r="G24" s="29" t="n">
        <f aca="false">C24*가정!$B$16-가정!$B$6</f>
        <v>4524.625</v>
      </c>
      <c r="H24" s="29" t="n">
        <f aca="false">C24*가정!$B$17-가정!$B$6</f>
        <v>6121.5</v>
      </c>
    </row>
    <row r="25" customFormat="false" ht="15" hidden="false" customHeight="false" outlineLevel="0" collapsed="false">
      <c r="A25" s="14" t="n">
        <v>22</v>
      </c>
      <c r="B25" s="14" t="n">
        <f aca="false">MIN(A25*가정!$B$9,가정!$B$8)</f>
        <v>669.166666666667</v>
      </c>
      <c r="C25" s="14" t="n">
        <f aca="false">B25*가정!$B$7</f>
        <v>3345.83333333333</v>
      </c>
      <c r="D25" s="29" t="n">
        <f aca="false">C25*가정!$B$18-가정!$B$6</f>
        <v>1274.87335416667</v>
      </c>
      <c r="E25" s="29" t="n">
        <f aca="false">C25*가정!$B$14-가정!$B$6</f>
        <v>1406.91666666667</v>
      </c>
      <c r="F25" s="29" t="n">
        <f aca="false">C25*가정!$B$15-가정!$B$6</f>
        <v>3079.83333333333</v>
      </c>
      <c r="G25" s="29" t="n">
        <f aca="false">C25*가정!$B$16-가정!$B$6</f>
        <v>4752.75</v>
      </c>
      <c r="H25" s="29" t="n">
        <f aca="false">C25*가정!$B$17-가정!$B$6</f>
        <v>6425.66666666667</v>
      </c>
    </row>
    <row r="26" customFormat="false" ht="15" hidden="false" customHeight="false" outlineLevel="0" collapsed="false">
      <c r="A26" s="14" t="n">
        <v>23</v>
      </c>
      <c r="B26" s="14" t="n">
        <f aca="false">MIN(A26*가정!$B$9,가정!$B$8)</f>
        <v>699.583333333333</v>
      </c>
      <c r="C26" s="14" t="n">
        <f aca="false">B26*가정!$B$7</f>
        <v>3497.91666666667</v>
      </c>
      <c r="D26" s="29" t="n">
        <f aca="false">C26*가정!$B$18-가정!$B$6</f>
        <v>1344.91305208333</v>
      </c>
      <c r="E26" s="29" t="n">
        <f aca="false">C26*가정!$B$14-가정!$B$6</f>
        <v>1482.95833333333</v>
      </c>
      <c r="F26" s="29" t="n">
        <f aca="false">C26*가정!$B$15-가정!$B$6</f>
        <v>3231.91666666667</v>
      </c>
      <c r="G26" s="29" t="n">
        <f aca="false">C26*가정!$B$16-가정!$B$6</f>
        <v>4980.875</v>
      </c>
      <c r="H26" s="29" t="n">
        <f aca="false">C26*가정!$B$17-가정!$B$6</f>
        <v>6729.83333333333</v>
      </c>
    </row>
    <row r="27" customFormat="false" ht="15" hidden="false" customHeight="false" outlineLevel="0" collapsed="false">
      <c r="A27" s="14" t="n">
        <v>24</v>
      </c>
      <c r="B27" s="14" t="n">
        <f aca="false">MIN(A27*가정!$B$9,가정!$B$8)</f>
        <v>730</v>
      </c>
      <c r="C27" s="14" t="n">
        <f aca="false">B27*가정!$B$7</f>
        <v>3650</v>
      </c>
      <c r="D27" s="29" t="n">
        <f aca="false">C27*가정!$B$18-가정!$B$6</f>
        <v>1414.95275</v>
      </c>
      <c r="E27" s="29" t="n">
        <f aca="false">C27*가정!$B$14-가정!$B$6</f>
        <v>1559</v>
      </c>
      <c r="F27" s="29" t="n">
        <f aca="false">C27*가정!$B$15-가정!$B$6</f>
        <v>3384</v>
      </c>
      <c r="G27" s="29" t="n">
        <f aca="false">C27*가정!$B$16-가정!$B$6</f>
        <v>5209</v>
      </c>
      <c r="H27" s="29" t="n">
        <f aca="false">C27*가정!$B$17-가정!$B$6</f>
        <v>7034</v>
      </c>
    </row>
    <row r="28" customFormat="false" ht="15" hidden="false" customHeight="false" outlineLevel="0" collapsed="false">
      <c r="A28" s="14" t="n">
        <v>25</v>
      </c>
      <c r="B28" s="14" t="n">
        <f aca="false">MIN(A28*가정!$B$9,가정!$B$8)</f>
        <v>760.416666666667</v>
      </c>
      <c r="C28" s="14" t="n">
        <f aca="false">B28*가정!$B$7</f>
        <v>3802.08333333333</v>
      </c>
      <c r="D28" s="29" t="n">
        <f aca="false">C28*가정!$B$18-가정!$B$6</f>
        <v>1484.99244791667</v>
      </c>
      <c r="E28" s="29" t="n">
        <f aca="false">C28*가정!$B$14-가정!$B$6</f>
        <v>1635.04166666667</v>
      </c>
      <c r="F28" s="29" t="n">
        <f aca="false">C28*가정!$B$15-가정!$B$6</f>
        <v>3536.08333333333</v>
      </c>
      <c r="G28" s="29" t="n">
        <f aca="false">C28*가정!$B$16-가정!$B$6</f>
        <v>5437.125</v>
      </c>
      <c r="H28" s="29" t="n">
        <f aca="false">C28*가정!$B$17-가정!$B$6</f>
        <v>7338.16666666667</v>
      </c>
    </row>
    <row r="29" customFormat="false" ht="15" hidden="false" customHeight="false" outlineLevel="0" collapsed="false">
      <c r="A29" s="14" t="n">
        <v>26</v>
      </c>
      <c r="B29" s="14" t="n">
        <f aca="false">MIN(A29*가정!$B$9,가정!$B$8)</f>
        <v>790.833333333333</v>
      </c>
      <c r="C29" s="14" t="n">
        <f aca="false">B29*가정!$B$7</f>
        <v>3954.16666666667</v>
      </c>
      <c r="D29" s="29" t="n">
        <f aca="false">C29*가정!$B$18-가정!$B$6</f>
        <v>1555.03214583333</v>
      </c>
      <c r="E29" s="29" t="n">
        <f aca="false">C29*가정!$B$14-가정!$B$6</f>
        <v>1711.08333333333</v>
      </c>
      <c r="F29" s="29" t="n">
        <f aca="false">C29*가정!$B$15-가정!$B$6</f>
        <v>3688.16666666667</v>
      </c>
      <c r="G29" s="29" t="n">
        <f aca="false">C29*가정!$B$16-가정!$B$6</f>
        <v>5665.25</v>
      </c>
      <c r="H29" s="29" t="n">
        <f aca="false">C29*가정!$B$17-가정!$B$6</f>
        <v>7642.33333333333</v>
      </c>
    </row>
    <row r="30" customFormat="false" ht="15" hidden="false" customHeight="false" outlineLevel="0" collapsed="false">
      <c r="A30" s="14" t="n">
        <v>27</v>
      </c>
      <c r="B30" s="14" t="n">
        <f aca="false">MIN(A30*가정!$B$9,가정!$B$8)</f>
        <v>821.25</v>
      </c>
      <c r="C30" s="14" t="n">
        <f aca="false">B30*가정!$B$7</f>
        <v>4106.25</v>
      </c>
      <c r="D30" s="29" t="n">
        <f aca="false">C30*가정!$B$18-가정!$B$6</f>
        <v>1625.07184375</v>
      </c>
      <c r="E30" s="29" t="n">
        <f aca="false">C30*가정!$B$14-가정!$B$6</f>
        <v>1787.125</v>
      </c>
      <c r="F30" s="29" t="n">
        <f aca="false">C30*가정!$B$15-가정!$B$6</f>
        <v>3840.25</v>
      </c>
      <c r="G30" s="29" t="n">
        <f aca="false">C30*가정!$B$16-가정!$B$6</f>
        <v>5893.375</v>
      </c>
      <c r="H30" s="29" t="n">
        <f aca="false">C30*가정!$B$17-가정!$B$6</f>
        <v>7946.5</v>
      </c>
    </row>
    <row r="31" customFormat="false" ht="15" hidden="false" customHeight="false" outlineLevel="0" collapsed="false">
      <c r="A31" s="14" t="n">
        <v>28</v>
      </c>
      <c r="B31" s="14" t="n">
        <f aca="false">MIN(A31*가정!$B$9,가정!$B$8)</f>
        <v>851.666666666667</v>
      </c>
      <c r="C31" s="14" t="n">
        <f aca="false">B31*가정!$B$7</f>
        <v>4258.33333333333</v>
      </c>
      <c r="D31" s="29" t="n">
        <f aca="false">C31*가정!$B$18-가정!$B$6</f>
        <v>1695.11154166667</v>
      </c>
      <c r="E31" s="29" t="n">
        <f aca="false">C31*가정!$B$14-가정!$B$6</f>
        <v>1863.16666666667</v>
      </c>
      <c r="F31" s="29" t="n">
        <f aca="false">C31*가정!$B$15-가정!$B$6</f>
        <v>3992.33333333333</v>
      </c>
      <c r="G31" s="29" t="n">
        <f aca="false">C31*가정!$B$16-가정!$B$6</f>
        <v>6121.5</v>
      </c>
      <c r="H31" s="29" t="n">
        <f aca="false">C31*가정!$B$17-가정!$B$6</f>
        <v>8250.66666666667</v>
      </c>
    </row>
    <row r="32" customFormat="false" ht="15" hidden="false" customHeight="false" outlineLevel="0" collapsed="false">
      <c r="A32" s="14" t="n">
        <v>29</v>
      </c>
      <c r="B32" s="14" t="n">
        <f aca="false">MIN(A32*가정!$B$9,가정!$B$8)</f>
        <v>882.083333333333</v>
      </c>
      <c r="C32" s="14" t="n">
        <f aca="false">B32*가정!$B$7</f>
        <v>4410.41666666667</v>
      </c>
      <c r="D32" s="29" t="n">
        <f aca="false">C32*가정!$B$18-가정!$B$6</f>
        <v>1765.15123958333</v>
      </c>
      <c r="E32" s="29" t="n">
        <f aca="false">C32*가정!$B$14-가정!$B$6</f>
        <v>1939.20833333333</v>
      </c>
      <c r="F32" s="29" t="n">
        <f aca="false">C32*가정!$B$15-가정!$B$6</f>
        <v>4144.41666666667</v>
      </c>
      <c r="G32" s="29" t="n">
        <f aca="false">C32*가정!$B$16-가정!$B$6</f>
        <v>6349.625</v>
      </c>
      <c r="H32" s="29" t="n">
        <f aca="false">C32*가정!$B$17-가정!$B$6</f>
        <v>8554.83333333333</v>
      </c>
    </row>
    <row r="33" customFormat="false" ht="15" hidden="false" customHeight="false" outlineLevel="0" collapsed="false">
      <c r="A33" s="14" t="n">
        <v>30</v>
      </c>
      <c r="B33" s="14" t="n">
        <f aca="false">MIN(A33*가정!$B$9,가정!$B$8)</f>
        <v>912.5</v>
      </c>
      <c r="C33" s="14" t="n">
        <f aca="false">B33*가정!$B$7</f>
        <v>4562.5</v>
      </c>
      <c r="D33" s="29" t="n">
        <f aca="false">C33*가정!$B$18-가정!$B$6</f>
        <v>1835.1909375</v>
      </c>
      <c r="E33" s="29" t="n">
        <f aca="false">C33*가정!$B$14-가정!$B$6</f>
        <v>2015.25</v>
      </c>
      <c r="F33" s="29" t="n">
        <f aca="false">C33*가정!$B$15-가정!$B$6</f>
        <v>4296.5</v>
      </c>
      <c r="G33" s="29" t="n">
        <f aca="false">C33*가정!$B$16-가정!$B$6</f>
        <v>6577.75</v>
      </c>
      <c r="H33" s="29" t="n">
        <f aca="false">C33*가정!$B$17-가정!$B$6</f>
        <v>8859</v>
      </c>
    </row>
    <row r="34" customFormat="false" ht="15" hidden="false" customHeight="false" outlineLevel="0" collapsed="false">
      <c r="A34" s="14" t="n">
        <v>31</v>
      </c>
      <c r="B34" s="14" t="n">
        <f aca="false">MIN(A34*가정!$B$9,가정!$B$8)</f>
        <v>942.916666666667</v>
      </c>
      <c r="C34" s="14" t="n">
        <f aca="false">B34*가정!$B$7</f>
        <v>4714.58333333333</v>
      </c>
      <c r="D34" s="29" t="n">
        <f aca="false">C34*가정!$B$18-가정!$B$6</f>
        <v>1905.23063541667</v>
      </c>
      <c r="E34" s="29" t="n">
        <f aca="false">C34*가정!$B$14-가정!$B$6</f>
        <v>2091.29166666667</v>
      </c>
      <c r="F34" s="29" t="n">
        <f aca="false">C34*가정!$B$15-가정!$B$6</f>
        <v>4448.58333333333</v>
      </c>
      <c r="G34" s="29" t="n">
        <f aca="false">C34*가정!$B$16-가정!$B$6</f>
        <v>6805.875</v>
      </c>
      <c r="H34" s="29" t="n">
        <f aca="false">C34*가정!$B$17-가정!$B$6</f>
        <v>9163.16666666667</v>
      </c>
    </row>
    <row r="35" customFormat="false" ht="15" hidden="false" customHeight="false" outlineLevel="0" collapsed="false">
      <c r="A35" s="14" t="n">
        <v>32</v>
      </c>
      <c r="B35" s="14" t="n">
        <f aca="false">MIN(A35*가정!$B$9,가정!$B$8)</f>
        <v>973.333333333333</v>
      </c>
      <c r="C35" s="14" t="n">
        <f aca="false">B35*가정!$B$7</f>
        <v>4866.66666666667</v>
      </c>
      <c r="D35" s="29" t="n">
        <f aca="false">C35*가정!$B$18-가정!$B$6</f>
        <v>1975.27033333333</v>
      </c>
      <c r="E35" s="29" t="n">
        <f aca="false">C35*가정!$B$14-가정!$B$6</f>
        <v>2167.33333333333</v>
      </c>
      <c r="F35" s="29" t="n">
        <f aca="false">C35*가정!$B$15-가정!$B$6</f>
        <v>4600.66666666667</v>
      </c>
      <c r="G35" s="29" t="n">
        <f aca="false">C35*가정!$B$16-가정!$B$6</f>
        <v>7034</v>
      </c>
      <c r="H35" s="29" t="n">
        <f aca="false">C35*가정!$B$17-가정!$B$6</f>
        <v>9467.33333333333</v>
      </c>
    </row>
    <row r="36" customFormat="false" ht="15" hidden="false" customHeight="false" outlineLevel="0" collapsed="false">
      <c r="A36" s="14" t="n">
        <v>33</v>
      </c>
      <c r="B36" s="14" t="n">
        <f aca="false">MIN(A36*가정!$B$9,가정!$B$8)</f>
        <v>1003.75</v>
      </c>
      <c r="C36" s="14" t="n">
        <f aca="false">B36*가정!$B$7</f>
        <v>5018.75</v>
      </c>
      <c r="D36" s="29" t="n">
        <f aca="false">C36*가정!$B$18-가정!$B$6</f>
        <v>2045.31003125</v>
      </c>
      <c r="E36" s="29" t="n">
        <f aca="false">C36*가정!$B$14-가정!$B$6</f>
        <v>2243.375</v>
      </c>
      <c r="F36" s="29" t="n">
        <f aca="false">C36*가정!$B$15-가정!$B$6</f>
        <v>4752.75</v>
      </c>
      <c r="G36" s="29" t="n">
        <f aca="false">C36*가정!$B$16-가정!$B$6</f>
        <v>7262.125</v>
      </c>
      <c r="H36" s="29" t="n">
        <f aca="false">C36*가정!$B$17-가정!$B$6</f>
        <v>9771.5</v>
      </c>
    </row>
    <row r="37" customFormat="false" ht="15" hidden="false" customHeight="false" outlineLevel="0" collapsed="false">
      <c r="A37" s="14" t="n">
        <v>34</v>
      </c>
      <c r="B37" s="14" t="n">
        <f aca="false">MIN(A37*가정!$B$9,가정!$B$8)</f>
        <v>1034.16666666667</v>
      </c>
      <c r="C37" s="14" t="n">
        <f aca="false">B37*가정!$B$7</f>
        <v>5170.83333333333</v>
      </c>
      <c r="D37" s="29" t="n">
        <f aca="false">C37*가정!$B$18-가정!$B$6</f>
        <v>2115.34972916667</v>
      </c>
      <c r="E37" s="29" t="n">
        <f aca="false">C37*가정!$B$14-가정!$B$6</f>
        <v>2319.41666666667</v>
      </c>
      <c r="F37" s="29" t="n">
        <f aca="false">C37*가정!$B$15-가정!$B$6</f>
        <v>4904.83333333333</v>
      </c>
      <c r="G37" s="29" t="n">
        <f aca="false">C37*가정!$B$16-가정!$B$6</f>
        <v>7490.25</v>
      </c>
      <c r="H37" s="29" t="n">
        <f aca="false">C37*가정!$B$17-가정!$B$6</f>
        <v>10075.6666666667</v>
      </c>
    </row>
    <row r="38" customFormat="false" ht="15" hidden="false" customHeight="false" outlineLevel="0" collapsed="false">
      <c r="A38" s="14" t="n">
        <v>35</v>
      </c>
      <c r="B38" s="14" t="n">
        <f aca="false">MIN(A38*가정!$B$9,가정!$B$8)</f>
        <v>1064.58333333333</v>
      </c>
      <c r="C38" s="14" t="n">
        <f aca="false">B38*가정!$B$7</f>
        <v>5322.91666666667</v>
      </c>
      <c r="D38" s="29" t="n">
        <f aca="false">C38*가정!$B$18-가정!$B$6</f>
        <v>2185.38942708333</v>
      </c>
      <c r="E38" s="29" t="n">
        <f aca="false">C38*가정!$B$14-가정!$B$6</f>
        <v>2395.45833333333</v>
      </c>
      <c r="F38" s="29" t="n">
        <f aca="false">C38*가정!$B$15-가정!$B$6</f>
        <v>5056.91666666667</v>
      </c>
      <c r="G38" s="29" t="n">
        <f aca="false">C38*가정!$B$16-가정!$B$6</f>
        <v>7718.375</v>
      </c>
      <c r="H38" s="29" t="n">
        <f aca="false">C38*가정!$B$17-가정!$B$6</f>
        <v>10379.8333333333</v>
      </c>
    </row>
    <row r="39" customFormat="false" ht="15" hidden="false" customHeight="false" outlineLevel="0" collapsed="false">
      <c r="A39" s="14" t="n">
        <v>36</v>
      </c>
      <c r="B39" s="14" t="n">
        <f aca="false">MIN(A39*가정!$B$9,가정!$B$8)</f>
        <v>1095</v>
      </c>
      <c r="C39" s="14" t="n">
        <f aca="false">B39*가정!$B$7</f>
        <v>5475</v>
      </c>
      <c r="D39" s="29" t="n">
        <f aca="false">C39*가정!$B$18-가정!$B$6</f>
        <v>2255.429125</v>
      </c>
      <c r="E39" s="29" t="n">
        <f aca="false">C39*가정!$B$14-가정!$B$6</f>
        <v>2471.5</v>
      </c>
      <c r="F39" s="29" t="n">
        <f aca="false">C39*가정!$B$15-가정!$B$6</f>
        <v>5209</v>
      </c>
      <c r="G39" s="29" t="n">
        <f aca="false">C39*가정!$B$16-가정!$B$6</f>
        <v>7946.5</v>
      </c>
      <c r="H39" s="29" t="n">
        <f aca="false">C39*가정!$B$17-가정!$B$6</f>
        <v>10684</v>
      </c>
    </row>
  </sheetData>
  <conditionalFormatting sqref="D4:D39">
    <cfRule type="expression" priority="2" aboveAverage="0" equalAverage="0" bottom="0" percent="0" rank="0" text="" dxfId="0">
      <formula>AND(D4&gt;=0,OR(ROW()=4,D3&lt;0))</formula>
    </cfRule>
  </conditionalFormatting>
  <conditionalFormatting sqref="E4:E39">
    <cfRule type="expression" priority="3" aboveAverage="0" equalAverage="0" bottom="0" percent="0" rank="0" text="" dxfId="0">
      <formula>AND(E4&gt;=0,OR(ROW()=4,E3&lt;0))</formula>
    </cfRule>
  </conditionalFormatting>
  <conditionalFormatting sqref="F4:F39">
    <cfRule type="expression" priority="4" aboveAverage="0" equalAverage="0" bottom="0" percent="0" rank="0" text="" dxfId="0">
      <formula>AND(F4&gt;=0,OR(ROW()=4,F3&lt;0))</formula>
    </cfRule>
  </conditionalFormatting>
  <conditionalFormatting sqref="G4:G39">
    <cfRule type="expression" priority="5" aboveAverage="0" equalAverage="0" bottom="0" percent="0" rank="0" text="" dxfId="0">
      <formula>AND(G4&gt;=0,OR(ROW()=4,G3&lt;0))</formula>
    </cfRule>
  </conditionalFormatting>
  <conditionalFormatting sqref="H4:H39">
    <cfRule type="expression" priority="6" aboveAverage="0" equalAverage="0" bottom="0" percent="0" rank="0" text="" dxfId="0">
      <formula>AND(H4&gt;=0,OR(ROW()=4,H3&lt;0))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15" hidden="false" customHeight="false" outlineLevel="0" collapsed="false">
      <c r="A1" s="18" t="s">
        <v>59</v>
      </c>
    </row>
    <row r="2" customFormat="false" ht="15" hidden="false" customHeight="false" outlineLevel="0" collapsed="false">
      <c r="A2" s="2" t="s">
        <v>60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61</v>
      </c>
      <c r="B4" s="30" t="n">
        <v>122000</v>
      </c>
      <c r="C4" s="11" t="s">
        <v>62</v>
      </c>
    </row>
    <row r="5" customFormat="false" ht="15" hidden="false" customHeight="false" outlineLevel="0" collapsed="false">
      <c r="A5" s="4" t="s">
        <v>63</v>
      </c>
      <c r="B5" s="9" t="n">
        <v>264800</v>
      </c>
      <c r="C5" s="11" t="s">
        <v>64</v>
      </c>
    </row>
    <row r="6" customFormat="false" ht="15" hidden="false" customHeight="false" outlineLevel="0" collapsed="false">
      <c r="A6" s="4" t="s">
        <v>65</v>
      </c>
      <c r="B6" s="7" t="n">
        <v>0.005</v>
      </c>
      <c r="C6" s="11" t="s">
        <v>66</v>
      </c>
    </row>
    <row r="7" customFormat="false" ht="15" hidden="false" customHeight="false" outlineLevel="0" collapsed="false">
      <c r="A7" s="4" t="s">
        <v>67</v>
      </c>
      <c r="B7" s="9" t="n">
        <v>101</v>
      </c>
      <c r="C7" s="11" t="s">
        <v>68</v>
      </c>
    </row>
    <row r="8" customFormat="false" ht="15" hidden="false" customHeight="false" outlineLevel="0" collapsed="false">
      <c r="A8" s="4" t="s">
        <v>69</v>
      </c>
      <c r="B8" s="9" t="n">
        <v>4000</v>
      </c>
      <c r="C8" s="6" t="s">
        <v>70</v>
      </c>
    </row>
    <row r="9" customFormat="false" ht="15" hidden="false" customHeight="false" outlineLevel="0" collapsed="false">
      <c r="A9" s="3" t="s">
        <v>71</v>
      </c>
      <c r="B9" s="16"/>
      <c r="C9" s="16"/>
    </row>
    <row r="10" customFormat="false" ht="15" hidden="false" customHeight="false" outlineLevel="0" collapsed="false">
      <c r="A10" s="4" t="s">
        <v>72</v>
      </c>
      <c r="B10" s="31" t="n">
        <f aca="false">B4/B5</f>
        <v>0.460725075528701</v>
      </c>
      <c r="C10" s="6"/>
    </row>
    <row r="11" customFormat="false" ht="15" hidden="false" customHeight="false" outlineLevel="0" collapsed="false">
      <c r="A11" s="4" t="s">
        <v>73</v>
      </c>
      <c r="B11" s="14" t="n">
        <f aca="false">B7*가정!$B$7</f>
        <v>505</v>
      </c>
      <c r="C11" s="6" t="s">
        <v>74</v>
      </c>
    </row>
    <row r="12" customFormat="false" ht="15" hidden="false" customHeight="false" outlineLevel="0" collapsed="false">
      <c r="A12" s="4" t="s">
        <v>75</v>
      </c>
      <c r="B12" s="14" t="n">
        <f aca="false">B8*가정!$B$7</f>
        <v>20000</v>
      </c>
      <c r="C12" s="11" t="s">
        <v>76</v>
      </c>
    </row>
    <row r="13" customFormat="false" ht="15" hidden="false" customHeight="false" outlineLevel="0" collapsed="false">
      <c r="A13" s="4" t="s">
        <v>77</v>
      </c>
      <c r="B13" s="14" t="n">
        <f aca="false">B12*가정!$B$9</f>
        <v>608333.333333333</v>
      </c>
      <c r="C13" s="6"/>
    </row>
    <row r="14" customFormat="false" ht="15" hidden="false" customHeight="false" outlineLevel="0" collapsed="false">
      <c r="A14" s="4" t="s">
        <v>78</v>
      </c>
      <c r="B14" s="32" t="n">
        <f aca="false">B13/B5</f>
        <v>2.29733131923464</v>
      </c>
      <c r="C14" s="6" t="s">
        <v>79</v>
      </c>
    </row>
    <row r="15" customFormat="false" ht="15" hidden="false" customHeight="false" outlineLevel="0" collapsed="false">
      <c r="A15" s="4" t="s">
        <v>80</v>
      </c>
      <c r="B15" s="8" t="n">
        <f aca="false">B4*(가정!$B$10*(1-B6))/(B5+가정!$B$10*(1-B6))</f>
        <v>69.6784436858233</v>
      </c>
      <c r="C15" s="6" t="s">
        <v>81</v>
      </c>
    </row>
    <row r="16" customFormat="false" ht="15" hidden="false" customHeight="false" outlineLevel="0" collapsed="false">
      <c r="A16" s="4" t="s">
        <v>82</v>
      </c>
      <c r="B16" s="33" t="n">
        <f aca="false">B15/(가정!$B$10*B10)-1</f>
        <v>-0.00556827911038837</v>
      </c>
      <c r="C16" s="6" t="s">
        <v>83</v>
      </c>
    </row>
    <row r="17" customFormat="false" ht="15" hidden="false" customHeight="false" outlineLevel="0" collapsed="false">
      <c r="A17" s="4" t="s">
        <v>84</v>
      </c>
      <c r="B17" s="29" t="n">
        <f aca="false">B4*(B13*(1-B6))/(B5+B13*(1-B6))</f>
        <v>84871.0384921129</v>
      </c>
      <c r="C17" s="6" t="s">
        <v>85</v>
      </c>
    </row>
    <row r="18" customFormat="false" ht="15" hidden="false" customHeight="false" outlineLevel="0" collapsed="false">
      <c r="A18" s="4" t="s">
        <v>86</v>
      </c>
      <c r="B18" s="31" t="n">
        <f aca="false">B17/B13</f>
        <v>0.139514035877446</v>
      </c>
      <c r="C18" s="6"/>
    </row>
    <row r="19" customFormat="false" ht="15" hidden="false" customHeight="false" outlineLevel="0" collapsed="false">
      <c r="A19" s="4" t="s">
        <v>87</v>
      </c>
      <c r="B19" s="31" t="n">
        <f aca="false">(B4-B17)/(B5+B13)</f>
        <v>0.0425238163410175</v>
      </c>
      <c r="C19" s="6"/>
    </row>
    <row r="21" customFormat="false" ht="15" hidden="false" customHeight="false" outlineLevel="0" collapsed="false">
      <c r="A21" s="6" t="s">
        <v>88</v>
      </c>
    </row>
    <row r="22" customFormat="false" ht="15" hidden="false" customHeight="false" outlineLevel="0" collapsed="false">
      <c r="A22" s="6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2026-10-15T06:14:34Z</dcterms:created>
  <dc:creator>openpyxl</dc:creator>
  <dc:description/>
  <dc:language>en-US</dc:language>
  <cp:lastModifiedBy/>
  <dcterms:modified xsi:type="dcterms:W3CDTF">2026-10-15T06:14:34Z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