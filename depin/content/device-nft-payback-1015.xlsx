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" sheetId="1" state="visible" r:id="rId3"/>
    <sheet name="요약" sheetId="2" state="visible" r:id="rId4"/>
    <sheet name="월별" sheetId="3" state="visible" r:id="rId5"/>
    <sheet name="단계별" sheetId="4" state="visible" r:id="rId6"/>
    <sheet name="현실 점검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<sst xmlns="http://schemas.openxmlformats.org/spreadsheetml/2006/main" count="109" uniqueCount="101">
  <si>
    <r>
      <rPr>
        <b val="true"/>
        <sz val="13"/>
        <rFont val="WenQuanYi Zen Hei"/>
        <family val="2"/>
      </rPr>
      <t xml:space="preserve">기기 </t>
    </r>
    <r>
      <rPr>
        <b val="true"/>
        <sz val="13"/>
        <rFont val="Arial"/>
        <family val="0"/>
        <charset val="1"/>
      </rPr>
      <t xml:space="preserve">NFT </t>
    </r>
    <r>
      <rPr>
        <b val="true"/>
        <sz val="13"/>
        <rFont val="WenQuanYi Zen Hei"/>
        <family val="2"/>
      </rPr>
      <t xml:space="preserve">원금 회수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적립 환산 시트 — 가정</t>
    </r>
  </si>
  <si>
    <r>
      <rPr>
        <b val="true"/>
        <sz val="9"/>
        <color rgb="FF7A1F1F"/>
        <rFont val="WenQuanYi Zen Hei"/>
        <family val="2"/>
      </rPr>
      <t xml:space="preserve">내부 검토용 </t>
    </r>
    <r>
      <rPr>
        <b val="true"/>
        <sz val="9"/>
        <color rgb="FF7A1F1F"/>
        <rFont val="Arial"/>
        <family val="0"/>
        <charset val="1"/>
      </rPr>
      <t xml:space="preserve">· </t>
    </r>
    <r>
      <rPr>
        <b val="true"/>
        <sz val="9"/>
        <color rgb="FF7A1F1F"/>
        <rFont val="WenQuanYi Zen Hei"/>
        <family val="2"/>
      </rPr>
      <t xml:space="preserve">대외 배포 </t>
    </r>
    <r>
      <rPr>
        <b val="true"/>
        <sz val="9"/>
        <color rgb="FF7A1F1F"/>
        <rFont val="Arial"/>
        <family val="0"/>
        <charset val="1"/>
      </rPr>
      <t xml:space="preserve">· </t>
    </r>
    <r>
      <rPr>
        <b val="true"/>
        <sz val="9"/>
        <color rgb="FF7A1F1F"/>
        <rFont val="WenQuanYi Zen Hei"/>
        <family val="2"/>
      </rPr>
      <t xml:space="preserve">고객 안내 금지</t>
    </r>
    <r>
      <rPr>
        <b val="true"/>
        <sz val="9"/>
        <color rgb="FF7A1F1F"/>
        <rFont val="Arial"/>
        <family val="0"/>
        <charset val="1"/>
      </rPr>
      <t xml:space="preserve">. WLBN </t>
    </r>
    <r>
      <rPr>
        <b val="true"/>
        <sz val="9"/>
        <color rgb="FF7A1F1F"/>
        <rFont val="WenQuanYi Zen Hei"/>
        <family val="2"/>
      </rPr>
      <t xml:space="preserve">가격과 단계 기간은 가정</t>
    </r>
    <r>
      <rPr>
        <b val="true"/>
        <sz val="9"/>
        <color rgb="FF7A1F1F"/>
        <rFont val="Arial"/>
        <family val="0"/>
        <charset val="1"/>
      </rPr>
      <t xml:space="preserve">(</t>
    </r>
    <r>
      <rPr>
        <b val="true"/>
        <sz val="9"/>
        <color rgb="FF7A1F1F"/>
        <rFont val="WenQuanYi Zen Hei"/>
        <family val="2"/>
      </rPr>
      <t xml:space="preserve">전망 아님</t>
    </r>
    <r>
      <rPr>
        <b val="true"/>
        <sz val="9"/>
        <color rgb="FF7A1F1F"/>
        <rFont val="Arial"/>
        <family val="0"/>
        <charset val="1"/>
      </rPr>
      <t xml:space="preserve">). </t>
    </r>
    <r>
      <rPr>
        <b val="true"/>
        <sz val="9"/>
        <color rgb="FF7A1F1F"/>
        <rFont val="WenQuanYi Zen Hei"/>
        <family val="2"/>
      </rPr>
      <t xml:space="preserve">지급은 수량 정의일 뿐 가치 비보장</t>
    </r>
    <r>
      <rPr>
        <b val="true"/>
        <sz val="9"/>
        <color rgb="FF7A1F1F"/>
        <rFont val="Arial"/>
        <family val="0"/>
        <charset val="1"/>
      </rPr>
      <t xml:space="preserve">(</t>
    </r>
    <r>
      <rPr>
        <b val="true"/>
        <sz val="9"/>
        <color rgb="FF7A1F1F"/>
        <rFont val="WenQuanYi Zen Hei"/>
        <family val="2"/>
      </rPr>
      <t xml:space="preserve">정본 </t>
    </r>
    <r>
      <rPr>
        <b val="true"/>
        <sz val="9"/>
        <color rgb="FF7A1F1F"/>
        <rFont val="Arial"/>
        <family val="0"/>
        <charset val="1"/>
      </rPr>
      <t xml:space="preserve">§1).</t>
    </r>
  </si>
  <si>
    <t xml:space="preserve">항목</t>
  </si>
  <si>
    <t xml:space="preserve">값</t>
  </si>
  <si>
    <t xml:space="preserve">근거</t>
  </si>
  <si>
    <r>
      <rPr>
        <sz val="10"/>
        <rFont val="WenQuanYi Zen Hei"/>
        <family val="2"/>
      </rPr>
      <t xml:space="preserve">정가 </t>
    </r>
    <r>
      <rPr>
        <sz val="10"/>
        <rFont val="Arial"/>
        <family val="0"/>
        <charset val="1"/>
      </rPr>
      <t xml:space="preserve">(RLUSD ≈ USD)</t>
    </r>
  </si>
  <si>
    <r>
      <rPr>
        <sz val="9"/>
        <color rgb="FF555555"/>
        <rFont val="WenQuanYi Zen Hei"/>
        <family val="2"/>
      </rPr>
      <t xml:space="preserve">정본 </t>
    </r>
    <r>
      <rPr>
        <sz val="9"/>
        <color rgb="FF555555"/>
        <rFont val="Arial"/>
        <family val="0"/>
        <charset val="1"/>
      </rPr>
      <t xml:space="preserve">§2 — </t>
    </r>
    <r>
      <rPr>
        <sz val="9"/>
        <color rgb="FF555555"/>
        <rFont val="WenQuanYi Zen Hei"/>
        <family val="2"/>
      </rPr>
      <t xml:space="preserve">원화 정가 </t>
    </r>
    <r>
      <rPr>
        <sz val="9"/>
        <color rgb="FF555555"/>
        <rFont val="Arial"/>
        <family val="0"/>
        <charset val="1"/>
      </rPr>
      <t xml:space="preserve">1,083,000</t>
    </r>
    <r>
      <rPr>
        <sz val="9"/>
        <color rgb="FF555555"/>
        <rFont val="WenQuanYi Zen Hei"/>
        <family val="2"/>
      </rPr>
      <t xml:space="preserve">원</t>
    </r>
  </si>
  <si>
    <t xml:space="preserve">할인율</t>
  </si>
  <si>
    <r>
      <rPr>
        <sz val="9"/>
        <color rgb="FF555555"/>
        <rFont val="WenQuanYi Zen Hei"/>
        <family val="2"/>
      </rPr>
      <t xml:space="preserve">서우 지정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이용권과 같은 </t>
    </r>
    <r>
      <rPr>
        <sz val="9"/>
        <color rgb="FF555555"/>
        <rFont val="Arial"/>
        <family val="0"/>
        <charset val="1"/>
      </rPr>
      <t xml:space="preserve">30%) — 0 · 20%</t>
    </r>
    <r>
      <rPr>
        <sz val="9"/>
        <color rgb="FF555555"/>
        <rFont val="WenQuanYi Zen Hei"/>
        <family val="2"/>
      </rPr>
      <t xml:space="preserve">로 바꿔 보기</t>
    </r>
  </si>
  <si>
    <t xml:space="preserve">구매가</t>
  </si>
  <si>
    <r>
      <rPr>
        <sz val="9"/>
        <color rgb="FF555555"/>
        <rFont val="WenQuanYi Zen Hei"/>
        <family val="2"/>
      </rPr>
      <t xml:space="preserve">정가 </t>
    </r>
    <r>
      <rPr>
        <sz val="9"/>
        <color rgb="FF555555"/>
        <rFont val="Arial"/>
        <family val="0"/>
        <charset val="1"/>
      </rPr>
      <t xml:space="preserve">× (1 − </t>
    </r>
    <r>
      <rPr>
        <sz val="9"/>
        <color rgb="FF555555"/>
        <rFont val="WenQuanYi Zen Hei"/>
        <family val="2"/>
      </rPr>
      <t xml:space="preserve">할인율</t>
    </r>
    <r>
      <rPr>
        <sz val="9"/>
        <color rgb="FF555555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</si>
  <si>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단계 기본 일 지급 </t>
    </r>
    <r>
      <rPr>
        <sz val="10"/>
        <rFont val="Arial"/>
        <family val="0"/>
        <charset val="1"/>
      </rPr>
      <t xml:space="preserve">(WLBN / 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</si>
  <si>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r>
      <rPr>
        <sz val="9"/>
        <color rgb="FF555555"/>
        <rFont val="WenQuanYi Zen Hei"/>
        <family val="2"/>
      </rPr>
      <t xml:space="preserve">정본 </t>
    </r>
    <r>
      <rPr>
        <sz val="9"/>
        <color rgb="FF555555"/>
        <rFont val="Arial"/>
        <family val="0"/>
        <charset val="1"/>
      </rPr>
      <t xml:space="preserve">§1 — </t>
    </r>
    <r>
      <rPr>
        <sz val="9"/>
        <color rgb="FF555555"/>
        <rFont val="WenQuanYi Zen Hei"/>
        <family val="2"/>
      </rPr>
      <t xml:space="preserve">지점당 </t>
    </r>
    <r>
      <rPr>
        <sz val="9"/>
        <color rgb="FF555555"/>
        <rFont val="Arial"/>
        <family val="0"/>
        <charset val="1"/>
      </rPr>
      <t xml:space="preserve">7(</t>
    </r>
    <r>
      <rPr>
        <sz val="9"/>
        <color rgb="FF555555"/>
        <rFont val="WenQuanYi Zen Hei"/>
        <family val="2"/>
      </rPr>
      <t xml:space="preserve">정상</t>
    </r>
    <r>
      <rPr>
        <sz val="9"/>
        <color rgb="FF555555"/>
        <rFont val="Arial"/>
        <family val="0"/>
        <charset val="1"/>
      </rPr>
      <t xml:space="preserve">)</t>
    </r>
  </si>
  <si>
    <t xml:space="preserve">단계마다 곱하는 비율</t>
  </si>
  <si>
    <r>
      <rPr>
        <sz val="9"/>
        <color rgb="FF555555"/>
        <rFont val="WenQuanYi Zen Hei"/>
        <family val="2"/>
      </rPr>
      <t xml:space="preserve">정본 </t>
    </r>
    <r>
      <rPr>
        <sz val="9"/>
        <color rgb="FF555555"/>
        <rFont val="Arial"/>
        <family val="0"/>
        <charset val="1"/>
      </rPr>
      <t xml:space="preserve">§1 — 7 × 0.78^(</t>
    </r>
    <r>
      <rPr>
        <sz val="9"/>
        <color rgb="FF555555"/>
        <rFont val="WenQuanYi Zen Hei"/>
        <family val="2"/>
      </rPr>
      <t xml:space="preserve">단계−</t>
    </r>
    <r>
      <rPr>
        <sz val="9"/>
        <color rgb="FF555555"/>
        <rFont val="Arial"/>
        <family val="0"/>
        <charset val="1"/>
      </rPr>
      <t xml:space="preserve">1)</t>
    </r>
  </si>
  <si>
    <t xml:space="preserve">품질 등급</t>
  </si>
  <si>
    <r>
      <rPr>
        <sz val="9"/>
        <color rgb="FF555555"/>
        <rFont val="WenQuanYi Zen Hei"/>
        <family val="2"/>
      </rPr>
      <t xml:space="preserve">정본 </t>
    </r>
    <r>
      <rPr>
        <sz val="9"/>
        <color rgb="FF555555"/>
        <rFont val="Arial"/>
        <family val="0"/>
        <charset val="1"/>
      </rPr>
      <t xml:space="preserve">§1 — 0 / 1.0 / 1.2(</t>
    </r>
    <r>
      <rPr>
        <sz val="9"/>
        <color rgb="FF555555"/>
        <rFont val="WenQuanYi Zen Hei"/>
        <family val="2"/>
      </rPr>
      <t xml:space="preserve">상위 </t>
    </r>
    <r>
      <rPr>
        <sz val="9"/>
        <color rgb="FF555555"/>
        <rFont val="Arial"/>
        <family val="0"/>
        <charset val="1"/>
      </rPr>
      <t xml:space="preserve">10%)</t>
    </r>
  </si>
  <si>
    <t xml:space="preserve">제네시스 가산</t>
  </si>
  <si>
    <r>
      <rPr>
        <sz val="9"/>
        <color rgb="FF555555"/>
        <rFont val="WenQuanYi Zen Hei"/>
        <family val="2"/>
      </rPr>
      <t xml:space="preserve">정본 </t>
    </r>
    <r>
      <rPr>
        <sz val="9"/>
        <color rgb="FF555555"/>
        <rFont val="Arial"/>
        <family val="0"/>
        <charset val="1"/>
      </rPr>
      <t xml:space="preserve">§2 — 1</t>
    </r>
    <r>
      <rPr>
        <sz val="9"/>
        <color rgb="FF555555"/>
        <rFont val="WenQuanYi Zen Hei"/>
        <family val="2"/>
      </rPr>
      <t xml:space="preserve">차 구매자 </t>
    </r>
    <r>
      <rPr>
        <sz val="9"/>
        <color rgb="FF555555"/>
        <rFont val="Arial"/>
        <family val="0"/>
        <charset val="1"/>
      </rPr>
      <t xml:space="preserve">+20%(</t>
    </r>
    <r>
      <rPr>
        <sz val="9"/>
        <color rgb="FF555555"/>
        <rFont val="WenQuanYi Zen Hei"/>
        <family val="2"/>
      </rPr>
      <t xml:space="preserve">예정</t>
    </r>
    <r>
      <rPr>
        <sz val="9"/>
        <color rgb="FF555555"/>
        <rFont val="Arial"/>
        <family val="0"/>
        <charset val="1"/>
      </rPr>
      <t xml:space="preserve">). </t>
    </r>
    <r>
      <rPr>
        <sz val="9"/>
        <color rgb="FF555555"/>
        <rFont val="WenQuanYi Zen Hei"/>
        <family val="2"/>
      </rPr>
      <t xml:space="preserve">해당되면 </t>
    </r>
    <r>
      <rPr>
        <sz val="9"/>
        <color rgb="FF555555"/>
        <rFont val="Arial"/>
        <family val="0"/>
        <charset val="1"/>
      </rPr>
      <t xml:space="preserve">0.2</t>
    </r>
  </si>
  <si>
    <t xml:space="preserve">전송률 계수</t>
  </si>
  <si>
    <r>
      <rPr>
        <sz val="9"/>
        <color rgb="FF555555"/>
        <rFont val="WenQuanYi Zen Hei"/>
        <family val="2"/>
      </rPr>
      <t xml:space="preserve">정본 </t>
    </r>
    <r>
      <rPr>
        <sz val="9"/>
        <color rgb="FF555555"/>
        <rFont val="Arial"/>
        <family val="0"/>
        <charset val="1"/>
      </rPr>
      <t xml:space="preserve">§1 — 95% </t>
    </r>
    <r>
      <rPr>
        <sz val="9"/>
        <color rgb="FF555555"/>
        <rFont val="WenQuanYi Zen Hei"/>
        <family val="2"/>
      </rPr>
      <t xml:space="preserve">이상 </t>
    </r>
    <r>
      <rPr>
        <sz val="9"/>
        <color rgb="FF555555"/>
        <rFont val="Arial"/>
        <family val="0"/>
        <charset val="1"/>
      </rPr>
      <t xml:space="preserve">100% · 80~95% </t>
    </r>
    <r>
      <rPr>
        <sz val="9"/>
        <color rgb="FF555555"/>
        <rFont val="WenQuanYi Zen Hei"/>
        <family val="2"/>
      </rPr>
      <t xml:space="preserve">선형 감액 </t>
    </r>
    <r>
      <rPr>
        <sz val="9"/>
        <color rgb="FF555555"/>
        <rFont val="Arial"/>
        <family val="0"/>
        <charset val="1"/>
      </rPr>
      <t xml:space="preserve">· 80% </t>
    </r>
    <r>
      <rPr>
        <sz val="9"/>
        <color rgb="FF555555"/>
        <rFont val="WenQuanYi Zen Hei"/>
        <family val="2"/>
      </rPr>
      <t xml:space="preserve">미만 </t>
    </r>
    <r>
      <rPr>
        <sz val="9"/>
        <color rgb="FF555555"/>
        <rFont val="Arial"/>
        <family val="0"/>
        <charset val="1"/>
      </rPr>
      <t xml:space="preserve">0</t>
    </r>
  </si>
  <si>
    <r>
      <rPr>
        <sz val="10"/>
        <rFont val="WenQuanYi Zen Hei"/>
        <family val="2"/>
      </rPr>
      <t xml:space="preserve">단계 하나의 기간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개월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가정</t>
    </r>
    <r>
      <rPr>
        <sz val="10"/>
        <rFont val="Arial"/>
        <family val="0"/>
        <charset val="1"/>
      </rPr>
      <t xml:space="preserve">)</t>
    </r>
  </si>
  <si>
    <r>
      <rPr>
        <sz val="9"/>
        <color rgb="FF555555"/>
        <rFont val="WenQuanYi Zen Hei"/>
        <family val="2"/>
      </rPr>
      <t xml:space="preserve">가정 — 단계는 달력이 아니라 지점 수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WenQuanYi Zen Hei"/>
        <family val="2"/>
      </rPr>
      <t xml:space="preserve">수요 게이트로 오른다</t>
    </r>
  </si>
  <si>
    <t xml:space="preserve">월 평균 일수</t>
  </si>
  <si>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WenQuanYi Zen Hei"/>
        <family val="2"/>
      </rPr>
      <t xml:space="preserve">년 </t>
    </r>
    <r>
      <rPr>
        <sz val="9"/>
        <color rgb="FF555555"/>
        <rFont val="Arial"/>
        <family val="0"/>
        <charset val="1"/>
      </rPr>
      <t xml:space="preserve">365</t>
    </r>
    <r>
      <rPr>
        <sz val="9"/>
        <color rgb="FF555555"/>
        <rFont val="WenQuanYi Zen Hei"/>
        <family val="2"/>
      </rPr>
      <t xml:space="preserve">일 </t>
    </r>
    <r>
      <rPr>
        <sz val="9"/>
        <color rgb="FF555555"/>
        <rFont val="Arial"/>
        <family val="0"/>
        <charset val="1"/>
      </rPr>
      <t xml:space="preserve">÷ 12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</si>
  <si>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단계 일 지급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조건 반영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</si>
  <si>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단계 월 지급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조건 반영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</si>
  <si>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WLBN </t>
    </r>
    <r>
      <rPr>
        <b val="true"/>
        <sz val="10"/>
        <rFont val="WenQuanYi Zen Hei"/>
        <family val="2"/>
      </rPr>
      <t xml:space="preserve">가격 시나리오 </t>
    </r>
    <r>
      <rPr>
        <b val="true"/>
        <sz val="10"/>
        <rFont val="Arial"/>
        <family val="0"/>
        <charset val="1"/>
      </rPr>
      <t xml:space="preserve">(USD / WLBN)</t>
    </r>
  </si>
  <si>
    <r>
      <rPr>
        <sz val="10"/>
        <rFont val="WenQuanYi Zen Hei"/>
        <family val="2"/>
      </rPr>
      <t xml:space="preserve">시나리오 </t>
    </r>
    <r>
      <rPr>
        <sz val="10"/>
        <rFont val="Arial"/>
        <family val="0"/>
        <charset val="1"/>
      </rPr>
      <t xml:space="preserve">A</t>
    </r>
  </si>
  <si>
    <r>
      <rPr>
        <sz val="9"/>
        <color rgb="FF555555"/>
        <rFont val="WenQuanYi Zen Hei"/>
        <family val="2"/>
      </rPr>
      <t xml:space="preserve">서우 지정 구간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가정</t>
    </r>
    <r>
      <rPr>
        <sz val="9"/>
        <color rgb="FF555555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</si>
  <si>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시나리오 </t>
    </r>
    <r>
      <rPr>
        <sz val="10"/>
        <rFont val="Arial"/>
        <family val="0"/>
        <charset val="1"/>
      </rPr>
      <t xml:space="preserve">B</t>
    </r>
  </si>
  <si>
    <r>
      <rPr>
        <sz val="10"/>
        <rFont val="WenQuanYi Zen Hei"/>
        <family val="2"/>
      </rPr>
      <t xml:space="preserve">시나리오 </t>
    </r>
    <r>
      <rPr>
        <sz val="10"/>
        <rFont val="Arial"/>
        <family val="0"/>
        <charset val="1"/>
      </rPr>
      <t xml:space="preserve">C</t>
    </r>
  </si>
  <si>
    <r>
      <rPr>
        <sz val="10"/>
        <rFont val="WenQuanYi Zen Hei"/>
        <family val="2"/>
      </rPr>
      <t xml:space="preserve">시나리오 </t>
    </r>
    <r>
      <rPr>
        <sz val="10"/>
        <rFont val="Arial"/>
        <family val="0"/>
        <charset val="1"/>
      </rPr>
      <t xml:space="preserve">D</t>
    </r>
  </si>
  <si>
    <r>
      <rPr>
        <sz val="10"/>
        <rFont val="WenQuanYi Zen Hei"/>
        <family val="2"/>
      </rPr>
      <t xml:space="preserve">참고</t>
    </r>
    <r>
      <rPr>
        <sz val="10"/>
        <rFont val="Arial"/>
        <family val="0"/>
        <charset val="1"/>
      </rPr>
      <t xml:space="preserve">: 10/14 AMM </t>
    </r>
    <r>
      <rPr>
        <sz val="10"/>
        <rFont val="WenQuanYi Zen Hei"/>
        <family val="2"/>
      </rPr>
      <t xml:space="preserve">풀 가격</t>
    </r>
  </si>
  <si>
    <r>
      <rPr>
        <sz val="9"/>
        <color rgb="FF555555"/>
        <rFont val="Arial"/>
        <family val="0"/>
        <charset val="1"/>
      </rPr>
      <t xml:space="preserve">XRPL </t>
    </r>
    <r>
      <rPr>
        <sz val="9"/>
        <color rgb="FF555555"/>
        <rFont val="WenQuanYi Zen Hei"/>
        <family val="2"/>
      </rPr>
      <t xml:space="preserve">탐색기 </t>
    </r>
    <r>
      <rPr>
        <sz val="9"/>
        <color rgb="FF555555"/>
        <rFont val="Arial"/>
        <family val="0"/>
        <charset val="1"/>
      </rPr>
      <t xml:space="preserve">RLUSD/WLBN </t>
    </r>
    <r>
      <rPr>
        <sz val="9"/>
        <color rgb="FF555555"/>
        <rFont val="WenQuanYi Zen Hei"/>
        <family val="2"/>
      </rPr>
      <t xml:space="preserve">풀 화면</t>
    </r>
    <r>
      <rPr>
        <sz val="9"/>
        <color rgb="FF555555"/>
        <rFont val="Arial"/>
        <family val="0"/>
        <charset val="1"/>
      </rPr>
      <t xml:space="preserve">(10/14) — </t>
    </r>
    <r>
      <rPr>
        <sz val="9"/>
        <color rgb="FF555555"/>
        <rFont val="WenQuanYi Zen Hei"/>
        <family val="2"/>
      </rPr>
      <t xml:space="preserve">비교용</t>
    </r>
  </si>
  <si>
    <r>
      <rPr>
        <sz val="9"/>
        <color rgb="FF555555"/>
        <rFont val="WenQuanYi Zen Hei"/>
        <family val="2"/>
      </rPr>
      <t xml:space="preserve">노란 칸만 바꾸면 다른 시트가 따라 바뀝니다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배송 전 고정 일일 보상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포인트</t>
    </r>
    <r>
      <rPr>
        <sz val="9"/>
        <color rgb="FF555555"/>
        <rFont val="Arial"/>
        <family val="0"/>
        <charset val="1"/>
      </rPr>
      <t xml:space="preserve">)</t>
    </r>
    <r>
      <rPr>
        <sz val="9"/>
        <color rgb="FF555555"/>
        <rFont val="WenQuanYi Zen Hei"/>
        <family val="2"/>
      </rPr>
      <t xml:space="preserve">은 금액이 정해지지 않아 넣지 않았습니다</t>
    </r>
    <r>
      <rPr>
        <sz val="9"/>
        <color rgb="FF555555"/>
        <rFont val="Arial"/>
        <family val="0"/>
        <charset val="1"/>
      </rPr>
      <t xml:space="preserve">.</t>
    </r>
  </si>
  <si>
    <r>
      <rPr>
        <b val="true"/>
        <sz val="13"/>
        <rFont val="WenQuanYi Zen Hei"/>
        <family val="2"/>
      </rPr>
      <t xml:space="preserve">가격 구간별 원금 회수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적립 환산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기기 </t>
    </r>
    <r>
      <rPr>
        <b val="true"/>
        <sz val="13"/>
        <rFont val="Arial"/>
        <family val="0"/>
        <charset val="1"/>
      </rPr>
      <t xml:space="preserve">NFT 1</t>
    </r>
    <r>
      <rPr>
        <b val="true"/>
        <sz val="13"/>
        <rFont val="WenQuanYi Zen Hei"/>
        <family val="2"/>
      </rPr>
      <t xml:space="preserve">대</t>
    </r>
    <r>
      <rPr>
        <b val="true"/>
        <sz val="13"/>
        <rFont val="Arial"/>
        <family val="0"/>
        <charset val="1"/>
      </rPr>
      <t xml:space="preserve">)</t>
    </r>
  </si>
  <si>
    <r>
      <rPr>
        <b val="true"/>
        <sz val="9"/>
        <color rgb="FF7A1F1F"/>
        <rFont val="WenQuanYi Zen Hei"/>
        <family val="2"/>
      </rPr>
      <t xml:space="preserve">내부 검토용 </t>
    </r>
    <r>
      <rPr>
        <b val="true"/>
        <sz val="9"/>
        <color rgb="FF7A1F1F"/>
        <rFont val="Arial"/>
        <family val="0"/>
        <charset val="1"/>
      </rPr>
      <t xml:space="preserve">· </t>
    </r>
    <r>
      <rPr>
        <b val="true"/>
        <sz val="9"/>
        <color rgb="FF7A1F1F"/>
        <rFont val="WenQuanYi Zen Hei"/>
        <family val="2"/>
      </rPr>
      <t xml:space="preserve">대외 배포 금지</t>
    </r>
    <r>
      <rPr>
        <b val="true"/>
        <sz val="9"/>
        <color rgb="FF7A1F1F"/>
        <rFont val="Arial"/>
        <family val="0"/>
        <charset val="1"/>
      </rPr>
      <t xml:space="preserve">. </t>
    </r>
    <r>
      <rPr>
        <b val="true"/>
        <sz val="9"/>
        <color rgb="FF7A1F1F"/>
        <rFont val="WenQuanYi Zen Hei"/>
        <family val="2"/>
      </rPr>
      <t xml:space="preserve">「환산액」 </t>
    </r>
    <r>
      <rPr>
        <b val="true"/>
        <sz val="9"/>
        <color rgb="FF7A1F1F"/>
        <rFont val="Arial"/>
        <family val="0"/>
        <charset val="1"/>
      </rPr>
      <t xml:space="preserve">= </t>
    </r>
    <r>
      <rPr>
        <b val="true"/>
        <sz val="9"/>
        <color rgb="FF7A1F1F"/>
        <rFont val="WenQuanYi Zen Hei"/>
        <family val="2"/>
      </rPr>
      <t xml:space="preserve">적립 </t>
    </r>
    <r>
      <rPr>
        <b val="true"/>
        <sz val="9"/>
        <color rgb="FF7A1F1F"/>
        <rFont val="Arial"/>
        <family val="0"/>
        <charset val="1"/>
      </rPr>
      <t xml:space="preserve">WLBN × </t>
    </r>
    <r>
      <rPr>
        <b val="true"/>
        <sz val="9"/>
        <color rgb="FF7A1F1F"/>
        <rFont val="WenQuanYi Zen Hei"/>
        <family val="2"/>
      </rPr>
      <t xml:space="preserve">가정 가격</t>
    </r>
    <r>
      <rPr>
        <b val="true"/>
        <sz val="9"/>
        <color rgb="FF7A1F1F"/>
        <rFont val="Arial"/>
        <family val="0"/>
        <charset val="1"/>
      </rPr>
      <t xml:space="preserve">. </t>
    </r>
    <r>
      <rPr>
        <b val="true"/>
        <sz val="9"/>
        <color rgb="FF7A1F1F"/>
        <rFont val="WenQuanYi Zen Hei"/>
        <family val="2"/>
      </rPr>
      <t xml:space="preserve">출금 개시 전에는 포인트</t>
    </r>
    <r>
      <rPr>
        <b val="true"/>
        <sz val="9"/>
        <color rgb="FF7A1F1F"/>
        <rFont val="Arial"/>
        <family val="0"/>
        <charset val="1"/>
      </rPr>
      <t xml:space="preserve">(</t>
    </r>
    <r>
      <rPr>
        <b val="true"/>
        <sz val="9"/>
        <color rgb="FF7A1F1F"/>
        <rFont val="WenQuanYi Zen Hei"/>
        <family val="2"/>
      </rPr>
      <t xml:space="preserve">정본 </t>
    </r>
    <r>
      <rPr>
        <b val="true"/>
        <sz val="9"/>
        <color rgb="FF7A1F1F"/>
        <rFont val="Arial"/>
        <family val="0"/>
        <charset val="1"/>
      </rPr>
      <t xml:space="preserve">§1) — </t>
    </r>
    <r>
      <rPr>
        <b val="true"/>
        <sz val="9"/>
        <color rgb="FF7A1F1F"/>
        <rFont val="WenQuanYi Zen Hei"/>
        <family val="2"/>
      </rPr>
      <t xml:space="preserve">「현실 점검」 시트</t>
    </r>
    <r>
      <rPr>
        <b val="true"/>
        <sz val="9"/>
        <color rgb="FF7A1F1F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</si>
  <si>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참고</t>
    </r>
    <r>
      <rPr>
        <b val="true"/>
        <sz val="10"/>
        <rFont val="Arial"/>
        <family val="0"/>
        <charset val="1"/>
      </rPr>
      <t xml:space="preserve">(10/14 </t>
    </r>
    <r>
      <rPr>
        <b val="true"/>
        <sz val="10"/>
        <rFont val="WenQuanYi Zen Hei"/>
        <family val="2"/>
      </rPr>
      <t xml:space="preserve">풀</t>
    </r>
    <r>
      <rPr>
        <b val="true"/>
        <sz val="10"/>
        <rFont val="Arial"/>
        <family val="0"/>
        <charset val="1"/>
      </rPr>
      <t xml:space="preserve">)</t>
    </r>
  </si>
  <si>
    <t xml:space="preserve">A</t>
  </si>
  <si>
    <t xml:space="preserve">B</t>
  </si>
  <si>
    <t xml:space="preserve">C</t>
  </si>
  <si>
    <t xml:space="preserve">D</t>
  </si>
  <si>
    <r>
      <rPr>
        <sz val="10"/>
        <rFont val="Arial"/>
        <family val="0"/>
        <charset val="1"/>
      </rPr>
      <t xml:space="preserve">WLBN </t>
    </r>
    <r>
      <rPr>
        <sz val="10"/>
        <rFont val="WenQuanYi Zen Hei"/>
        <family val="2"/>
      </rPr>
      <t xml:space="preserve">가격 </t>
    </r>
    <r>
      <rPr>
        <sz val="10"/>
        <rFont val="Arial"/>
        <family val="0"/>
        <charset val="1"/>
      </rPr>
      <t xml:space="preserve">(USD)</t>
    </r>
  </si>
  <si>
    <r>
      <rPr>
        <sz val="10"/>
        <rFont val="WenQuanYi Zen Hei"/>
        <family val="2"/>
      </rPr>
      <t xml:space="preserve">구매가 </t>
    </r>
    <r>
      <rPr>
        <sz val="10"/>
        <rFont val="Arial"/>
        <family val="0"/>
        <charset val="1"/>
      </rPr>
      <t xml:space="preserve">(USD)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</si>
  <si>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단계 일 적립 환산 </t>
    </r>
    <r>
      <rPr>
        <sz val="10"/>
        <rFont val="Arial"/>
        <family val="0"/>
        <charset val="1"/>
      </rPr>
      <t xml:space="preserve">(USD)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</si>
  <si>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단계 월 적립 환산 </t>
    </r>
    <r>
      <rPr>
        <sz val="10"/>
        <rFont val="Arial"/>
        <family val="0"/>
        <charset val="1"/>
      </rPr>
      <t xml:space="preserve">(USD)</t>
    </r>
  </si>
  <si>
    <r>
      <rPr>
        <b val="true"/>
        <sz val="10"/>
        <rFont val="WenQuanYi Zen Hei"/>
        <family val="2"/>
      </rPr>
      <t xml:space="preserve">원금 회수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개월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단계 감소 반영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</si>
  <si>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(36</t>
    </r>
    <r>
      <rPr>
        <sz val="10"/>
        <rFont val="WenQuanYi Zen Hei"/>
        <family val="2"/>
      </rPr>
      <t xml:space="preserve">개월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누적 </t>
    </r>
    <r>
      <rPr>
        <sz val="10"/>
        <rFont val="Arial"/>
        <family val="0"/>
        <charset val="1"/>
      </rPr>
      <t xml:space="preserve">WLBN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</si>
  <si>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누적 환산 </t>
    </r>
    <r>
      <rPr>
        <sz val="10"/>
        <rFont val="Arial"/>
        <family val="0"/>
        <charset val="1"/>
      </rPr>
      <t xml:space="preserve">(USD)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</si>
  <si>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순차액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환산 − 구매가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</si>
  <si>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기준 구매가 대비 배수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</si>
  <si>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단계 전체 누적 </t>
    </r>
    <r>
      <rPr>
        <sz val="10"/>
        <rFont val="Arial"/>
        <family val="0"/>
        <charset val="1"/>
      </rPr>
      <t xml:space="preserve">WLBN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</si>
  <si>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단계 전체 누적 환산 </t>
    </r>
    <r>
      <rPr>
        <sz val="10"/>
        <rFont val="Arial"/>
        <family val="0"/>
        <charset val="1"/>
      </rPr>
      <t xml:space="preserve">(USD)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</si>
  <si>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안에 회수하려면 필요한 최저 가격</t>
    </r>
  </si>
  <si>
    <r>
      <rPr>
        <sz val="9"/>
        <color rgb="FF555555"/>
        <rFont val="WenQuanYi Zen Hei"/>
        <family val="2"/>
      </rPr>
      <t xml:space="preserve">「원금 회수」는 월별 시트에서 순누적이 처음 </t>
    </r>
    <r>
      <rPr>
        <sz val="9"/>
        <color rgb="FF555555"/>
        <rFont val="Arial"/>
        <family val="0"/>
        <charset val="1"/>
      </rPr>
      <t xml:space="preserve">0 </t>
    </r>
    <r>
      <rPr>
        <sz val="9"/>
        <color rgb="FF555555"/>
        <rFont val="WenQuanYi Zen Hei"/>
        <family val="2"/>
      </rPr>
      <t xml:space="preserve">이상이 되는 달</t>
    </r>
    <r>
      <rPr>
        <sz val="9"/>
        <color rgb="FF555555"/>
        <rFont val="Arial"/>
        <family val="0"/>
        <charset val="1"/>
      </rPr>
      <t xml:space="preserve">. 1</t>
    </r>
    <r>
      <rPr>
        <sz val="9"/>
        <color rgb="FF555555"/>
        <rFont val="WenQuanYi Zen Hei"/>
        <family val="2"/>
      </rPr>
      <t xml:space="preserve">단계가 그 전에 끝나면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단계 기간을 줄이면</t>
    </r>
    <r>
      <rPr>
        <sz val="9"/>
        <color rgb="FF555555"/>
        <rFont val="Arial"/>
        <family val="0"/>
        <charset val="1"/>
      </rPr>
      <t xml:space="preserve">) </t>
    </r>
    <r>
      <rPr>
        <sz val="9"/>
        <color rgb="FF555555"/>
        <rFont val="WenQuanYi Zen Hei"/>
        <family val="2"/>
      </rPr>
      <t xml:space="preserve">늦어진다</t>
    </r>
    <r>
      <rPr>
        <sz val="9"/>
        <color rgb="FF555555"/>
        <rFont val="Arial"/>
        <family val="0"/>
        <charset val="1"/>
      </rPr>
      <t xml:space="preserve">.</t>
    </r>
  </si>
  <si>
    <r>
      <rPr>
        <b val="true"/>
        <sz val="13"/>
        <rFont val="WenQuanYi Zen Hei"/>
        <family val="2"/>
      </rPr>
      <t xml:space="preserve">월별 누적 — 대당 </t>
    </r>
    <r>
      <rPr>
        <b val="true"/>
        <sz val="13"/>
        <rFont val="Arial"/>
        <family val="0"/>
        <charset val="1"/>
      </rPr>
      <t xml:space="preserve">(120</t>
    </r>
    <r>
      <rPr>
        <b val="true"/>
        <sz val="13"/>
        <rFont val="WenQuanYi Zen Hei"/>
        <family val="2"/>
      </rPr>
      <t xml:space="preserve">개월 </t>
    </r>
    <r>
      <rPr>
        <b val="true"/>
        <sz val="13"/>
        <rFont val="Arial"/>
        <family val="0"/>
        <charset val="1"/>
      </rPr>
      <t xml:space="preserve">= </t>
    </r>
    <r>
      <rPr>
        <b val="true"/>
        <sz val="13"/>
        <rFont val="WenQuanYi Zen Hei"/>
        <family val="2"/>
      </rPr>
      <t xml:space="preserve">단계 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개 </t>
    </r>
    <r>
      <rPr>
        <b val="true"/>
        <sz val="13"/>
        <rFont val="Arial"/>
        <family val="0"/>
        <charset val="1"/>
      </rPr>
      <t xml:space="preserve">× 12</t>
    </r>
    <r>
      <rPr>
        <b val="true"/>
        <sz val="13"/>
        <rFont val="WenQuanYi Zen Hei"/>
        <family val="2"/>
      </rPr>
      <t xml:space="preserve">개월 가정</t>
    </r>
    <r>
      <rPr>
        <b val="true"/>
        <sz val="13"/>
        <rFont val="Arial"/>
        <family val="0"/>
        <charset val="1"/>
      </rPr>
      <t xml:space="preserve">, </t>
    </r>
    <r>
      <rPr>
        <b val="true"/>
        <sz val="13"/>
        <rFont val="WenQuanYi Zen Hei"/>
        <family val="2"/>
      </rPr>
      <t xml:space="preserve">구매가 차감 뒤 순누적</t>
    </r>
    <r>
      <rPr>
        <b val="true"/>
        <sz val="13"/>
        <rFont val="Arial"/>
        <family val="0"/>
        <charset val="1"/>
      </rPr>
      <t xml:space="preserve">, USD)</t>
    </r>
  </si>
  <si>
    <r>
      <rPr>
        <b val="true"/>
        <sz val="9"/>
        <color rgb="FF7A1F1F"/>
        <rFont val="WenQuanYi Zen Hei"/>
        <family val="2"/>
      </rPr>
      <t xml:space="preserve">내부 검토용 </t>
    </r>
    <r>
      <rPr>
        <b val="true"/>
        <sz val="9"/>
        <color rgb="FF7A1F1F"/>
        <rFont val="Arial"/>
        <family val="0"/>
        <charset val="1"/>
      </rPr>
      <t xml:space="preserve">· </t>
    </r>
    <r>
      <rPr>
        <b val="true"/>
        <sz val="9"/>
        <color rgb="FF7A1F1F"/>
        <rFont val="WenQuanYi Zen Hei"/>
        <family val="2"/>
      </rPr>
      <t xml:space="preserve">대외 배포 금지</t>
    </r>
    <r>
      <rPr>
        <b val="true"/>
        <sz val="9"/>
        <color rgb="FF7A1F1F"/>
        <rFont val="Arial"/>
        <family val="0"/>
        <charset val="1"/>
      </rPr>
      <t xml:space="preserve">. </t>
    </r>
    <r>
      <rPr>
        <b val="true"/>
        <sz val="9"/>
        <color rgb="FF7A1F1F"/>
        <rFont val="WenQuanYi Zen Hei"/>
        <family val="2"/>
      </rPr>
      <t xml:space="preserve">초록 칸 </t>
    </r>
    <r>
      <rPr>
        <b val="true"/>
        <sz val="9"/>
        <color rgb="FF7A1F1F"/>
        <rFont val="Arial"/>
        <family val="0"/>
        <charset val="1"/>
      </rPr>
      <t xml:space="preserve">= </t>
    </r>
    <r>
      <rPr>
        <b val="true"/>
        <sz val="9"/>
        <color rgb="FF7A1F1F"/>
        <rFont val="WenQuanYi Zen Hei"/>
        <family val="2"/>
      </rPr>
      <t xml:space="preserve">처음으로 구매가를 넘긴 달</t>
    </r>
    <r>
      <rPr>
        <b val="true"/>
        <sz val="9"/>
        <color rgb="FF7A1F1F"/>
        <rFont val="Arial"/>
        <family val="0"/>
        <charset val="1"/>
      </rPr>
      <t xml:space="preserve">. </t>
    </r>
    <r>
      <rPr>
        <b val="true"/>
        <sz val="9"/>
        <color rgb="FF7A1F1F"/>
        <rFont val="WenQuanYi Zen Hei"/>
        <family val="2"/>
      </rPr>
      <t xml:space="preserve">가격은 내내 같다고 가정</t>
    </r>
    <r>
      <rPr>
        <b val="true"/>
        <sz val="9"/>
        <color rgb="FF7A1F1F"/>
        <rFont val="Arial"/>
        <family val="0"/>
        <charset val="1"/>
      </rPr>
      <t xml:space="preserve">. 10</t>
    </r>
    <r>
      <rPr>
        <b val="true"/>
        <sz val="9"/>
        <color rgb="FF7A1F1F"/>
        <rFont val="WenQuanYi Zen Hei"/>
        <family val="2"/>
      </rPr>
      <t xml:space="preserve">단계 뒤는 </t>
    </r>
    <r>
      <rPr>
        <b val="true"/>
        <sz val="9"/>
        <color rgb="FF7A1F1F"/>
        <rFont val="Arial"/>
        <family val="0"/>
        <charset val="1"/>
      </rPr>
      <t xml:space="preserve">1</t>
    </r>
    <r>
      <rPr>
        <b val="true"/>
        <sz val="9"/>
        <color rgb="FF7A1F1F"/>
        <rFont val="WenQuanYi Zen Hei"/>
        <family val="2"/>
      </rPr>
      <t xml:space="preserve">기 소진으로 보고 </t>
    </r>
    <r>
      <rPr>
        <b val="true"/>
        <sz val="9"/>
        <color rgb="FF7A1F1F"/>
        <rFont val="Arial"/>
        <family val="0"/>
        <charset val="1"/>
      </rPr>
      <t xml:space="preserve">0.</t>
    </r>
  </si>
  <si>
    <t xml:space="preserve">개월</t>
  </si>
  <si>
    <t xml:space="preserve">단계</t>
  </si>
  <si>
    <t xml:space="preserve">일 지급</t>
  </si>
  <si>
    <t xml:space="preserve">월 지급</t>
  </si>
  <si>
    <r>
      <rPr>
        <b val="true"/>
        <sz val="10"/>
        <rFont val="WenQuanYi Zen Hei"/>
        <family val="2"/>
      </rPr>
      <t xml:space="preserve">누적 </t>
    </r>
    <r>
      <rPr>
        <b val="true"/>
        <sz val="10"/>
        <rFont val="Arial"/>
        <family val="0"/>
        <charset val="1"/>
      </rPr>
      <t xml:space="preserve">WLBN</t>
    </r>
  </si>
  <si>
    <r>
      <rPr>
        <b val="true"/>
        <sz val="10"/>
        <rFont val="WenQuanYi Zen Hei"/>
        <family val="2"/>
      </rPr>
      <t xml:space="preserve">참고 </t>
    </r>
    <r>
      <rPr>
        <b val="true"/>
        <sz val="10"/>
        <rFont val="Arial"/>
        <family val="0"/>
        <charset val="1"/>
      </rPr>
      <t xml:space="preserve">0.46</t>
    </r>
  </si>
  <si>
    <t xml:space="preserve">A $0.5</t>
  </si>
  <si>
    <t xml:space="preserve">B $1.0</t>
  </si>
  <si>
    <t xml:space="preserve">C $1.5</t>
  </si>
  <si>
    <t xml:space="preserve">D $2.0</t>
  </si>
  <si>
    <r>
      <rPr>
        <b val="true"/>
        <sz val="13"/>
        <rFont val="WenQuanYi Zen Hei"/>
        <family val="2"/>
      </rPr>
      <t xml:space="preserve">단계별 일 지급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기기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WenQuanYi Zen Hei"/>
        <family val="2"/>
      </rPr>
      <t xml:space="preserve">대</t>
    </r>
    <r>
      <rPr>
        <b val="true"/>
        <sz val="13"/>
        <rFont val="Arial"/>
        <family val="0"/>
        <charset val="1"/>
      </rPr>
      <t xml:space="preserve">, </t>
    </r>
    <r>
      <rPr>
        <b val="true"/>
        <sz val="13"/>
        <rFont val="WenQuanYi Zen Hei"/>
        <family val="2"/>
      </rPr>
      <t xml:space="preserve">조건 반영</t>
    </r>
    <r>
      <rPr>
        <b val="true"/>
        <sz val="13"/>
        <rFont val="Arial"/>
        <family val="0"/>
        <charset val="1"/>
      </rPr>
      <t xml:space="preserve">)</t>
    </r>
  </si>
  <si>
    <r>
      <rPr>
        <b val="true"/>
        <sz val="9"/>
        <color rgb="FF7A1F1F"/>
        <rFont val="WenQuanYi Zen Hei"/>
        <family val="2"/>
      </rPr>
      <t xml:space="preserve">정본 </t>
    </r>
    <r>
      <rPr>
        <b val="true"/>
        <sz val="9"/>
        <color rgb="FF7A1F1F"/>
        <rFont val="Arial"/>
        <family val="0"/>
        <charset val="1"/>
      </rPr>
      <t xml:space="preserve">§1 </t>
    </r>
    <r>
      <rPr>
        <b val="true"/>
        <sz val="9"/>
        <color rgb="FF7A1F1F"/>
        <rFont val="WenQuanYi Zen Hei"/>
        <family val="2"/>
      </rPr>
      <t xml:space="preserve">산식 </t>
    </r>
    <r>
      <rPr>
        <b val="true"/>
        <sz val="9"/>
        <color rgb="FF7A1F1F"/>
        <rFont val="Arial"/>
        <family val="0"/>
        <charset val="1"/>
      </rPr>
      <t xml:space="preserve">= 7 × 0.78^(</t>
    </r>
    <r>
      <rPr>
        <b val="true"/>
        <sz val="9"/>
        <color rgb="FF7A1F1F"/>
        <rFont val="WenQuanYi Zen Hei"/>
        <family val="2"/>
      </rPr>
      <t xml:space="preserve">단계−</t>
    </r>
    <r>
      <rPr>
        <b val="true"/>
        <sz val="9"/>
        <color rgb="FF7A1F1F"/>
        <rFont val="Arial"/>
        <family val="0"/>
        <charset val="1"/>
      </rPr>
      <t xml:space="preserve">1) × </t>
    </r>
    <r>
      <rPr>
        <b val="true"/>
        <sz val="9"/>
        <color rgb="FF7A1F1F"/>
        <rFont val="WenQuanYi Zen Hei"/>
        <family val="2"/>
      </rPr>
      <t xml:space="preserve">품질 </t>
    </r>
    <r>
      <rPr>
        <b val="true"/>
        <sz val="9"/>
        <color rgb="FF7A1F1F"/>
        <rFont val="Arial"/>
        <family val="0"/>
        <charset val="1"/>
      </rPr>
      <t xml:space="preserve">× (1 + </t>
    </r>
    <r>
      <rPr>
        <b val="true"/>
        <sz val="9"/>
        <color rgb="FF7A1F1F"/>
        <rFont val="WenQuanYi Zen Hei"/>
        <family val="2"/>
      </rPr>
      <t xml:space="preserve">제네시스</t>
    </r>
    <r>
      <rPr>
        <b val="true"/>
        <sz val="9"/>
        <color rgb="FF7A1F1F"/>
        <rFont val="Arial"/>
        <family val="0"/>
        <charset val="1"/>
      </rPr>
      <t xml:space="preserve">) × </t>
    </r>
    <r>
      <rPr>
        <b val="true"/>
        <sz val="9"/>
        <color rgb="FF7A1F1F"/>
        <rFont val="WenQuanYi Zen Hei"/>
        <family val="2"/>
      </rPr>
      <t xml:space="preserve">전송률</t>
    </r>
    <r>
      <rPr>
        <b val="true"/>
        <sz val="9"/>
        <color rgb="FF7A1F1F"/>
        <rFont val="Arial"/>
        <family val="0"/>
        <charset val="1"/>
      </rPr>
      <t xml:space="preserve">. </t>
    </r>
    <r>
      <rPr>
        <b val="true"/>
        <sz val="9"/>
        <color rgb="FF7A1F1F"/>
        <rFont val="WenQuanYi Zen Hei"/>
        <family val="2"/>
      </rPr>
      <t xml:space="preserve">단계는 지점 수 </t>
    </r>
    <r>
      <rPr>
        <b val="true"/>
        <sz val="9"/>
        <color rgb="FF7A1F1F"/>
        <rFont val="Arial"/>
        <family val="0"/>
        <charset val="1"/>
      </rPr>
      <t xml:space="preserve">· </t>
    </r>
    <r>
      <rPr>
        <b val="true"/>
        <sz val="9"/>
        <color rgb="FF7A1F1F"/>
        <rFont val="WenQuanYi Zen Hei"/>
        <family val="2"/>
      </rPr>
      <t xml:space="preserve">수요 게이트로 오른다</t>
    </r>
    <r>
      <rPr>
        <b val="true"/>
        <sz val="9"/>
        <color rgb="FF7A1F1F"/>
        <rFont val="Arial"/>
        <family val="0"/>
        <charset val="1"/>
      </rPr>
      <t xml:space="preserve">(</t>
    </r>
    <r>
      <rPr>
        <b val="true"/>
        <sz val="9"/>
        <color rgb="FF7A1F1F"/>
        <rFont val="WenQuanYi Zen Hei"/>
        <family val="2"/>
      </rPr>
      <t xml:space="preserve">달력 아님</t>
    </r>
    <r>
      <rPr>
        <b val="true"/>
        <sz val="9"/>
        <color rgb="FF7A1F1F"/>
        <rFont val="Arial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</si>
  <si>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일 지급 </t>
    </r>
    <r>
      <rPr>
        <b val="true"/>
        <sz val="10"/>
        <rFont val="Arial"/>
        <family val="0"/>
        <charset val="1"/>
      </rPr>
      <t xml:space="preserve">WLBN</t>
    </r>
  </si>
  <si>
    <r>
      <rPr>
        <b val="true"/>
        <sz val="10"/>
        <rFont val="WenQuanYi Zen Hei"/>
        <family val="2"/>
      </rPr>
      <t xml:space="preserve">월 지급 </t>
    </r>
    <r>
      <rPr>
        <b val="true"/>
        <sz val="10"/>
        <rFont val="Arial"/>
        <family val="0"/>
        <charset val="1"/>
      </rPr>
      <t xml:space="preserve">WLBN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</si>
  <si>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단계 대비</t>
    </r>
  </si>
  <si>
    <r>
      <rPr>
        <b val="true"/>
        <sz val="13"/>
        <rFont val="WenQuanYi Zen Hei"/>
        <family val="2"/>
      </rPr>
      <t xml:space="preserve">현실 점검 — 환산액을 실제로 받을 수 있나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출금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풀 깊이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매도 압력</t>
    </r>
    <r>
      <rPr>
        <b val="true"/>
        <sz val="13"/>
        <rFont val="Arial"/>
        <family val="0"/>
        <charset val="1"/>
      </rPr>
      <t xml:space="preserve">)</t>
    </r>
  </si>
  <si>
    <r>
      <rPr>
        <b val="true"/>
        <sz val="9"/>
        <color rgb="FF7A1F1F"/>
        <rFont val="WenQuanYi Zen Hei"/>
        <family val="2"/>
      </rPr>
      <t xml:space="preserve">내부 검토용</t>
    </r>
    <r>
      <rPr>
        <b val="true"/>
        <sz val="9"/>
        <color rgb="FF7A1F1F"/>
        <rFont val="Arial"/>
        <family val="0"/>
        <charset val="1"/>
      </rPr>
      <t xml:space="preserve">. 10/14 XRPL </t>
    </r>
    <r>
      <rPr>
        <b val="true"/>
        <sz val="9"/>
        <color rgb="FF7A1F1F"/>
        <rFont val="WenQuanYi Zen Hei"/>
        <family val="2"/>
      </rPr>
      <t xml:space="preserve">탐색기 풀 화면 기준</t>
    </r>
    <r>
      <rPr>
        <b val="true"/>
        <sz val="9"/>
        <color rgb="FF7A1F1F"/>
        <rFont val="Arial"/>
        <family val="0"/>
        <charset val="1"/>
      </rPr>
      <t xml:space="preserve">. </t>
    </r>
    <r>
      <rPr>
        <b val="true"/>
        <sz val="9"/>
        <color rgb="FF7A1F1F"/>
        <rFont val="WenQuanYi Zen Hei"/>
        <family val="2"/>
      </rPr>
      <t xml:space="preserve">상수곱</t>
    </r>
    <r>
      <rPr>
        <b val="true"/>
        <sz val="9"/>
        <color rgb="FF7A1F1F"/>
        <rFont val="Arial"/>
        <family val="0"/>
        <charset val="1"/>
      </rPr>
      <t xml:space="preserve">(x·y=k) AMM, </t>
    </r>
    <r>
      <rPr>
        <b val="true"/>
        <sz val="9"/>
        <color rgb="FF7A1F1F"/>
        <rFont val="WenQuanYi Zen Hei"/>
        <family val="2"/>
      </rPr>
      <t xml:space="preserve">수수료 </t>
    </r>
    <r>
      <rPr>
        <b val="true"/>
        <sz val="9"/>
        <color rgb="FF7A1F1F"/>
        <rFont val="Arial"/>
        <family val="0"/>
        <charset val="1"/>
      </rPr>
      <t xml:space="preserve">0.5% </t>
    </r>
    <r>
      <rPr>
        <b val="true"/>
        <sz val="9"/>
        <color rgb="FF7A1F1F"/>
        <rFont val="WenQuanYi Zen Hei"/>
        <family val="2"/>
      </rPr>
      <t xml:space="preserve">반영</t>
    </r>
    <r>
      <rPr>
        <b val="true"/>
        <sz val="9"/>
        <color rgb="FF7A1F1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</si>
  <si>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풀 </t>
    </r>
    <r>
      <rPr>
        <sz val="10"/>
        <rFont val="Arial"/>
        <family val="0"/>
        <charset val="1"/>
      </rPr>
      <t xml:space="preserve">RLUSD </t>
    </r>
    <r>
      <rPr>
        <sz val="10"/>
        <rFont val="WenQuanYi Zen Hei"/>
        <family val="2"/>
      </rPr>
      <t xml:space="preserve">보유</t>
    </r>
  </si>
  <si>
    <r>
      <rPr>
        <sz val="9"/>
        <color rgb="FF555555"/>
        <rFont val="Arial"/>
        <family val="0"/>
        <charset val="1"/>
      </rPr>
      <t xml:space="preserve">10/14 </t>
    </r>
    <r>
      <rPr>
        <sz val="9"/>
        <color rgb="FF555555"/>
        <rFont val="WenQuanYi Zen Hei"/>
        <family val="2"/>
      </rPr>
      <t xml:space="preserve">화면 </t>
    </r>
    <r>
      <rPr>
        <sz val="9"/>
        <color rgb="FF555555"/>
        <rFont val="Arial"/>
        <family val="0"/>
        <charset val="1"/>
      </rPr>
      <t xml:space="preserve">122.0K</t>
    </r>
  </si>
  <si>
    <r>
      <rPr>
        <sz val="10"/>
        <rFont val="WenQuanYi Zen Hei"/>
        <family val="2"/>
      </rPr>
      <t xml:space="preserve">풀 </t>
    </r>
    <r>
      <rPr>
        <sz val="10"/>
        <rFont val="Arial"/>
        <family val="0"/>
        <charset val="1"/>
      </rPr>
      <t xml:space="preserve">WLBN </t>
    </r>
    <r>
      <rPr>
        <sz val="10"/>
        <rFont val="WenQuanYi Zen Hei"/>
        <family val="2"/>
      </rPr>
      <t xml:space="preserve">보유</t>
    </r>
  </si>
  <si>
    <r>
      <rPr>
        <sz val="9"/>
        <color rgb="FF555555"/>
        <rFont val="Arial"/>
        <family val="0"/>
        <charset val="1"/>
      </rPr>
      <t xml:space="preserve">10/14 </t>
    </r>
    <r>
      <rPr>
        <sz val="9"/>
        <color rgb="FF555555"/>
        <rFont val="WenQuanYi Zen Hei"/>
        <family val="2"/>
      </rPr>
      <t xml:space="preserve">화면 </t>
    </r>
    <r>
      <rPr>
        <sz val="9"/>
        <color rgb="FF555555"/>
        <rFont val="Arial"/>
        <family val="0"/>
        <charset val="1"/>
      </rPr>
      <t xml:space="preserve">264.8K</t>
    </r>
  </si>
  <si>
    <t xml:space="preserve">풀 수수료</t>
  </si>
  <si>
    <t xml:space="preserve">0.50%</t>
  </si>
  <si>
    <r>
      <rPr>
        <sz val="10"/>
        <rFont val="WenQuanYi Zen Hei"/>
        <family val="2"/>
      </rPr>
      <t xml:space="preserve">가동 기기 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가정</t>
    </r>
    <r>
      <rPr>
        <sz val="10"/>
        <rFont val="Arial"/>
        <family val="0"/>
        <charset val="1"/>
      </rPr>
      <t xml:space="preserve">)</t>
    </r>
  </si>
  <si>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WenQuanYi Zen Hei"/>
        <family val="2"/>
      </rPr>
      <t xml:space="preserve">단계 지점 수 </t>
    </r>
    <r>
      <rPr>
        <sz val="9"/>
        <color rgb="FF555555"/>
        <rFont val="Arial"/>
        <family val="0"/>
        <charset val="1"/>
      </rPr>
      <t xml:space="preserve">· G4 </t>
    </r>
    <r>
      <rPr>
        <sz val="9"/>
        <color rgb="FF555555"/>
        <rFont val="WenQuanYi Zen Hei"/>
        <family val="2"/>
      </rPr>
      <t xml:space="preserve">완판 기준 — 실제 판매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WenQuanYi Zen Hei"/>
        <family val="2"/>
      </rPr>
      <t xml:space="preserve">가동 수로 바꿔 보기</t>
    </r>
  </si>
  <si>
    <t xml:space="preserve">계산</t>
  </si>
  <si>
    <r>
      <rPr>
        <sz val="10"/>
        <rFont val="WenQuanYi Zen Hei"/>
        <family val="2"/>
      </rPr>
      <t xml:space="preserve">현재 풀 가격 </t>
    </r>
    <r>
      <rPr>
        <sz val="10"/>
        <rFont val="Arial"/>
        <family val="0"/>
        <charset val="1"/>
      </rPr>
      <t xml:space="preserve">(RLUSD/WLBN)</t>
    </r>
  </si>
  <si>
    <r>
      <rPr>
        <sz val="10"/>
        <rFont val="WenQuanYi Zen Hei"/>
        <family val="2"/>
      </rPr>
      <t xml:space="preserve">하루 새로 풀리는 </t>
    </r>
    <r>
      <rPr>
        <sz val="10"/>
        <rFont val="Arial"/>
        <family val="0"/>
        <charset val="1"/>
      </rPr>
      <t xml:space="preserve">WLBN (1</t>
    </r>
    <r>
      <rPr>
        <sz val="10"/>
        <rFont val="WenQuanYi Zen Hei"/>
        <family val="2"/>
      </rPr>
      <t xml:space="preserve">단계</t>
    </r>
    <r>
      <rPr>
        <sz val="10"/>
        <rFont val="Arial"/>
        <family val="0"/>
        <charset val="1"/>
      </rPr>
      <t xml:space="preserve">)</t>
    </r>
  </si>
  <si>
    <r>
      <rPr>
        <sz val="9"/>
        <color rgb="FF555555"/>
        <rFont val="WenQuanYi Zen Hei"/>
        <family val="2"/>
      </rPr>
      <t xml:space="preserve">가동 기기 </t>
    </r>
    <r>
      <rPr>
        <sz val="9"/>
        <color rgb="FF555555"/>
        <rFont val="Arial"/>
        <family val="0"/>
        <charset val="1"/>
      </rPr>
      <t xml:space="preserve">× 1</t>
    </r>
    <r>
      <rPr>
        <sz val="9"/>
        <color rgb="FF555555"/>
        <rFont val="WenQuanYi Zen Hei"/>
        <family val="2"/>
      </rPr>
      <t xml:space="preserve">단계 일 지급</t>
    </r>
  </si>
  <si>
    <r>
      <rPr>
        <sz val="10"/>
        <rFont val="WenQuanYi Zen Hei"/>
        <family val="2"/>
      </rPr>
      <t xml:space="preserve">한 달 풀리는 </t>
    </r>
    <r>
      <rPr>
        <sz val="10"/>
        <rFont val="Arial"/>
        <family val="0"/>
        <charset val="1"/>
      </rPr>
      <t xml:space="preserve">WLBN (1</t>
    </r>
    <r>
      <rPr>
        <sz val="10"/>
        <rFont val="WenQuanYi Zen Hei"/>
        <family val="2"/>
      </rPr>
      <t xml:space="preserve">단계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</si>
  <si>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풀 </t>
    </r>
    <r>
      <rPr>
        <sz val="10"/>
        <rFont val="Arial"/>
        <family val="0"/>
        <charset val="1"/>
      </rPr>
      <t xml:space="preserve">WLBN </t>
    </r>
    <r>
      <rPr>
        <sz val="10"/>
        <rFont val="WenQuanYi Zen Hei"/>
        <family val="2"/>
      </rPr>
      <t xml:space="preserve">대비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 달치</t>
    </r>
    <r>
      <rPr>
        <sz val="10"/>
        <rFont val="Arial"/>
        <family val="0"/>
        <charset val="1"/>
      </rPr>
      <t xml:space="preserve">)</t>
    </r>
  </si>
  <si>
    <t xml:space="preserve">풀 보유량의 몇 배가 한 달에 풀리나</t>
  </si>
  <si>
    <r>
      <rPr>
        <sz val="10"/>
        <rFont val="WenQuanYi Zen Hei"/>
        <family val="2"/>
      </rPr>
      <t xml:space="preserve">기기 한 대 한 달치를 풀에 팔면 받는 </t>
    </r>
    <r>
      <rPr>
        <sz val="10"/>
        <rFont val="Arial"/>
        <family val="0"/>
        <charset val="1"/>
      </rPr>
      <t xml:space="preserve">RLUSD</t>
    </r>
  </si>
  <si>
    <r>
      <rPr>
        <sz val="9"/>
        <color rgb="FF555555"/>
        <rFont val="WenQuanYi Zen Hei"/>
        <family val="2"/>
      </rPr>
      <t xml:space="preserve">대당 약 </t>
    </r>
    <r>
      <rPr>
        <sz val="9"/>
        <color rgb="FF555555"/>
        <rFont val="Arial"/>
        <family val="0"/>
        <charset val="1"/>
      </rPr>
      <t xml:space="preserve">213 WLBN(</t>
    </r>
    <r>
      <rPr>
        <sz val="9"/>
        <color rgb="FF555555"/>
        <rFont val="WenQuanYi Zen Hei"/>
        <family val="2"/>
      </rPr>
      <t xml:space="preserve">품질 </t>
    </r>
    <r>
      <rPr>
        <sz val="9"/>
        <color rgb="FF555555"/>
        <rFont val="Arial"/>
        <family val="0"/>
        <charset val="1"/>
      </rPr>
      <t xml:space="preserve">1.0)</t>
    </r>
  </si>
  <si>
    <r>
      <rPr>
        <sz val="10"/>
        <rFont val="WenQuanYi Zen Hei"/>
        <family val="2"/>
      </rPr>
      <t xml:space="preserve">  └ 같은 수량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현재 가격과 차이</t>
    </r>
  </si>
  <si>
    <t xml:space="preserve">미끄러짐</t>
  </si>
  <si>
    <r>
      <rPr>
        <sz val="10"/>
        <rFont val="WenQuanYi Zen Hei"/>
        <family val="2"/>
      </rPr>
      <t xml:space="preserve">전체 한 달치를 풀에 팔면 받는 </t>
    </r>
    <r>
      <rPr>
        <sz val="10"/>
        <rFont val="Arial"/>
        <family val="0"/>
        <charset val="1"/>
      </rPr>
      <t xml:space="preserve">RLUSD</t>
    </r>
  </si>
  <si>
    <t xml:space="preserve">모두가 한꺼번에 판다고 가정한 극단값</t>
  </si>
  <si>
    <r>
      <rPr>
        <sz val="10"/>
        <rFont val="WenQuanYi Zen Hei"/>
        <family val="2"/>
      </rPr>
      <t xml:space="preserve">  └ 그때 </t>
    </r>
    <r>
      <rPr>
        <sz val="10"/>
        <rFont val="Arial"/>
        <family val="0"/>
        <charset val="1"/>
      </rPr>
      <t xml:space="preserve">1 WLBN </t>
    </r>
    <r>
      <rPr>
        <sz val="10"/>
        <rFont val="WenQuanYi Zen Hei"/>
        <family val="2"/>
      </rPr>
      <t xml:space="preserve">평균 가격</t>
    </r>
  </si>
  <si>
    <t xml:space="preserve">  └ 매도 뒤 풀 가격</t>
  </si>
  <si>
    <r>
      <rPr>
        <sz val="9"/>
        <color rgb="FF555555"/>
        <rFont val="WenQuanYi Zen Hei"/>
        <family val="2"/>
      </rPr>
      <t xml:space="preserve">출금</t>
    </r>
    <r>
      <rPr>
        <sz val="9"/>
        <color rgb="FF555555"/>
        <rFont val="Arial"/>
        <family val="0"/>
        <charset val="1"/>
      </rPr>
      <t xml:space="preserve">: </t>
    </r>
    <r>
      <rPr>
        <sz val="9"/>
        <color rgb="FF555555"/>
        <rFont val="WenQuanYi Zen Hei"/>
        <family val="2"/>
      </rPr>
      <t xml:space="preserve">정본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백서 「</t>
    </r>
    <r>
      <rPr>
        <sz val="9"/>
        <color rgb="FF555555"/>
        <rFont val="Arial"/>
        <family val="0"/>
        <charset val="1"/>
      </rPr>
      <t xml:space="preserve">Withdrawal Opening</t>
    </r>
    <r>
      <rPr>
        <sz val="9"/>
        <color rgb="FF555555"/>
        <rFont val="WenQuanYi Zen Hei"/>
        <family val="2"/>
      </rPr>
      <t xml:space="preserve">」</t>
    </r>
    <r>
      <rPr>
        <sz val="9"/>
        <color rgb="FF555555"/>
        <rFont val="Arial"/>
        <family val="0"/>
        <charset val="1"/>
      </rPr>
      <t xml:space="preserve">)</t>
    </r>
    <r>
      <rPr>
        <sz val="9"/>
        <color rgb="FF555555"/>
        <rFont val="WenQuanYi Zen Hei"/>
        <family val="2"/>
      </rPr>
      <t xml:space="preserve">은 </t>
    </r>
    <r>
      <rPr>
        <sz val="9"/>
        <color rgb="FF555555"/>
        <rFont val="Arial"/>
        <family val="0"/>
        <charset val="1"/>
      </rPr>
      <t xml:space="preserve">DEX </t>
    </r>
    <r>
      <rPr>
        <sz val="9"/>
        <color rgb="FF555555"/>
        <rFont val="WenQuanYi Zen Hei"/>
        <family val="2"/>
      </rPr>
      <t xml:space="preserve">상장 전까지 적립 </t>
    </r>
    <r>
      <rPr>
        <sz val="9"/>
        <color rgb="FF555555"/>
        <rFont val="Arial"/>
        <family val="0"/>
        <charset val="1"/>
      </rPr>
      <t xml:space="preserve">WLBN </t>
    </r>
    <r>
      <rPr>
        <sz val="9"/>
        <color rgb="FF555555"/>
        <rFont val="WenQuanYi Zen Hei"/>
        <family val="2"/>
      </rPr>
      <t xml:space="preserve">이 온체인으로 나가지 않는다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포인트</t>
    </r>
    <r>
      <rPr>
        <sz val="9"/>
        <color rgb="FF555555"/>
        <rFont val="Arial"/>
        <family val="0"/>
        <charset val="1"/>
      </rPr>
      <t xml:space="preserve">). DEX </t>
    </r>
    <r>
      <rPr>
        <sz val="9"/>
        <color rgb="FF555555"/>
        <rFont val="WenQuanYi Zen Hei"/>
        <family val="2"/>
      </rPr>
      <t xml:space="preserve">개방은 </t>
    </r>
    <r>
      <rPr>
        <sz val="9"/>
        <color rgb="FF555555"/>
        <rFont val="Arial"/>
        <family val="0"/>
        <charset val="1"/>
      </rPr>
      <t xml:space="preserve">G4(25,000</t>
    </r>
    <r>
      <rPr>
        <sz val="9"/>
        <color rgb="FF555555"/>
        <rFont val="WenQuanYi Zen Hei"/>
        <family val="2"/>
      </rPr>
      <t xml:space="preserve">대 완판 </t>
    </r>
    <r>
      <rPr>
        <sz val="9"/>
        <color rgb="FF555555"/>
        <rFont val="Arial"/>
        <family val="0"/>
        <charset val="1"/>
      </rPr>
      <t xml:space="preserve">+ 3</t>
    </r>
    <r>
      <rPr>
        <sz val="9"/>
        <color rgb="FF555555"/>
        <rFont val="WenQuanYi Zen Hei"/>
        <family val="2"/>
      </rPr>
      <t xml:space="preserve">개월 가동률 </t>
    </r>
    <r>
      <rPr>
        <sz val="9"/>
        <color rgb="FF555555"/>
        <rFont val="Arial"/>
        <family val="0"/>
        <charset val="1"/>
      </rPr>
      <t xml:space="preserve">80%).</t>
    </r>
  </si>
  <si>
    <r>
      <rPr>
        <sz val="9"/>
        <color rgb="FF555555"/>
        <rFont val="Arial"/>
        <family val="0"/>
        <charset val="1"/>
      </rPr>
      <t xml:space="preserve">10/14 </t>
    </r>
    <r>
      <rPr>
        <sz val="9"/>
        <color rgb="FF555555"/>
        <rFont val="WenQuanYi Zen Hei"/>
        <family val="2"/>
      </rPr>
      <t xml:space="preserve">화면에는 </t>
    </r>
    <r>
      <rPr>
        <sz val="9"/>
        <color rgb="FF555555"/>
        <rFont val="Arial"/>
        <family val="0"/>
        <charset val="1"/>
      </rPr>
      <t xml:space="preserve">AMM </t>
    </r>
    <r>
      <rPr>
        <sz val="9"/>
        <color rgb="FF555555"/>
        <rFont val="WenQuanYi Zen Hei"/>
        <family val="2"/>
      </rPr>
      <t xml:space="preserve">전환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WenQuanYi Zen Hei"/>
        <family val="2"/>
      </rPr>
      <t xml:space="preserve">공급이 열려 있다 — 기기 적립분 출금이 열렸는지는 서우 확인 대기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정본 </t>
    </r>
    <r>
      <rPr>
        <sz val="9"/>
        <color rgb="FF555555"/>
        <rFont val="Arial"/>
        <family val="0"/>
        <charset val="1"/>
      </rPr>
      <t xml:space="preserve">§8). </t>
    </r>
    <r>
      <rPr>
        <sz val="9"/>
        <color rgb="FF555555"/>
        <rFont val="WenQuanYi Zen Hei"/>
        <family val="2"/>
      </rPr>
      <t xml:space="preserve">출금 전 환산액은 장부상 숫자다</t>
    </r>
    <r>
      <rPr>
        <sz val="9"/>
        <color rgb="FF555555"/>
        <rFont val="Arial"/>
        <family val="0"/>
        <charset val="1"/>
      </rPr>
      <t xml:space="preserve">.</t>
    </r>
  </si>
  <si>
    <r>
      <rPr>
        <sz val="9"/>
        <color rgb="FF555555"/>
        <rFont val="WenQuanYi Zen Hei"/>
        <family val="2"/>
      </rPr>
      <t xml:space="preserve">가동 기기가 늘면 매일 풀리는 </t>
    </r>
    <r>
      <rPr>
        <sz val="9"/>
        <color rgb="FF555555"/>
        <rFont val="Arial"/>
        <family val="0"/>
        <charset val="1"/>
      </rPr>
      <t xml:space="preserve">WLBN </t>
    </r>
    <r>
      <rPr>
        <sz val="9"/>
        <color rgb="FF555555"/>
        <rFont val="WenQuanYi Zen Hei"/>
        <family val="2"/>
      </rPr>
      <t xml:space="preserve">이 풀 깊이를 크게 넘는다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「요약」 환산액은 가격이 버틴다는 가정에서만 성립한다</t>
    </r>
    <r>
      <rPr>
        <sz val="9"/>
        <color rgb="FF555555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</si>
</sst>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.00;&quot;($&quot;#,##0.00\);\-"/>
    <numFmt numFmtId="166" formatCode="0.0%"/>
    <numFmt numFmtId="167" formatCode="#,##0;\(#,##0\);\-"/>
    <numFmt numFmtId="168" formatCode="0.00"/>
    <numFmt numFmtId="169" formatCode="0.0"/>
    <numFmt numFmtId="170" formatCode="0%"/>
    <numFmt numFmtId="171" formatCode="0.0000"/>
    <numFmt numFmtId="172" formatCode="#,##0.00;\(#,##0.00\);\-"/>
    <numFmt numFmtId="173" formatCode="#,##0.0;\(#,##0.0\);\-"/>
    <numFmt numFmtId="174" formatCode="\$#,##0.0000"/>
    <numFmt numFmtId="175" formatCode="\$#,##0.00##"/>
    <numFmt numFmtId="176" formatCode="\$#,##0;&quot;($&quot;#,##0\);\-"/>
    <numFmt numFmtId="177" formatCode="0.0\x"/>
    <numFmt numFmtId="178" formatCode="0.0\배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9"/>
      <color rgb="FF7A1F1F"/>
      <name val="WenQuanYi Zen Hei"/>
      <family val="2"/>
    </font>
    <font>
      <b val="true"/>
      <sz val="9"/>
      <color rgb="FF7A1F1F"/>
      <name val="Arial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55555"/>
      <name val="WenQuanYi Zen Hei"/>
      <family val="2"/>
    </font>
    <font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EEF4"/>
        <bgColor rgb="FFD9EAD3"/>
      </patternFill>
    </fill>
    <fill>
      <patternFill patternType="solid">
        <fgColor rgb="FFFFF2CC"/>
        <bgColor rgb="FFE8EE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9EAD3"/>
        </patternFill>
      </fill>
    </dxf>
  </dxfs>
  <colors>
    <indexedColors>
      <rgbColor rgb="FF000000"/>
      <rgbColor rgb="FFE8EE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7A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66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  <c r="B4" s="5" t="n">
        <v>650</v>
      </c>
      <c r="C4" s="6" t="s">
        <v>6</v>
      </c>
    </row>
    <row r="5" customFormat="false" ht="15" hidden="false" customHeight="false" outlineLevel="0" collapsed="false">
      <c r="A5" s="4" t="s">
        <v>7</v>
      </c>
      <c r="B5" s="7" t="n">
        <v>0.3</v>
      </c>
      <c r="C5" s="6" t="s">
        <v>8</v>
      </c>
    </row>
    <row r="6" customFormat="false" ht="15" hidden="false" customHeight="false" outlineLevel="0" collapsed="false">
      <c r="A6" s="4" t="s">
        <v>9</v>
      </c>
      <c r="B6" s="8" t="n">
        <f aca="false">B4*(1-B5)</f>
        <v>455</v>
      </c>
      <c r="C6" s="6" t="s">
        <v>10</v>
      </c>
    </row>
    <row r="7" customFormat="false" ht="15" hidden="false" customHeight="false" outlineLevel="0" collapsed="false">
      <c r="A7" s="9" t="s">
        <v>11</v>
      </c>
      <c r="B7" s="10" t="n">
        <v>7</v>
      </c>
      <c r="C7" s="6" t="s">
        <v>12</v>
      </c>
    </row>
    <row r="8" customFormat="false" ht="15" hidden="false" customHeight="false" outlineLevel="0" collapsed="false">
      <c r="A8" s="4" t="s">
        <v>13</v>
      </c>
      <c r="B8" s="11" t="n">
        <v>0.78</v>
      </c>
      <c r="C8" s="6" t="s">
        <v>14</v>
      </c>
    </row>
    <row r="9" customFormat="false" ht="15" hidden="false" customHeight="false" outlineLevel="0" collapsed="false">
      <c r="A9" s="4" t="s">
        <v>15</v>
      </c>
      <c r="B9" s="12" t="n">
        <v>1</v>
      </c>
      <c r="C9" s="6" t="s">
        <v>16</v>
      </c>
    </row>
    <row r="10" customFormat="false" ht="15" hidden="false" customHeight="false" outlineLevel="0" collapsed="false">
      <c r="A10" s="4" t="s">
        <v>17</v>
      </c>
      <c r="B10" s="13" t="n">
        <v>0</v>
      </c>
      <c r="C10" s="6" t="s">
        <v>18</v>
      </c>
    </row>
    <row r="11" customFormat="false" ht="15" hidden="false" customHeight="false" outlineLevel="0" collapsed="false">
      <c r="A11" s="4" t="s">
        <v>19</v>
      </c>
      <c r="B11" s="13" t="n">
        <v>1</v>
      </c>
      <c r="C11" s="6" t="s">
        <v>20</v>
      </c>
    </row>
    <row r="12" customFormat="false" ht="15" hidden="false" customHeight="false" outlineLevel="0" collapsed="false">
      <c r="A12" s="4" t="s">
        <v>21</v>
      </c>
      <c r="B12" s="10" t="n">
        <v>12</v>
      </c>
      <c r="C12" s="6" t="s">
        <v>22</v>
      </c>
    </row>
    <row r="13" customFormat="false" ht="15" hidden="false" customHeight="false" outlineLevel="0" collapsed="false">
      <c r="A13" s="4" t="s">
        <v>23</v>
      </c>
      <c r="B13" s="14" t="n">
        <f aca="false">365/12</f>
        <v>30.4166666666667</v>
      </c>
      <c r="C13" s="15" t="s">
        <v>24</v>
      </c>
    </row>
    <row r="14" customFormat="false" ht="15" hidden="false" customHeight="false" outlineLevel="0" collapsed="false">
      <c r="A14" s="9" t="s">
        <v>25</v>
      </c>
      <c r="B14" s="16" t="n">
        <f aca="false">B7*B9*(1+B10)*B11</f>
        <v>7</v>
      </c>
      <c r="C14" s="6"/>
    </row>
    <row r="15" customFormat="false" ht="15" hidden="false" customHeight="false" outlineLevel="0" collapsed="false">
      <c r="A15" s="9" t="s">
        <v>26</v>
      </c>
      <c r="B15" s="17" t="n">
        <f aca="false">B14*B13</f>
        <v>212.916666666667</v>
      </c>
      <c r="C15" s="6"/>
    </row>
    <row r="17" customFormat="false" ht="15" hidden="false" customHeight="false" outlineLevel="0" collapsed="false">
      <c r="A17" s="18" t="s">
        <v>27</v>
      </c>
      <c r="B17" s="19"/>
      <c r="C17" s="19"/>
    </row>
    <row r="18" customFormat="false" ht="15" hidden="false" customHeight="false" outlineLevel="0" collapsed="false">
      <c r="A18" s="4" t="s">
        <v>28</v>
      </c>
      <c r="B18" s="5" t="n">
        <v>0.5</v>
      </c>
      <c r="C18" s="6" t="s">
        <v>29</v>
      </c>
    </row>
    <row r="19" customFormat="false" ht="15" hidden="false" customHeight="false" outlineLevel="0" collapsed="false">
      <c r="A19" s="4" t="s">
        <v>30</v>
      </c>
      <c r="B19" s="5" t="n">
        <v>1</v>
      </c>
      <c r="C19" s="6" t="s">
        <v>29</v>
      </c>
    </row>
    <row r="20" customFormat="false" ht="15" hidden="false" customHeight="false" outlineLevel="0" collapsed="false">
      <c r="A20" s="4" t="s">
        <v>31</v>
      </c>
      <c r="B20" s="5" t="n">
        <v>1.5</v>
      </c>
      <c r="C20" s="6" t="s">
        <v>29</v>
      </c>
    </row>
    <row r="21" customFormat="false" ht="15" hidden="false" customHeight="false" outlineLevel="0" collapsed="false">
      <c r="A21" s="4" t="s">
        <v>32</v>
      </c>
      <c r="B21" s="5" t="n">
        <v>2</v>
      </c>
      <c r="C21" s="6" t="s">
        <v>29</v>
      </c>
    </row>
    <row r="22" customFormat="false" ht="15" hidden="false" customHeight="false" outlineLevel="0" collapsed="false">
      <c r="A22" s="4" t="s">
        <v>33</v>
      </c>
      <c r="B22" s="20" t="n">
        <v>0.460535</v>
      </c>
      <c r="C22" s="15" t="s">
        <v>34</v>
      </c>
    </row>
    <row r="24" customFormat="false" ht="15" hidden="false" customHeight="false" outlineLevel="0" collapsed="false">
      <c r="A24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5"/>
  </cols>
  <sheetData>
    <row r="1" customFormat="false" ht="17.1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3" customFormat="false" ht="15" hidden="false" customHeight="false" outlineLevel="0" collapsed="false">
      <c r="A3" s="21" t="s">
        <v>2</v>
      </c>
      <c r="B3" s="21" t="s">
        <v>38</v>
      </c>
      <c r="C3" s="22" t="s">
        <v>39</v>
      </c>
      <c r="D3" s="22" t="s">
        <v>40</v>
      </c>
      <c r="E3" s="22" t="s">
        <v>41</v>
      </c>
      <c r="F3" s="22" t="s">
        <v>42</v>
      </c>
    </row>
    <row r="4" customFormat="false" ht="15" hidden="false" customHeight="false" outlineLevel="0" collapsed="false">
      <c r="A4" s="9" t="s">
        <v>43</v>
      </c>
      <c r="B4" s="23" t="n">
        <f aca="false">가정!$B$22</f>
        <v>0.460535</v>
      </c>
      <c r="C4" s="23" t="n">
        <f aca="false">가정!$B$18</f>
        <v>0.5</v>
      </c>
      <c r="D4" s="23" t="n">
        <f aca="false">가정!$B$19</f>
        <v>1</v>
      </c>
      <c r="E4" s="23" t="n">
        <f aca="false">가정!$B$20</f>
        <v>1.5</v>
      </c>
      <c r="F4" s="23" t="n">
        <f aca="false">가정!$B$21</f>
        <v>2</v>
      </c>
    </row>
    <row r="5" customFormat="false" ht="15" hidden="false" customHeight="false" outlineLevel="0" collapsed="false">
      <c r="A5" s="4" t="s">
        <v>44</v>
      </c>
      <c r="B5" s="24" t="n">
        <f aca="false">가정!$B$6</f>
        <v>455</v>
      </c>
      <c r="C5" s="24" t="n">
        <f aca="false">가정!$B$6</f>
        <v>455</v>
      </c>
      <c r="D5" s="24" t="n">
        <f aca="false">가정!$B$6</f>
        <v>455</v>
      </c>
      <c r="E5" s="24" t="n">
        <f aca="false">가정!$B$6</f>
        <v>455</v>
      </c>
      <c r="F5" s="24" t="n">
        <f aca="false">가정!$B$6</f>
        <v>455</v>
      </c>
    </row>
    <row r="6" customFormat="false" ht="15" hidden="false" customHeight="false" outlineLevel="0" collapsed="false">
      <c r="A6" s="9" t="s">
        <v>45</v>
      </c>
      <c r="B6" s="24" t="n">
        <f aca="false">가정!$B$14*가정!$B$22</f>
        <v>3.223745</v>
      </c>
      <c r="C6" s="24" t="n">
        <f aca="false">가정!$B$14*가정!$B$18</f>
        <v>3.5</v>
      </c>
      <c r="D6" s="24" t="n">
        <f aca="false">가정!$B$14*가정!$B$19</f>
        <v>7</v>
      </c>
      <c r="E6" s="24" t="n">
        <f aca="false">가정!$B$14*가정!$B$20</f>
        <v>10.5</v>
      </c>
      <c r="F6" s="24" t="n">
        <f aca="false">가정!$B$14*가정!$B$21</f>
        <v>14</v>
      </c>
    </row>
    <row r="7" customFormat="false" ht="15" hidden="false" customHeight="false" outlineLevel="0" collapsed="false">
      <c r="A7" s="9" t="s">
        <v>46</v>
      </c>
      <c r="B7" s="24" t="n">
        <f aca="false">가정!$B$15*가정!$B$22</f>
        <v>98.0555770833334</v>
      </c>
      <c r="C7" s="24" t="n">
        <f aca="false">가정!$B$15*가정!$B$18</f>
        <v>106.458333333333</v>
      </c>
      <c r="D7" s="24" t="n">
        <f aca="false">가정!$B$15*가정!$B$19</f>
        <v>212.916666666667</v>
      </c>
      <c r="E7" s="24" t="n">
        <f aca="false">가정!$B$15*가정!$B$20</f>
        <v>319.375</v>
      </c>
      <c r="F7" s="24" t="n">
        <f aca="false">가정!$B$15*가정!$B$21</f>
        <v>425.833333333333</v>
      </c>
    </row>
    <row r="8" customFormat="false" ht="15" hidden="false" customHeight="false" outlineLevel="0" collapsed="false">
      <c r="A8" s="25" t="s">
        <v>47</v>
      </c>
      <c r="B8" s="26" t="n">
        <f aca="false">IF(COUNTIF(월별!F4:F123,"&lt;0")&gt;=120,"기간 안에 못 함",COUNTIF(월별!F4:F123,"&lt;0")+1)</f>
        <v>5</v>
      </c>
      <c r="C8" s="26" t="n">
        <f aca="false">IF(COUNTIF(월별!G4:G123,"&lt;0")&gt;=120,"기간 안에 못 함",COUNTIF(월별!G4:G123,"&lt;0")+1)</f>
        <v>5</v>
      </c>
      <c r="D8" s="26" t="n">
        <f aca="false">IF(COUNTIF(월별!H4:H123,"&lt;0")&gt;=120,"기간 안에 못 함",COUNTIF(월별!H4:H123,"&lt;0")+1)</f>
        <v>3</v>
      </c>
      <c r="E8" s="26" t="n">
        <f aca="false">IF(COUNTIF(월별!I4:I123,"&lt;0")&gt;=120,"기간 안에 못 함",COUNTIF(월별!I4:I123,"&lt;0")+1)</f>
        <v>2</v>
      </c>
      <c r="F8" s="26" t="n">
        <f aca="false">IF(COUNTIF(월별!J4:J123,"&lt;0")&gt;=120,"기간 안에 못 함",COUNTIF(월별!J4:J123,"&lt;0")+1)</f>
        <v>2</v>
      </c>
    </row>
    <row r="9" customFormat="false" ht="15" hidden="false" customHeight="false" outlineLevel="0" collapsed="false">
      <c r="A9" s="9" t="s">
        <v>48</v>
      </c>
      <c r="B9" s="26" t="n">
        <f aca="false">월별!$E$39</f>
        <v>6102.36199999999</v>
      </c>
      <c r="C9" s="26" t="n">
        <f aca="false">월별!$E$39</f>
        <v>6102.36199999999</v>
      </c>
      <c r="D9" s="26" t="n">
        <f aca="false">월별!$E$39</f>
        <v>6102.36199999999</v>
      </c>
      <c r="E9" s="26" t="n">
        <f aca="false">월별!$E$39</f>
        <v>6102.36199999999</v>
      </c>
      <c r="F9" s="26" t="n">
        <f aca="false">월별!$E$39</f>
        <v>6102.36199999999</v>
      </c>
    </row>
    <row r="10" customFormat="false" ht="15" hidden="false" customHeight="false" outlineLevel="0" collapsed="false">
      <c r="A10" s="9" t="s">
        <v>49</v>
      </c>
      <c r="B10" s="27" t="n">
        <f aca="false">월별!$E$39*가정!$B$22</f>
        <v>2810.35128367</v>
      </c>
      <c r="C10" s="27" t="n">
        <f aca="false">월별!$E$39*가정!$B$18</f>
        <v>3051.181</v>
      </c>
      <c r="D10" s="27" t="n">
        <f aca="false">월별!$E$39*가정!$B$19</f>
        <v>6102.36199999999</v>
      </c>
      <c r="E10" s="27" t="n">
        <f aca="false">월별!$E$39*가정!$B$20</f>
        <v>9153.54299999999</v>
      </c>
      <c r="F10" s="27" t="n">
        <f aca="false">월별!$E$39*가정!$B$21</f>
        <v>12204.724</v>
      </c>
    </row>
    <row r="11" customFormat="false" ht="15" hidden="false" customHeight="false" outlineLevel="0" collapsed="false">
      <c r="A11" s="9" t="s">
        <v>50</v>
      </c>
      <c r="B11" s="27" t="n">
        <f aca="false">월별!$E$39*가정!$B$22-가정!$B$6</f>
        <v>2355.35128367</v>
      </c>
      <c r="C11" s="27" t="n">
        <f aca="false">월별!$E$39*가정!$B$18-가정!$B$6</f>
        <v>2596.181</v>
      </c>
      <c r="D11" s="27" t="n">
        <f aca="false">월별!$E$39*가정!$B$19-가정!$B$6</f>
        <v>5647.36199999999</v>
      </c>
      <c r="E11" s="27" t="n">
        <f aca="false">월별!$E$39*가정!$B$20-가정!$B$6</f>
        <v>8698.54299999999</v>
      </c>
      <c r="F11" s="27" t="n">
        <f aca="false">월별!$E$39*가정!$B$21-가정!$B$6</f>
        <v>11749.724</v>
      </c>
    </row>
    <row r="12" customFormat="false" ht="15" hidden="false" customHeight="false" outlineLevel="0" collapsed="false">
      <c r="A12" s="9" t="s">
        <v>51</v>
      </c>
      <c r="B12" s="28" t="n">
        <f aca="false">IFERROR(월별!$E$39*가정!$B$22/가정!$B$6,"-")</f>
        <v>6.17659622784615</v>
      </c>
      <c r="C12" s="28" t="n">
        <f aca="false">IFERROR(월별!$E$39*가정!$B$18/가정!$B$6,"-")</f>
        <v>6.7058923076923</v>
      </c>
      <c r="D12" s="28" t="n">
        <f aca="false">IFERROR(월별!$E$39*가정!$B$19/가정!$B$6,"-")</f>
        <v>13.4117846153846</v>
      </c>
      <c r="E12" s="28" t="n">
        <f aca="false">IFERROR(월별!$E$39*가정!$B$20/가정!$B$6,"-")</f>
        <v>20.1176769230769</v>
      </c>
      <c r="F12" s="28" t="n">
        <f aca="false">IFERROR(월별!$E$39*가정!$B$21/가정!$B$6,"-")</f>
        <v>26.8235692307692</v>
      </c>
    </row>
    <row r="13" customFormat="false" ht="15" hidden="false" customHeight="false" outlineLevel="0" collapsed="false">
      <c r="A13" s="9" t="s">
        <v>52</v>
      </c>
      <c r="B13" s="26" t="n">
        <f aca="false">월별!$E$123</f>
        <v>10645.5496705087</v>
      </c>
      <c r="C13" s="26" t="n">
        <f aca="false">월별!$E$123</f>
        <v>10645.5496705087</v>
      </c>
      <c r="D13" s="26" t="n">
        <f aca="false">월별!$E$123</f>
        <v>10645.5496705087</v>
      </c>
      <c r="E13" s="26" t="n">
        <f aca="false">월별!$E$123</f>
        <v>10645.5496705087</v>
      </c>
      <c r="F13" s="26" t="n">
        <f aca="false">월별!$E$123</f>
        <v>10645.5496705087</v>
      </c>
    </row>
    <row r="14" customFormat="false" ht="15" hidden="false" customHeight="false" outlineLevel="0" collapsed="false">
      <c r="A14" s="9" t="s">
        <v>53</v>
      </c>
      <c r="B14" s="27" t="n">
        <f aca="false">월별!$E$123*가정!$B$22</f>
        <v>4902.64821750772</v>
      </c>
      <c r="C14" s="27" t="n">
        <f aca="false">월별!$E$123*가정!$B$18</f>
        <v>5322.77483525435</v>
      </c>
      <c r="D14" s="27" t="n">
        <f aca="false">월별!$E$123*가정!$B$19</f>
        <v>10645.5496705087</v>
      </c>
      <c r="E14" s="27" t="n">
        <f aca="false">월별!$E$123*가정!$B$20</f>
        <v>15968.324505763</v>
      </c>
      <c r="F14" s="27" t="n">
        <f aca="false">월별!$E$123*가정!$B$21</f>
        <v>21291.0993410174</v>
      </c>
    </row>
    <row r="15" customFormat="false" ht="15" hidden="false" customHeight="false" outlineLevel="0" collapsed="false">
      <c r="A15" s="9" t="s">
        <v>54</v>
      </c>
      <c r="B15" s="29" t="n">
        <f aca="false">IFERROR(가정!$B$6/월별!$E$39,"-")</f>
        <v>0.0745612928239918</v>
      </c>
      <c r="C15" s="29" t="n">
        <f aca="false">IFERROR(가정!$B$6/월별!$E$39,"-")</f>
        <v>0.0745612928239918</v>
      </c>
      <c r="D15" s="29" t="n">
        <f aca="false">IFERROR(가정!$B$6/월별!$E$39,"-")</f>
        <v>0.0745612928239918</v>
      </c>
      <c r="E15" s="29" t="n">
        <f aca="false">IFERROR(가정!$B$6/월별!$E$39,"-")</f>
        <v>0.0745612928239918</v>
      </c>
      <c r="F15" s="29" t="n">
        <f aca="false">IFERROR(가정!$B$6/월별!$E$39,"-")</f>
        <v>0.0745612928239918</v>
      </c>
    </row>
    <row r="17" customFormat="false" ht="15" hidden="false" customHeight="false" outlineLevel="0" collapsed="false">
      <c r="A17" s="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10" min="6" style="0" width="12"/>
  </cols>
  <sheetData>
    <row r="1" customFormat="false" ht="17.1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3" customFormat="false" ht="15" hidden="false" customHeight="false" outlineLevel="0" collapsed="false">
      <c r="A3" s="21" t="s">
        <v>58</v>
      </c>
      <c r="B3" s="21" t="s">
        <v>59</v>
      </c>
      <c r="C3" s="21" t="s">
        <v>60</v>
      </c>
      <c r="D3" s="21" t="s">
        <v>61</v>
      </c>
      <c r="E3" s="21" t="s">
        <v>62</v>
      </c>
      <c r="F3" s="21" t="s">
        <v>63</v>
      </c>
      <c r="G3" s="22" t="s">
        <v>64</v>
      </c>
      <c r="H3" s="22" t="s">
        <v>65</v>
      </c>
      <c r="I3" s="22" t="s">
        <v>66</v>
      </c>
      <c r="J3" s="22" t="s">
        <v>67</v>
      </c>
    </row>
    <row r="4" customFormat="false" ht="15" hidden="false" customHeight="false" outlineLevel="0" collapsed="false">
      <c r="A4" s="30" t="n">
        <v>1</v>
      </c>
      <c r="B4" s="30" t="n">
        <f aca="false">IF(INT((A4-1)/가정!$B$12)+1&gt;10,"끝",INT((A4-1)/가정!$B$12)+1)</f>
        <v>1</v>
      </c>
      <c r="C4" s="16" t="n">
        <f aca="false">IF(B4="끝",0,가정!$B$14*가정!$B$8^(B4-1))</f>
        <v>7</v>
      </c>
      <c r="D4" s="17" t="n">
        <f aca="false">C4*가정!$B$13</f>
        <v>212.916666666667</v>
      </c>
      <c r="E4" s="30" t="n">
        <f aca="false">D4</f>
        <v>212.916666666667</v>
      </c>
      <c r="F4" s="31" t="n">
        <f aca="false">E4*가정!$B$22-가정!$B$6</f>
        <v>-356.944422916667</v>
      </c>
      <c r="G4" s="31" t="n">
        <f aca="false">E4*가정!$B$18-가정!$B$6</f>
        <v>-348.541666666667</v>
      </c>
      <c r="H4" s="31" t="n">
        <f aca="false">E4*가정!$B$19-가정!$B$6</f>
        <v>-242.083333333333</v>
      </c>
      <c r="I4" s="31" t="n">
        <f aca="false">E4*가정!$B$20-가정!$B$6</f>
        <v>-135.625</v>
      </c>
      <c r="J4" s="31" t="n">
        <f aca="false">E4*가정!$B$21-가정!$B$6</f>
        <v>-29.1666666666666</v>
      </c>
    </row>
    <row r="5" customFormat="false" ht="15" hidden="false" customHeight="false" outlineLevel="0" collapsed="false">
      <c r="A5" s="30" t="n">
        <v>2</v>
      </c>
      <c r="B5" s="30" t="n">
        <f aca="false">IF(INT((A5-1)/가정!$B$12)+1&gt;10,"끝",INT((A5-1)/가정!$B$12)+1)</f>
        <v>1</v>
      </c>
      <c r="C5" s="16" t="n">
        <f aca="false">IF(B5="끝",0,가정!$B$14*가정!$B$8^(B5-1))</f>
        <v>7</v>
      </c>
      <c r="D5" s="17" t="n">
        <f aca="false">C5*가정!$B$13</f>
        <v>212.916666666667</v>
      </c>
      <c r="E5" s="30" t="n">
        <f aca="false">E4+D5</f>
        <v>425.833333333333</v>
      </c>
      <c r="F5" s="31" t="n">
        <f aca="false">E5*가정!$B$22-가정!$B$6</f>
        <v>-258.888845833333</v>
      </c>
      <c r="G5" s="31" t="n">
        <f aca="false">E5*가정!$B$18-가정!$B$6</f>
        <v>-242.083333333333</v>
      </c>
      <c r="H5" s="31" t="n">
        <f aca="false">E5*가정!$B$19-가정!$B$6</f>
        <v>-29.1666666666666</v>
      </c>
      <c r="I5" s="31" t="n">
        <f aca="false">E5*가정!$B$20-가정!$B$6</f>
        <v>183.75</v>
      </c>
      <c r="J5" s="31" t="n">
        <f aca="false">E5*가정!$B$21-가정!$B$6</f>
        <v>396.666666666667</v>
      </c>
    </row>
    <row r="6" customFormat="false" ht="15" hidden="false" customHeight="false" outlineLevel="0" collapsed="false">
      <c r="A6" s="30" t="n">
        <v>3</v>
      </c>
      <c r="B6" s="30" t="n">
        <f aca="false">IF(INT((A6-1)/가정!$B$12)+1&gt;10,"끝",INT((A6-1)/가정!$B$12)+1)</f>
        <v>1</v>
      </c>
      <c r="C6" s="16" t="n">
        <f aca="false">IF(B6="끝",0,가정!$B$14*가정!$B$8^(B6-1))</f>
        <v>7</v>
      </c>
      <c r="D6" s="17" t="n">
        <f aca="false">C6*가정!$B$13</f>
        <v>212.916666666667</v>
      </c>
      <c r="E6" s="30" t="n">
        <f aca="false">E5+D6</f>
        <v>638.75</v>
      </c>
      <c r="F6" s="31" t="n">
        <f aca="false">E6*가정!$B$22-가정!$B$6</f>
        <v>-160.83326875</v>
      </c>
      <c r="G6" s="31" t="n">
        <f aca="false">E6*가정!$B$18-가정!$B$6</f>
        <v>-135.625</v>
      </c>
      <c r="H6" s="31" t="n">
        <f aca="false">E6*가정!$B$19-가정!$B$6</f>
        <v>183.75</v>
      </c>
      <c r="I6" s="31" t="n">
        <f aca="false">E6*가정!$B$20-가정!$B$6</f>
        <v>503.125</v>
      </c>
      <c r="J6" s="31" t="n">
        <f aca="false">E6*가정!$B$21-가정!$B$6</f>
        <v>822.5</v>
      </c>
    </row>
    <row r="7" customFormat="false" ht="15" hidden="false" customHeight="false" outlineLevel="0" collapsed="false">
      <c r="A7" s="30" t="n">
        <v>4</v>
      </c>
      <c r="B7" s="30" t="n">
        <f aca="false">IF(INT((A7-1)/가정!$B$12)+1&gt;10,"끝",INT((A7-1)/가정!$B$12)+1)</f>
        <v>1</v>
      </c>
      <c r="C7" s="16" t="n">
        <f aca="false">IF(B7="끝",0,가정!$B$14*가정!$B$8^(B7-1))</f>
        <v>7</v>
      </c>
      <c r="D7" s="17" t="n">
        <f aca="false">C7*가정!$B$13</f>
        <v>212.916666666667</v>
      </c>
      <c r="E7" s="30" t="n">
        <f aca="false">E6+D7</f>
        <v>851.666666666667</v>
      </c>
      <c r="F7" s="31" t="n">
        <f aca="false">E7*가정!$B$22-가정!$B$6</f>
        <v>-62.7776916666666</v>
      </c>
      <c r="G7" s="31" t="n">
        <f aca="false">E7*가정!$B$18-가정!$B$6</f>
        <v>-29.1666666666666</v>
      </c>
      <c r="H7" s="31" t="n">
        <f aca="false">E7*가정!$B$19-가정!$B$6</f>
        <v>396.666666666667</v>
      </c>
      <c r="I7" s="31" t="n">
        <f aca="false">E7*가정!$B$20-가정!$B$6</f>
        <v>822.5</v>
      </c>
      <c r="J7" s="31" t="n">
        <f aca="false">E7*가정!$B$21-가정!$B$6</f>
        <v>1248.33333333333</v>
      </c>
    </row>
    <row r="8" customFormat="false" ht="15" hidden="false" customHeight="false" outlineLevel="0" collapsed="false">
      <c r="A8" s="30" t="n">
        <v>5</v>
      </c>
      <c r="B8" s="30" t="n">
        <f aca="false">IF(INT((A8-1)/가정!$B$12)+1&gt;10,"끝",INT((A8-1)/가정!$B$12)+1)</f>
        <v>1</v>
      </c>
      <c r="C8" s="16" t="n">
        <f aca="false">IF(B8="끝",0,가정!$B$14*가정!$B$8^(B8-1))</f>
        <v>7</v>
      </c>
      <c r="D8" s="17" t="n">
        <f aca="false">C8*가정!$B$13</f>
        <v>212.916666666667</v>
      </c>
      <c r="E8" s="30" t="n">
        <f aca="false">E7+D8</f>
        <v>1064.58333333333</v>
      </c>
      <c r="F8" s="31" t="n">
        <f aca="false">E8*가정!$B$22-가정!$B$6</f>
        <v>35.2778854166668</v>
      </c>
      <c r="G8" s="31" t="n">
        <f aca="false">E8*가정!$B$18-가정!$B$6</f>
        <v>77.2916666666668</v>
      </c>
      <c r="H8" s="31" t="n">
        <f aca="false">E8*가정!$B$19-가정!$B$6</f>
        <v>609.583333333334</v>
      </c>
      <c r="I8" s="31" t="n">
        <f aca="false">E8*가정!$B$20-가정!$B$6</f>
        <v>1141.875</v>
      </c>
      <c r="J8" s="31" t="n">
        <f aca="false">E8*가정!$B$21-가정!$B$6</f>
        <v>1674.16666666667</v>
      </c>
    </row>
    <row r="9" customFormat="false" ht="15" hidden="false" customHeight="false" outlineLevel="0" collapsed="false">
      <c r="A9" s="30" t="n">
        <v>6</v>
      </c>
      <c r="B9" s="30" t="n">
        <f aca="false">IF(INT((A9-1)/가정!$B$12)+1&gt;10,"끝",INT((A9-1)/가정!$B$12)+1)</f>
        <v>1</v>
      </c>
      <c r="C9" s="16" t="n">
        <f aca="false">IF(B9="끝",0,가정!$B$14*가정!$B$8^(B9-1))</f>
        <v>7</v>
      </c>
      <c r="D9" s="17" t="n">
        <f aca="false">C9*가정!$B$13</f>
        <v>212.916666666667</v>
      </c>
      <c r="E9" s="30" t="n">
        <f aca="false">E8+D9</f>
        <v>1277.5</v>
      </c>
      <c r="F9" s="31" t="n">
        <f aca="false">E9*가정!$B$22-가정!$B$6</f>
        <v>133.3334625</v>
      </c>
      <c r="G9" s="31" t="n">
        <f aca="false">E9*가정!$B$18-가정!$B$6</f>
        <v>183.75</v>
      </c>
      <c r="H9" s="31" t="n">
        <f aca="false">E9*가정!$B$19-가정!$B$6</f>
        <v>822.5</v>
      </c>
      <c r="I9" s="31" t="n">
        <f aca="false">E9*가정!$B$20-가정!$B$6</f>
        <v>1461.25</v>
      </c>
      <c r="J9" s="31" t="n">
        <f aca="false">E9*가정!$B$21-가정!$B$6</f>
        <v>2100</v>
      </c>
    </row>
    <row r="10" customFormat="false" ht="15" hidden="false" customHeight="false" outlineLevel="0" collapsed="false">
      <c r="A10" s="30" t="n">
        <v>7</v>
      </c>
      <c r="B10" s="30" t="n">
        <f aca="false">IF(INT((A10-1)/가정!$B$12)+1&gt;10,"끝",INT((A10-1)/가정!$B$12)+1)</f>
        <v>1</v>
      </c>
      <c r="C10" s="16" t="n">
        <f aca="false">IF(B10="끝",0,가정!$B$14*가정!$B$8^(B10-1))</f>
        <v>7</v>
      </c>
      <c r="D10" s="17" t="n">
        <f aca="false">C10*가정!$B$13</f>
        <v>212.916666666667</v>
      </c>
      <c r="E10" s="30" t="n">
        <f aca="false">E9+D10</f>
        <v>1490.41666666667</v>
      </c>
      <c r="F10" s="31" t="n">
        <f aca="false">E10*가정!$B$22-가정!$B$6</f>
        <v>231.389039583334</v>
      </c>
      <c r="G10" s="31" t="n">
        <f aca="false">E10*가정!$B$18-가정!$B$6</f>
        <v>290.208333333334</v>
      </c>
      <c r="H10" s="31" t="n">
        <f aca="false">E10*가정!$B$19-가정!$B$6</f>
        <v>1035.41666666667</v>
      </c>
      <c r="I10" s="31" t="n">
        <f aca="false">E10*가정!$B$20-가정!$B$6</f>
        <v>1780.625</v>
      </c>
      <c r="J10" s="31" t="n">
        <f aca="false">E10*가정!$B$21-가정!$B$6</f>
        <v>2525.83333333333</v>
      </c>
    </row>
    <row r="11" customFormat="false" ht="15" hidden="false" customHeight="false" outlineLevel="0" collapsed="false">
      <c r="A11" s="30" t="n">
        <v>8</v>
      </c>
      <c r="B11" s="30" t="n">
        <f aca="false">IF(INT((A11-1)/가정!$B$12)+1&gt;10,"끝",INT((A11-1)/가정!$B$12)+1)</f>
        <v>1</v>
      </c>
      <c r="C11" s="16" t="n">
        <f aca="false">IF(B11="끝",0,가정!$B$14*가정!$B$8^(B11-1))</f>
        <v>7</v>
      </c>
      <c r="D11" s="17" t="n">
        <f aca="false">C11*가정!$B$13</f>
        <v>212.916666666667</v>
      </c>
      <c r="E11" s="30" t="n">
        <f aca="false">E10+D11</f>
        <v>1703.33333333333</v>
      </c>
      <c r="F11" s="31" t="n">
        <f aca="false">E11*가정!$B$22-가정!$B$6</f>
        <v>329.444616666667</v>
      </c>
      <c r="G11" s="31" t="n">
        <f aca="false">E11*가정!$B$18-가정!$B$6</f>
        <v>396.666666666667</v>
      </c>
      <c r="H11" s="31" t="n">
        <f aca="false">E11*가정!$B$19-가정!$B$6</f>
        <v>1248.33333333333</v>
      </c>
      <c r="I11" s="31" t="n">
        <f aca="false">E11*가정!$B$20-가정!$B$6</f>
        <v>2100</v>
      </c>
      <c r="J11" s="31" t="n">
        <f aca="false">E11*가정!$B$21-가정!$B$6</f>
        <v>2951.66666666667</v>
      </c>
    </row>
    <row r="12" customFormat="false" ht="15" hidden="false" customHeight="false" outlineLevel="0" collapsed="false">
      <c r="A12" s="30" t="n">
        <v>9</v>
      </c>
      <c r="B12" s="30" t="n">
        <f aca="false">IF(INT((A12-1)/가정!$B$12)+1&gt;10,"끝",INT((A12-1)/가정!$B$12)+1)</f>
        <v>1</v>
      </c>
      <c r="C12" s="16" t="n">
        <f aca="false">IF(B12="끝",0,가정!$B$14*가정!$B$8^(B12-1))</f>
        <v>7</v>
      </c>
      <c r="D12" s="17" t="n">
        <f aca="false">C12*가정!$B$13</f>
        <v>212.916666666667</v>
      </c>
      <c r="E12" s="30" t="n">
        <f aca="false">E11+D12</f>
        <v>1916.25</v>
      </c>
      <c r="F12" s="31" t="n">
        <f aca="false">E12*가정!$B$22-가정!$B$6</f>
        <v>427.50019375</v>
      </c>
      <c r="G12" s="31" t="n">
        <f aca="false">E12*가정!$B$18-가정!$B$6</f>
        <v>503.125</v>
      </c>
      <c r="H12" s="31" t="n">
        <f aca="false">E12*가정!$B$19-가정!$B$6</f>
        <v>1461.25</v>
      </c>
      <c r="I12" s="31" t="n">
        <f aca="false">E12*가정!$B$20-가정!$B$6</f>
        <v>2419.375</v>
      </c>
      <c r="J12" s="31" t="n">
        <f aca="false">E12*가정!$B$21-가정!$B$6</f>
        <v>3377.5</v>
      </c>
    </row>
    <row r="13" customFormat="false" ht="15" hidden="false" customHeight="false" outlineLevel="0" collapsed="false">
      <c r="A13" s="30" t="n">
        <v>10</v>
      </c>
      <c r="B13" s="30" t="n">
        <f aca="false">IF(INT((A13-1)/가정!$B$12)+1&gt;10,"끝",INT((A13-1)/가정!$B$12)+1)</f>
        <v>1</v>
      </c>
      <c r="C13" s="16" t="n">
        <f aca="false">IF(B13="끝",0,가정!$B$14*가정!$B$8^(B13-1))</f>
        <v>7</v>
      </c>
      <c r="D13" s="17" t="n">
        <f aca="false">C13*가정!$B$13</f>
        <v>212.916666666667</v>
      </c>
      <c r="E13" s="30" t="n">
        <f aca="false">E12+D13</f>
        <v>2129.16666666667</v>
      </c>
      <c r="F13" s="31" t="n">
        <f aca="false">E13*가정!$B$22-가정!$B$6</f>
        <v>525.555770833334</v>
      </c>
      <c r="G13" s="31" t="n">
        <f aca="false">E13*가정!$B$18-가정!$B$6</f>
        <v>609.583333333334</v>
      </c>
      <c r="H13" s="31" t="n">
        <f aca="false">E13*가정!$B$19-가정!$B$6</f>
        <v>1674.16666666667</v>
      </c>
      <c r="I13" s="31" t="n">
        <f aca="false">E13*가정!$B$20-가정!$B$6</f>
        <v>2738.75</v>
      </c>
      <c r="J13" s="31" t="n">
        <f aca="false">E13*가정!$B$21-가정!$B$6</f>
        <v>3803.33333333333</v>
      </c>
    </row>
    <row r="14" customFormat="false" ht="15" hidden="false" customHeight="false" outlineLevel="0" collapsed="false">
      <c r="A14" s="30" t="n">
        <v>11</v>
      </c>
      <c r="B14" s="30" t="n">
        <f aca="false">IF(INT((A14-1)/가정!$B$12)+1&gt;10,"끝",INT((A14-1)/가정!$B$12)+1)</f>
        <v>1</v>
      </c>
      <c r="C14" s="16" t="n">
        <f aca="false">IF(B14="끝",0,가정!$B$14*가정!$B$8^(B14-1))</f>
        <v>7</v>
      </c>
      <c r="D14" s="17" t="n">
        <f aca="false">C14*가정!$B$13</f>
        <v>212.916666666667</v>
      </c>
      <c r="E14" s="30" t="n">
        <f aca="false">E13+D14</f>
        <v>2342.08333333333</v>
      </c>
      <c r="F14" s="31" t="n">
        <f aca="false">E14*가정!$B$22-가정!$B$6</f>
        <v>623.611347916667</v>
      </c>
      <c r="G14" s="31" t="n">
        <f aca="false">E14*가정!$B$18-가정!$B$6</f>
        <v>716.041666666667</v>
      </c>
      <c r="H14" s="31" t="n">
        <f aca="false">E14*가정!$B$19-가정!$B$6</f>
        <v>1887.08333333333</v>
      </c>
      <c r="I14" s="31" t="n">
        <f aca="false">E14*가정!$B$20-가정!$B$6</f>
        <v>3058.125</v>
      </c>
      <c r="J14" s="31" t="n">
        <f aca="false">E14*가정!$B$21-가정!$B$6</f>
        <v>4229.16666666667</v>
      </c>
    </row>
    <row r="15" customFormat="false" ht="15" hidden="false" customHeight="false" outlineLevel="0" collapsed="false">
      <c r="A15" s="30" t="n">
        <v>12</v>
      </c>
      <c r="B15" s="30" t="n">
        <f aca="false">IF(INT((A15-1)/가정!$B$12)+1&gt;10,"끝",INT((A15-1)/가정!$B$12)+1)</f>
        <v>1</v>
      </c>
      <c r="C15" s="16" t="n">
        <f aca="false">IF(B15="끝",0,가정!$B$14*가정!$B$8^(B15-1))</f>
        <v>7</v>
      </c>
      <c r="D15" s="17" t="n">
        <f aca="false">C15*가정!$B$13</f>
        <v>212.916666666667</v>
      </c>
      <c r="E15" s="30" t="n">
        <f aca="false">E14+D15</f>
        <v>2555</v>
      </c>
      <c r="F15" s="31" t="n">
        <f aca="false">E15*가정!$B$22-가정!$B$6</f>
        <v>721.666925</v>
      </c>
      <c r="G15" s="31" t="n">
        <f aca="false">E15*가정!$B$18-가정!$B$6</f>
        <v>822.5</v>
      </c>
      <c r="H15" s="31" t="n">
        <f aca="false">E15*가정!$B$19-가정!$B$6</f>
        <v>2100</v>
      </c>
      <c r="I15" s="31" t="n">
        <f aca="false">E15*가정!$B$20-가정!$B$6</f>
        <v>3377.5</v>
      </c>
      <c r="J15" s="31" t="n">
        <f aca="false">E15*가정!$B$21-가정!$B$6</f>
        <v>4655</v>
      </c>
    </row>
    <row r="16" customFormat="false" ht="15" hidden="false" customHeight="false" outlineLevel="0" collapsed="false">
      <c r="A16" s="30" t="n">
        <v>13</v>
      </c>
      <c r="B16" s="30" t="n">
        <f aca="false">IF(INT((A16-1)/가정!$B$12)+1&gt;10,"끝",INT((A16-1)/가정!$B$12)+1)</f>
        <v>2</v>
      </c>
      <c r="C16" s="16" t="n">
        <f aca="false">IF(B16="끝",0,가정!$B$14*가정!$B$8^(B16-1))</f>
        <v>5.46</v>
      </c>
      <c r="D16" s="17" t="n">
        <f aca="false">C16*가정!$B$13</f>
        <v>166.075</v>
      </c>
      <c r="E16" s="30" t="n">
        <f aca="false">E15+D16</f>
        <v>2721.075</v>
      </c>
      <c r="F16" s="31" t="n">
        <f aca="false">E16*가정!$B$22-가정!$B$6</f>
        <v>798.150275125</v>
      </c>
      <c r="G16" s="31" t="n">
        <f aca="false">E16*가정!$B$18-가정!$B$6</f>
        <v>905.5375</v>
      </c>
      <c r="H16" s="31" t="n">
        <f aca="false">E16*가정!$B$19-가정!$B$6</f>
        <v>2266.075</v>
      </c>
      <c r="I16" s="31" t="n">
        <f aca="false">E16*가정!$B$20-가정!$B$6</f>
        <v>3626.6125</v>
      </c>
      <c r="J16" s="31" t="n">
        <f aca="false">E16*가정!$B$21-가정!$B$6</f>
        <v>4987.15</v>
      </c>
    </row>
    <row r="17" customFormat="false" ht="15" hidden="false" customHeight="false" outlineLevel="0" collapsed="false">
      <c r="A17" s="30" t="n">
        <v>14</v>
      </c>
      <c r="B17" s="30" t="n">
        <f aca="false">IF(INT((A17-1)/가정!$B$12)+1&gt;10,"끝",INT((A17-1)/가정!$B$12)+1)</f>
        <v>2</v>
      </c>
      <c r="C17" s="16" t="n">
        <f aca="false">IF(B17="끝",0,가정!$B$14*가정!$B$8^(B17-1))</f>
        <v>5.46</v>
      </c>
      <c r="D17" s="17" t="n">
        <f aca="false">C17*가정!$B$13</f>
        <v>166.075</v>
      </c>
      <c r="E17" s="30" t="n">
        <f aca="false">E16+D17</f>
        <v>2887.15</v>
      </c>
      <c r="F17" s="31" t="n">
        <f aca="false">E17*가정!$B$22-가정!$B$6</f>
        <v>874.63362525</v>
      </c>
      <c r="G17" s="31" t="n">
        <f aca="false">E17*가정!$B$18-가정!$B$6</f>
        <v>988.575</v>
      </c>
      <c r="H17" s="31" t="n">
        <f aca="false">E17*가정!$B$19-가정!$B$6</f>
        <v>2432.15</v>
      </c>
      <c r="I17" s="31" t="n">
        <f aca="false">E17*가정!$B$20-가정!$B$6</f>
        <v>3875.725</v>
      </c>
      <c r="J17" s="31" t="n">
        <f aca="false">E17*가정!$B$21-가정!$B$6</f>
        <v>5319.3</v>
      </c>
    </row>
    <row r="18" customFormat="false" ht="15" hidden="false" customHeight="false" outlineLevel="0" collapsed="false">
      <c r="A18" s="30" t="n">
        <v>15</v>
      </c>
      <c r="B18" s="30" t="n">
        <f aca="false">IF(INT((A18-1)/가정!$B$12)+1&gt;10,"끝",INT((A18-1)/가정!$B$12)+1)</f>
        <v>2</v>
      </c>
      <c r="C18" s="16" t="n">
        <f aca="false">IF(B18="끝",0,가정!$B$14*가정!$B$8^(B18-1))</f>
        <v>5.46</v>
      </c>
      <c r="D18" s="17" t="n">
        <f aca="false">C18*가정!$B$13</f>
        <v>166.075</v>
      </c>
      <c r="E18" s="30" t="n">
        <f aca="false">E17+D18</f>
        <v>3053.225</v>
      </c>
      <c r="F18" s="31" t="n">
        <f aca="false">E18*가정!$B$22-가정!$B$6</f>
        <v>951.116975375</v>
      </c>
      <c r="G18" s="31" t="n">
        <f aca="false">E18*가정!$B$18-가정!$B$6</f>
        <v>1071.6125</v>
      </c>
      <c r="H18" s="31" t="n">
        <f aca="false">E18*가정!$B$19-가정!$B$6</f>
        <v>2598.225</v>
      </c>
      <c r="I18" s="31" t="n">
        <f aca="false">E18*가정!$B$20-가정!$B$6</f>
        <v>4124.8375</v>
      </c>
      <c r="J18" s="31" t="n">
        <f aca="false">E18*가정!$B$21-가정!$B$6</f>
        <v>5651.45</v>
      </c>
    </row>
    <row r="19" customFormat="false" ht="15" hidden="false" customHeight="false" outlineLevel="0" collapsed="false">
      <c r="A19" s="30" t="n">
        <v>16</v>
      </c>
      <c r="B19" s="30" t="n">
        <f aca="false">IF(INT((A19-1)/가정!$B$12)+1&gt;10,"끝",INT((A19-1)/가정!$B$12)+1)</f>
        <v>2</v>
      </c>
      <c r="C19" s="16" t="n">
        <f aca="false">IF(B19="끝",0,가정!$B$14*가정!$B$8^(B19-1))</f>
        <v>5.46</v>
      </c>
      <c r="D19" s="17" t="n">
        <f aca="false">C19*가정!$B$13</f>
        <v>166.075</v>
      </c>
      <c r="E19" s="30" t="n">
        <f aca="false">E18+D19</f>
        <v>3219.3</v>
      </c>
      <c r="F19" s="31" t="n">
        <f aca="false">E19*가정!$B$22-가정!$B$6</f>
        <v>1027.6003255</v>
      </c>
      <c r="G19" s="31" t="n">
        <f aca="false">E19*가정!$B$18-가정!$B$6</f>
        <v>1154.65</v>
      </c>
      <c r="H19" s="31" t="n">
        <f aca="false">E19*가정!$B$19-가정!$B$6</f>
        <v>2764.3</v>
      </c>
      <c r="I19" s="31" t="n">
        <f aca="false">E19*가정!$B$20-가정!$B$6</f>
        <v>4373.95</v>
      </c>
      <c r="J19" s="31" t="n">
        <f aca="false">E19*가정!$B$21-가정!$B$6</f>
        <v>5983.6</v>
      </c>
    </row>
    <row r="20" customFormat="false" ht="15" hidden="false" customHeight="false" outlineLevel="0" collapsed="false">
      <c r="A20" s="30" t="n">
        <v>17</v>
      </c>
      <c r="B20" s="30" t="n">
        <f aca="false">IF(INT((A20-1)/가정!$B$12)+1&gt;10,"끝",INT((A20-1)/가정!$B$12)+1)</f>
        <v>2</v>
      </c>
      <c r="C20" s="16" t="n">
        <f aca="false">IF(B20="끝",0,가정!$B$14*가정!$B$8^(B20-1))</f>
        <v>5.46</v>
      </c>
      <c r="D20" s="17" t="n">
        <f aca="false">C20*가정!$B$13</f>
        <v>166.075</v>
      </c>
      <c r="E20" s="30" t="n">
        <f aca="false">E19+D20</f>
        <v>3385.375</v>
      </c>
      <c r="F20" s="31" t="n">
        <f aca="false">E20*가정!$B$22-가정!$B$6</f>
        <v>1104.083675625</v>
      </c>
      <c r="G20" s="31" t="n">
        <f aca="false">E20*가정!$B$18-가정!$B$6</f>
        <v>1237.6875</v>
      </c>
      <c r="H20" s="31" t="n">
        <f aca="false">E20*가정!$B$19-가정!$B$6</f>
        <v>2930.375</v>
      </c>
      <c r="I20" s="31" t="n">
        <f aca="false">E20*가정!$B$20-가정!$B$6</f>
        <v>4623.0625</v>
      </c>
      <c r="J20" s="31" t="n">
        <f aca="false">E20*가정!$B$21-가정!$B$6</f>
        <v>6315.75</v>
      </c>
    </row>
    <row r="21" customFormat="false" ht="15" hidden="false" customHeight="false" outlineLevel="0" collapsed="false">
      <c r="A21" s="30" t="n">
        <v>18</v>
      </c>
      <c r="B21" s="30" t="n">
        <f aca="false">IF(INT((A21-1)/가정!$B$12)+1&gt;10,"끝",INT((A21-1)/가정!$B$12)+1)</f>
        <v>2</v>
      </c>
      <c r="C21" s="16" t="n">
        <f aca="false">IF(B21="끝",0,가정!$B$14*가정!$B$8^(B21-1))</f>
        <v>5.46</v>
      </c>
      <c r="D21" s="17" t="n">
        <f aca="false">C21*가정!$B$13</f>
        <v>166.075</v>
      </c>
      <c r="E21" s="30" t="n">
        <f aca="false">E20+D21</f>
        <v>3551.45</v>
      </c>
      <c r="F21" s="31" t="n">
        <f aca="false">E21*가정!$B$22-가정!$B$6</f>
        <v>1180.56702575</v>
      </c>
      <c r="G21" s="31" t="n">
        <f aca="false">E21*가정!$B$18-가정!$B$6</f>
        <v>1320.725</v>
      </c>
      <c r="H21" s="31" t="n">
        <f aca="false">E21*가정!$B$19-가정!$B$6</f>
        <v>3096.45</v>
      </c>
      <c r="I21" s="31" t="n">
        <f aca="false">E21*가정!$B$20-가정!$B$6</f>
        <v>4872.175</v>
      </c>
      <c r="J21" s="31" t="n">
        <f aca="false">E21*가정!$B$21-가정!$B$6</f>
        <v>6647.9</v>
      </c>
    </row>
    <row r="22" customFormat="false" ht="15" hidden="false" customHeight="false" outlineLevel="0" collapsed="false">
      <c r="A22" s="30" t="n">
        <v>19</v>
      </c>
      <c r="B22" s="30" t="n">
        <f aca="false">IF(INT((A22-1)/가정!$B$12)+1&gt;10,"끝",INT((A22-1)/가정!$B$12)+1)</f>
        <v>2</v>
      </c>
      <c r="C22" s="16" t="n">
        <f aca="false">IF(B22="끝",0,가정!$B$14*가정!$B$8^(B22-1))</f>
        <v>5.46</v>
      </c>
      <c r="D22" s="17" t="n">
        <f aca="false">C22*가정!$B$13</f>
        <v>166.075</v>
      </c>
      <c r="E22" s="30" t="n">
        <f aca="false">E21+D22</f>
        <v>3717.525</v>
      </c>
      <c r="F22" s="31" t="n">
        <f aca="false">E22*가정!$B$22-가정!$B$6</f>
        <v>1257.050375875</v>
      </c>
      <c r="G22" s="31" t="n">
        <f aca="false">E22*가정!$B$18-가정!$B$6</f>
        <v>1403.7625</v>
      </c>
      <c r="H22" s="31" t="n">
        <f aca="false">E22*가정!$B$19-가정!$B$6</f>
        <v>3262.525</v>
      </c>
      <c r="I22" s="31" t="n">
        <f aca="false">E22*가정!$B$20-가정!$B$6</f>
        <v>5121.2875</v>
      </c>
      <c r="J22" s="31" t="n">
        <f aca="false">E22*가정!$B$21-가정!$B$6</f>
        <v>6980.05</v>
      </c>
    </row>
    <row r="23" customFormat="false" ht="15" hidden="false" customHeight="false" outlineLevel="0" collapsed="false">
      <c r="A23" s="30" t="n">
        <v>20</v>
      </c>
      <c r="B23" s="30" t="n">
        <f aca="false">IF(INT((A23-1)/가정!$B$12)+1&gt;10,"끝",INT((A23-1)/가정!$B$12)+1)</f>
        <v>2</v>
      </c>
      <c r="C23" s="16" t="n">
        <f aca="false">IF(B23="끝",0,가정!$B$14*가정!$B$8^(B23-1))</f>
        <v>5.46</v>
      </c>
      <c r="D23" s="17" t="n">
        <f aca="false">C23*가정!$B$13</f>
        <v>166.075</v>
      </c>
      <c r="E23" s="30" t="n">
        <f aca="false">E22+D23</f>
        <v>3883.6</v>
      </c>
      <c r="F23" s="31" t="n">
        <f aca="false">E23*가정!$B$22-가정!$B$6</f>
        <v>1333.533726</v>
      </c>
      <c r="G23" s="31" t="n">
        <f aca="false">E23*가정!$B$18-가정!$B$6</f>
        <v>1486.8</v>
      </c>
      <c r="H23" s="31" t="n">
        <f aca="false">E23*가정!$B$19-가정!$B$6</f>
        <v>3428.6</v>
      </c>
      <c r="I23" s="31" t="n">
        <f aca="false">E23*가정!$B$20-가정!$B$6</f>
        <v>5370.4</v>
      </c>
      <c r="J23" s="31" t="n">
        <f aca="false">E23*가정!$B$21-가정!$B$6</f>
        <v>7312.2</v>
      </c>
    </row>
    <row r="24" customFormat="false" ht="15" hidden="false" customHeight="false" outlineLevel="0" collapsed="false">
      <c r="A24" s="30" t="n">
        <v>21</v>
      </c>
      <c r="B24" s="30" t="n">
        <f aca="false">IF(INT((A24-1)/가정!$B$12)+1&gt;10,"끝",INT((A24-1)/가정!$B$12)+1)</f>
        <v>2</v>
      </c>
      <c r="C24" s="16" t="n">
        <f aca="false">IF(B24="끝",0,가정!$B$14*가정!$B$8^(B24-1))</f>
        <v>5.46</v>
      </c>
      <c r="D24" s="17" t="n">
        <f aca="false">C24*가정!$B$13</f>
        <v>166.075</v>
      </c>
      <c r="E24" s="30" t="n">
        <f aca="false">E23+D24</f>
        <v>4049.675</v>
      </c>
      <c r="F24" s="31" t="n">
        <f aca="false">E24*가정!$B$22-가정!$B$6</f>
        <v>1410.017076125</v>
      </c>
      <c r="G24" s="31" t="n">
        <f aca="false">E24*가정!$B$18-가정!$B$6</f>
        <v>1569.8375</v>
      </c>
      <c r="H24" s="31" t="n">
        <f aca="false">E24*가정!$B$19-가정!$B$6</f>
        <v>3594.675</v>
      </c>
      <c r="I24" s="31" t="n">
        <f aca="false">E24*가정!$B$20-가정!$B$6</f>
        <v>5619.5125</v>
      </c>
      <c r="J24" s="31" t="n">
        <f aca="false">E24*가정!$B$21-가정!$B$6</f>
        <v>7644.35</v>
      </c>
    </row>
    <row r="25" customFormat="false" ht="15" hidden="false" customHeight="false" outlineLevel="0" collapsed="false">
      <c r="A25" s="30" t="n">
        <v>22</v>
      </c>
      <c r="B25" s="30" t="n">
        <f aca="false">IF(INT((A25-1)/가정!$B$12)+1&gt;10,"끝",INT((A25-1)/가정!$B$12)+1)</f>
        <v>2</v>
      </c>
      <c r="C25" s="16" t="n">
        <f aca="false">IF(B25="끝",0,가정!$B$14*가정!$B$8^(B25-1))</f>
        <v>5.46</v>
      </c>
      <c r="D25" s="17" t="n">
        <f aca="false">C25*가정!$B$13</f>
        <v>166.075</v>
      </c>
      <c r="E25" s="30" t="n">
        <f aca="false">E24+D25</f>
        <v>4215.75</v>
      </c>
      <c r="F25" s="31" t="n">
        <f aca="false">E25*가정!$B$22-가정!$B$6</f>
        <v>1486.50042625</v>
      </c>
      <c r="G25" s="31" t="n">
        <f aca="false">E25*가정!$B$18-가정!$B$6</f>
        <v>1652.875</v>
      </c>
      <c r="H25" s="31" t="n">
        <f aca="false">E25*가정!$B$19-가정!$B$6</f>
        <v>3760.75</v>
      </c>
      <c r="I25" s="31" t="n">
        <f aca="false">E25*가정!$B$20-가정!$B$6</f>
        <v>5868.625</v>
      </c>
      <c r="J25" s="31" t="n">
        <f aca="false">E25*가정!$B$21-가정!$B$6</f>
        <v>7976.5</v>
      </c>
    </row>
    <row r="26" customFormat="false" ht="15" hidden="false" customHeight="false" outlineLevel="0" collapsed="false">
      <c r="A26" s="30" t="n">
        <v>23</v>
      </c>
      <c r="B26" s="30" t="n">
        <f aca="false">IF(INT((A26-1)/가정!$B$12)+1&gt;10,"끝",INT((A26-1)/가정!$B$12)+1)</f>
        <v>2</v>
      </c>
      <c r="C26" s="16" t="n">
        <f aca="false">IF(B26="끝",0,가정!$B$14*가정!$B$8^(B26-1))</f>
        <v>5.46</v>
      </c>
      <c r="D26" s="17" t="n">
        <f aca="false">C26*가정!$B$13</f>
        <v>166.075</v>
      </c>
      <c r="E26" s="30" t="n">
        <f aca="false">E25+D26</f>
        <v>4381.825</v>
      </c>
      <c r="F26" s="31" t="n">
        <f aca="false">E26*가정!$B$22-가정!$B$6</f>
        <v>1562.983776375</v>
      </c>
      <c r="G26" s="31" t="n">
        <f aca="false">E26*가정!$B$18-가정!$B$6</f>
        <v>1735.9125</v>
      </c>
      <c r="H26" s="31" t="n">
        <f aca="false">E26*가정!$B$19-가정!$B$6</f>
        <v>3926.825</v>
      </c>
      <c r="I26" s="31" t="n">
        <f aca="false">E26*가정!$B$20-가정!$B$6</f>
        <v>6117.7375</v>
      </c>
      <c r="J26" s="31" t="n">
        <f aca="false">E26*가정!$B$21-가정!$B$6</f>
        <v>8308.65</v>
      </c>
    </row>
    <row r="27" customFormat="false" ht="15" hidden="false" customHeight="false" outlineLevel="0" collapsed="false">
      <c r="A27" s="30" t="n">
        <v>24</v>
      </c>
      <c r="B27" s="30" t="n">
        <f aca="false">IF(INT((A27-1)/가정!$B$12)+1&gt;10,"끝",INT((A27-1)/가정!$B$12)+1)</f>
        <v>2</v>
      </c>
      <c r="C27" s="16" t="n">
        <f aca="false">IF(B27="끝",0,가정!$B$14*가정!$B$8^(B27-1))</f>
        <v>5.46</v>
      </c>
      <c r="D27" s="17" t="n">
        <f aca="false">C27*가정!$B$13</f>
        <v>166.075</v>
      </c>
      <c r="E27" s="30" t="n">
        <f aca="false">E26+D27</f>
        <v>4547.9</v>
      </c>
      <c r="F27" s="31" t="n">
        <f aca="false">E27*가정!$B$22-가정!$B$6</f>
        <v>1639.4671265</v>
      </c>
      <c r="G27" s="31" t="n">
        <f aca="false">E27*가정!$B$18-가정!$B$6</f>
        <v>1818.95</v>
      </c>
      <c r="H27" s="31" t="n">
        <f aca="false">E27*가정!$B$19-가정!$B$6</f>
        <v>4092.9</v>
      </c>
      <c r="I27" s="31" t="n">
        <f aca="false">E27*가정!$B$20-가정!$B$6</f>
        <v>6366.85</v>
      </c>
      <c r="J27" s="31" t="n">
        <f aca="false">E27*가정!$B$21-가정!$B$6</f>
        <v>8640.8</v>
      </c>
    </row>
    <row r="28" customFormat="false" ht="15" hidden="false" customHeight="false" outlineLevel="0" collapsed="false">
      <c r="A28" s="30" t="n">
        <v>25</v>
      </c>
      <c r="B28" s="30" t="n">
        <f aca="false">IF(INT((A28-1)/가정!$B$12)+1&gt;10,"끝",INT((A28-1)/가정!$B$12)+1)</f>
        <v>3</v>
      </c>
      <c r="C28" s="16" t="n">
        <f aca="false">IF(B28="끝",0,가정!$B$14*가정!$B$8^(B28-1))</f>
        <v>4.2588</v>
      </c>
      <c r="D28" s="17" t="n">
        <f aca="false">C28*가정!$B$13</f>
        <v>129.5385</v>
      </c>
      <c r="E28" s="30" t="n">
        <f aca="false">E27+D28</f>
        <v>4677.4385</v>
      </c>
      <c r="F28" s="31" t="n">
        <f aca="false">E28*가정!$B$22-가정!$B$6</f>
        <v>1699.1241395975</v>
      </c>
      <c r="G28" s="31" t="n">
        <f aca="false">E28*가정!$B$18-가정!$B$6</f>
        <v>1883.71925</v>
      </c>
      <c r="H28" s="31" t="n">
        <f aca="false">E28*가정!$B$19-가정!$B$6</f>
        <v>4222.4385</v>
      </c>
      <c r="I28" s="31" t="n">
        <f aca="false">E28*가정!$B$20-가정!$B$6</f>
        <v>6561.15775</v>
      </c>
      <c r="J28" s="31" t="n">
        <f aca="false">E28*가정!$B$21-가정!$B$6</f>
        <v>8899.877</v>
      </c>
    </row>
    <row r="29" customFormat="false" ht="15" hidden="false" customHeight="false" outlineLevel="0" collapsed="false">
      <c r="A29" s="30" t="n">
        <v>26</v>
      </c>
      <c r="B29" s="30" t="n">
        <f aca="false">IF(INT((A29-1)/가정!$B$12)+1&gt;10,"끝",INT((A29-1)/가정!$B$12)+1)</f>
        <v>3</v>
      </c>
      <c r="C29" s="16" t="n">
        <f aca="false">IF(B29="끝",0,가정!$B$14*가정!$B$8^(B29-1))</f>
        <v>4.2588</v>
      </c>
      <c r="D29" s="17" t="n">
        <f aca="false">C29*가정!$B$13</f>
        <v>129.5385</v>
      </c>
      <c r="E29" s="30" t="n">
        <f aca="false">E28+D29</f>
        <v>4806.977</v>
      </c>
      <c r="F29" s="31" t="n">
        <f aca="false">E29*가정!$B$22-가정!$B$6</f>
        <v>1758.781152695</v>
      </c>
      <c r="G29" s="31" t="n">
        <f aca="false">E29*가정!$B$18-가정!$B$6</f>
        <v>1948.4885</v>
      </c>
      <c r="H29" s="31" t="n">
        <f aca="false">E29*가정!$B$19-가정!$B$6</f>
        <v>4351.977</v>
      </c>
      <c r="I29" s="31" t="n">
        <f aca="false">E29*가정!$B$20-가정!$B$6</f>
        <v>6755.4655</v>
      </c>
      <c r="J29" s="31" t="n">
        <f aca="false">E29*가정!$B$21-가정!$B$6</f>
        <v>9158.95399999999</v>
      </c>
    </row>
    <row r="30" customFormat="false" ht="15" hidden="false" customHeight="false" outlineLevel="0" collapsed="false">
      <c r="A30" s="30" t="n">
        <v>27</v>
      </c>
      <c r="B30" s="30" t="n">
        <f aca="false">IF(INT((A30-1)/가정!$B$12)+1&gt;10,"끝",INT((A30-1)/가정!$B$12)+1)</f>
        <v>3</v>
      </c>
      <c r="C30" s="16" t="n">
        <f aca="false">IF(B30="끝",0,가정!$B$14*가정!$B$8^(B30-1))</f>
        <v>4.2588</v>
      </c>
      <c r="D30" s="17" t="n">
        <f aca="false">C30*가정!$B$13</f>
        <v>129.5385</v>
      </c>
      <c r="E30" s="30" t="n">
        <f aca="false">E29+D30</f>
        <v>4936.5155</v>
      </c>
      <c r="F30" s="31" t="n">
        <f aca="false">E30*가정!$B$22-가정!$B$6</f>
        <v>1818.4381657925</v>
      </c>
      <c r="G30" s="31" t="n">
        <f aca="false">E30*가정!$B$18-가정!$B$6</f>
        <v>2013.25775</v>
      </c>
      <c r="H30" s="31" t="n">
        <f aca="false">E30*가정!$B$19-가정!$B$6</f>
        <v>4481.5155</v>
      </c>
      <c r="I30" s="31" t="n">
        <f aca="false">E30*가정!$B$20-가정!$B$6</f>
        <v>6949.77325</v>
      </c>
      <c r="J30" s="31" t="n">
        <f aca="false">E30*가정!$B$21-가정!$B$6</f>
        <v>9418.03099999999</v>
      </c>
    </row>
    <row r="31" customFormat="false" ht="15" hidden="false" customHeight="false" outlineLevel="0" collapsed="false">
      <c r="A31" s="30" t="n">
        <v>28</v>
      </c>
      <c r="B31" s="30" t="n">
        <f aca="false">IF(INT((A31-1)/가정!$B$12)+1&gt;10,"끝",INT((A31-1)/가정!$B$12)+1)</f>
        <v>3</v>
      </c>
      <c r="C31" s="16" t="n">
        <f aca="false">IF(B31="끝",0,가정!$B$14*가정!$B$8^(B31-1))</f>
        <v>4.2588</v>
      </c>
      <c r="D31" s="17" t="n">
        <f aca="false">C31*가정!$B$13</f>
        <v>129.5385</v>
      </c>
      <c r="E31" s="30" t="n">
        <f aca="false">E30+D31</f>
        <v>5066.054</v>
      </c>
      <c r="F31" s="31" t="n">
        <f aca="false">E31*가정!$B$22-가정!$B$6</f>
        <v>1878.09517889</v>
      </c>
      <c r="G31" s="31" t="n">
        <f aca="false">E31*가정!$B$18-가정!$B$6</f>
        <v>2078.027</v>
      </c>
      <c r="H31" s="31" t="n">
        <f aca="false">E31*가정!$B$19-가정!$B$6</f>
        <v>4611.054</v>
      </c>
      <c r="I31" s="31" t="n">
        <f aca="false">E31*가정!$B$20-가정!$B$6</f>
        <v>7144.081</v>
      </c>
      <c r="J31" s="31" t="n">
        <f aca="false">E31*가정!$B$21-가정!$B$6</f>
        <v>9677.10799999999</v>
      </c>
    </row>
    <row r="32" customFormat="false" ht="15" hidden="false" customHeight="false" outlineLevel="0" collapsed="false">
      <c r="A32" s="30" t="n">
        <v>29</v>
      </c>
      <c r="B32" s="30" t="n">
        <f aca="false">IF(INT((A32-1)/가정!$B$12)+1&gt;10,"끝",INT((A32-1)/가정!$B$12)+1)</f>
        <v>3</v>
      </c>
      <c r="C32" s="16" t="n">
        <f aca="false">IF(B32="끝",0,가정!$B$14*가정!$B$8^(B32-1))</f>
        <v>4.2588</v>
      </c>
      <c r="D32" s="17" t="n">
        <f aca="false">C32*가정!$B$13</f>
        <v>129.5385</v>
      </c>
      <c r="E32" s="30" t="n">
        <f aca="false">E31+D32</f>
        <v>5195.5925</v>
      </c>
      <c r="F32" s="31" t="n">
        <f aca="false">E32*가정!$B$22-가정!$B$6</f>
        <v>1937.7521919875</v>
      </c>
      <c r="G32" s="31" t="n">
        <f aca="false">E32*가정!$B$18-가정!$B$6</f>
        <v>2142.79625</v>
      </c>
      <c r="H32" s="31" t="n">
        <f aca="false">E32*가정!$B$19-가정!$B$6</f>
        <v>4740.5925</v>
      </c>
      <c r="I32" s="31" t="n">
        <f aca="false">E32*가정!$B$20-가정!$B$6</f>
        <v>7338.38875</v>
      </c>
      <c r="J32" s="31" t="n">
        <f aca="false">E32*가정!$B$21-가정!$B$6</f>
        <v>9936.18499999999</v>
      </c>
    </row>
    <row r="33" customFormat="false" ht="15" hidden="false" customHeight="false" outlineLevel="0" collapsed="false">
      <c r="A33" s="30" t="n">
        <v>30</v>
      </c>
      <c r="B33" s="30" t="n">
        <f aca="false">IF(INT((A33-1)/가정!$B$12)+1&gt;10,"끝",INT((A33-1)/가정!$B$12)+1)</f>
        <v>3</v>
      </c>
      <c r="C33" s="16" t="n">
        <f aca="false">IF(B33="끝",0,가정!$B$14*가정!$B$8^(B33-1))</f>
        <v>4.2588</v>
      </c>
      <c r="D33" s="17" t="n">
        <f aca="false">C33*가정!$B$13</f>
        <v>129.5385</v>
      </c>
      <c r="E33" s="30" t="n">
        <f aca="false">E32+D33</f>
        <v>5325.131</v>
      </c>
      <c r="F33" s="31" t="n">
        <f aca="false">E33*가정!$B$22-가정!$B$6</f>
        <v>1997.409205085</v>
      </c>
      <c r="G33" s="31" t="n">
        <f aca="false">E33*가정!$B$18-가정!$B$6</f>
        <v>2207.5655</v>
      </c>
      <c r="H33" s="31" t="n">
        <f aca="false">E33*가정!$B$19-가정!$B$6</f>
        <v>4870.131</v>
      </c>
      <c r="I33" s="31" t="n">
        <f aca="false">E33*가정!$B$20-가정!$B$6</f>
        <v>7532.69649999999</v>
      </c>
      <c r="J33" s="31" t="n">
        <f aca="false">E33*가정!$B$21-가정!$B$6</f>
        <v>10195.262</v>
      </c>
    </row>
    <row r="34" customFormat="false" ht="15" hidden="false" customHeight="false" outlineLevel="0" collapsed="false">
      <c r="A34" s="30" t="n">
        <v>31</v>
      </c>
      <c r="B34" s="30" t="n">
        <f aca="false">IF(INT((A34-1)/가정!$B$12)+1&gt;10,"끝",INT((A34-1)/가정!$B$12)+1)</f>
        <v>3</v>
      </c>
      <c r="C34" s="16" t="n">
        <f aca="false">IF(B34="끝",0,가정!$B$14*가정!$B$8^(B34-1))</f>
        <v>4.2588</v>
      </c>
      <c r="D34" s="17" t="n">
        <f aca="false">C34*가정!$B$13</f>
        <v>129.5385</v>
      </c>
      <c r="E34" s="30" t="n">
        <f aca="false">E33+D34</f>
        <v>5454.6695</v>
      </c>
      <c r="F34" s="31" t="n">
        <f aca="false">E34*가정!$B$22-가정!$B$6</f>
        <v>2057.0662181825</v>
      </c>
      <c r="G34" s="31" t="n">
        <f aca="false">E34*가정!$B$18-가정!$B$6</f>
        <v>2272.33475</v>
      </c>
      <c r="H34" s="31" t="n">
        <f aca="false">E34*가정!$B$19-가정!$B$6</f>
        <v>4999.6695</v>
      </c>
      <c r="I34" s="31" t="n">
        <f aca="false">E34*가정!$B$20-가정!$B$6</f>
        <v>7727.00424999999</v>
      </c>
      <c r="J34" s="31" t="n">
        <f aca="false">E34*가정!$B$21-가정!$B$6</f>
        <v>10454.339</v>
      </c>
    </row>
    <row r="35" customFormat="false" ht="15" hidden="false" customHeight="false" outlineLevel="0" collapsed="false">
      <c r="A35" s="30" t="n">
        <v>32</v>
      </c>
      <c r="B35" s="30" t="n">
        <f aca="false">IF(INT((A35-1)/가정!$B$12)+1&gt;10,"끝",INT((A35-1)/가정!$B$12)+1)</f>
        <v>3</v>
      </c>
      <c r="C35" s="16" t="n">
        <f aca="false">IF(B35="끝",0,가정!$B$14*가정!$B$8^(B35-1))</f>
        <v>4.2588</v>
      </c>
      <c r="D35" s="17" t="n">
        <f aca="false">C35*가정!$B$13</f>
        <v>129.5385</v>
      </c>
      <c r="E35" s="30" t="n">
        <f aca="false">E34+D35</f>
        <v>5584.208</v>
      </c>
      <c r="F35" s="31" t="n">
        <f aca="false">E35*가정!$B$22-가정!$B$6</f>
        <v>2116.72323128</v>
      </c>
      <c r="G35" s="31" t="n">
        <f aca="false">E35*가정!$B$18-가정!$B$6</f>
        <v>2337.104</v>
      </c>
      <c r="H35" s="31" t="n">
        <f aca="false">E35*가정!$B$19-가정!$B$6</f>
        <v>5129.208</v>
      </c>
      <c r="I35" s="31" t="n">
        <f aca="false">E35*가정!$B$20-가정!$B$6</f>
        <v>7921.31199999999</v>
      </c>
      <c r="J35" s="31" t="n">
        <f aca="false">E35*가정!$B$21-가정!$B$6</f>
        <v>10713.416</v>
      </c>
    </row>
    <row r="36" customFormat="false" ht="15" hidden="false" customHeight="false" outlineLevel="0" collapsed="false">
      <c r="A36" s="30" t="n">
        <v>33</v>
      </c>
      <c r="B36" s="30" t="n">
        <f aca="false">IF(INT((A36-1)/가정!$B$12)+1&gt;10,"끝",INT((A36-1)/가정!$B$12)+1)</f>
        <v>3</v>
      </c>
      <c r="C36" s="16" t="n">
        <f aca="false">IF(B36="끝",0,가정!$B$14*가정!$B$8^(B36-1))</f>
        <v>4.2588</v>
      </c>
      <c r="D36" s="17" t="n">
        <f aca="false">C36*가정!$B$13</f>
        <v>129.5385</v>
      </c>
      <c r="E36" s="30" t="n">
        <f aca="false">E35+D36</f>
        <v>5713.7465</v>
      </c>
      <c r="F36" s="31" t="n">
        <f aca="false">E36*가정!$B$22-가정!$B$6</f>
        <v>2176.3802443775</v>
      </c>
      <c r="G36" s="31" t="n">
        <f aca="false">E36*가정!$B$18-가정!$B$6</f>
        <v>2401.87325</v>
      </c>
      <c r="H36" s="31" t="n">
        <f aca="false">E36*가정!$B$19-가정!$B$6</f>
        <v>5258.7465</v>
      </c>
      <c r="I36" s="31" t="n">
        <f aca="false">E36*가정!$B$20-가정!$B$6</f>
        <v>8115.61974999999</v>
      </c>
      <c r="J36" s="31" t="n">
        <f aca="false">E36*가정!$B$21-가정!$B$6</f>
        <v>10972.493</v>
      </c>
    </row>
    <row r="37" customFormat="false" ht="15" hidden="false" customHeight="false" outlineLevel="0" collapsed="false">
      <c r="A37" s="30" t="n">
        <v>34</v>
      </c>
      <c r="B37" s="30" t="n">
        <f aca="false">IF(INT((A37-1)/가정!$B$12)+1&gt;10,"끝",INT((A37-1)/가정!$B$12)+1)</f>
        <v>3</v>
      </c>
      <c r="C37" s="16" t="n">
        <f aca="false">IF(B37="끝",0,가정!$B$14*가정!$B$8^(B37-1))</f>
        <v>4.2588</v>
      </c>
      <c r="D37" s="17" t="n">
        <f aca="false">C37*가정!$B$13</f>
        <v>129.5385</v>
      </c>
      <c r="E37" s="30" t="n">
        <f aca="false">E36+D37</f>
        <v>5843.28499999999</v>
      </c>
      <c r="F37" s="31" t="n">
        <f aca="false">E37*가정!$B$22-가정!$B$6</f>
        <v>2236.037257475</v>
      </c>
      <c r="G37" s="31" t="n">
        <f aca="false">E37*가정!$B$18-가정!$B$6</f>
        <v>2466.6425</v>
      </c>
      <c r="H37" s="31" t="n">
        <f aca="false">E37*가정!$B$19-가정!$B$6</f>
        <v>5388.28499999999</v>
      </c>
      <c r="I37" s="31" t="n">
        <f aca="false">E37*가정!$B$20-가정!$B$6</f>
        <v>8309.92749999999</v>
      </c>
      <c r="J37" s="31" t="n">
        <f aca="false">E37*가정!$B$21-가정!$B$6</f>
        <v>11231.57</v>
      </c>
    </row>
    <row r="38" customFormat="false" ht="15" hidden="false" customHeight="false" outlineLevel="0" collapsed="false">
      <c r="A38" s="30" t="n">
        <v>35</v>
      </c>
      <c r="B38" s="30" t="n">
        <f aca="false">IF(INT((A38-1)/가정!$B$12)+1&gt;10,"끝",INT((A38-1)/가정!$B$12)+1)</f>
        <v>3</v>
      </c>
      <c r="C38" s="16" t="n">
        <f aca="false">IF(B38="끝",0,가정!$B$14*가정!$B$8^(B38-1))</f>
        <v>4.2588</v>
      </c>
      <c r="D38" s="17" t="n">
        <f aca="false">C38*가정!$B$13</f>
        <v>129.5385</v>
      </c>
      <c r="E38" s="30" t="n">
        <f aca="false">E37+D38</f>
        <v>5972.82349999999</v>
      </c>
      <c r="F38" s="31" t="n">
        <f aca="false">E38*가정!$B$22-가정!$B$6</f>
        <v>2295.6942705725</v>
      </c>
      <c r="G38" s="31" t="n">
        <f aca="false">E38*가정!$B$18-가정!$B$6</f>
        <v>2531.41175</v>
      </c>
      <c r="H38" s="31" t="n">
        <f aca="false">E38*가정!$B$19-가정!$B$6</f>
        <v>5517.82349999999</v>
      </c>
      <c r="I38" s="31" t="n">
        <f aca="false">E38*가정!$B$20-가정!$B$6</f>
        <v>8504.23524999999</v>
      </c>
      <c r="J38" s="31" t="n">
        <f aca="false">E38*가정!$B$21-가정!$B$6</f>
        <v>11490.647</v>
      </c>
    </row>
    <row r="39" customFormat="false" ht="15" hidden="false" customHeight="false" outlineLevel="0" collapsed="false">
      <c r="A39" s="30" t="n">
        <v>36</v>
      </c>
      <c r="B39" s="30" t="n">
        <f aca="false">IF(INT((A39-1)/가정!$B$12)+1&gt;10,"끝",INT((A39-1)/가정!$B$12)+1)</f>
        <v>3</v>
      </c>
      <c r="C39" s="16" t="n">
        <f aca="false">IF(B39="끝",0,가정!$B$14*가정!$B$8^(B39-1))</f>
        <v>4.2588</v>
      </c>
      <c r="D39" s="17" t="n">
        <f aca="false">C39*가정!$B$13</f>
        <v>129.5385</v>
      </c>
      <c r="E39" s="30" t="n">
        <f aca="false">E38+D39</f>
        <v>6102.36199999999</v>
      </c>
      <c r="F39" s="31" t="n">
        <f aca="false">E39*가정!$B$22-가정!$B$6</f>
        <v>2355.35128367</v>
      </c>
      <c r="G39" s="31" t="n">
        <f aca="false">E39*가정!$B$18-가정!$B$6</f>
        <v>2596.181</v>
      </c>
      <c r="H39" s="31" t="n">
        <f aca="false">E39*가정!$B$19-가정!$B$6</f>
        <v>5647.36199999999</v>
      </c>
      <c r="I39" s="31" t="n">
        <f aca="false">E39*가정!$B$20-가정!$B$6</f>
        <v>8698.54299999999</v>
      </c>
      <c r="J39" s="31" t="n">
        <f aca="false">E39*가정!$B$21-가정!$B$6</f>
        <v>11749.724</v>
      </c>
    </row>
    <row r="40" customFormat="false" ht="15" hidden="false" customHeight="false" outlineLevel="0" collapsed="false">
      <c r="A40" s="30" t="n">
        <v>37</v>
      </c>
      <c r="B40" s="30" t="n">
        <f aca="false">IF(INT((A40-1)/가정!$B$12)+1&gt;10,"끝",INT((A40-1)/가정!$B$12)+1)</f>
        <v>4</v>
      </c>
      <c r="C40" s="16" t="n">
        <f aca="false">IF(B40="끝",0,가정!$B$14*가정!$B$8^(B40-1))</f>
        <v>3.321864</v>
      </c>
      <c r="D40" s="17" t="n">
        <f aca="false">C40*가정!$B$13</f>
        <v>101.04003</v>
      </c>
      <c r="E40" s="30" t="n">
        <f aca="false">E39+D40</f>
        <v>6203.40202999999</v>
      </c>
      <c r="F40" s="31" t="n">
        <f aca="false">E40*가정!$B$22-가정!$B$6</f>
        <v>2401.88375388605</v>
      </c>
      <c r="G40" s="31" t="n">
        <f aca="false">E40*가정!$B$18-가정!$B$6</f>
        <v>2646.701015</v>
      </c>
      <c r="H40" s="31" t="n">
        <f aca="false">E40*가정!$B$19-가정!$B$6</f>
        <v>5748.40202999999</v>
      </c>
      <c r="I40" s="31" t="n">
        <f aca="false">E40*가정!$B$20-가정!$B$6</f>
        <v>8850.10304499999</v>
      </c>
      <c r="J40" s="31" t="n">
        <f aca="false">E40*가정!$B$21-가정!$B$6</f>
        <v>11951.80406</v>
      </c>
    </row>
    <row r="41" customFormat="false" ht="15" hidden="false" customHeight="false" outlineLevel="0" collapsed="false">
      <c r="A41" s="30" t="n">
        <v>38</v>
      </c>
      <c r="B41" s="30" t="n">
        <f aca="false">IF(INT((A41-1)/가정!$B$12)+1&gt;10,"끝",INT((A41-1)/가정!$B$12)+1)</f>
        <v>4</v>
      </c>
      <c r="C41" s="16" t="n">
        <f aca="false">IF(B41="끝",0,가정!$B$14*가정!$B$8^(B41-1))</f>
        <v>3.321864</v>
      </c>
      <c r="D41" s="17" t="n">
        <f aca="false">C41*가정!$B$13</f>
        <v>101.04003</v>
      </c>
      <c r="E41" s="30" t="n">
        <f aca="false">E40+D41</f>
        <v>6304.44205999999</v>
      </c>
      <c r="F41" s="31" t="n">
        <f aca="false">E41*가정!$B$22-가정!$B$6</f>
        <v>2448.4162241021</v>
      </c>
      <c r="G41" s="31" t="n">
        <f aca="false">E41*가정!$B$18-가정!$B$6</f>
        <v>2697.22103</v>
      </c>
      <c r="H41" s="31" t="n">
        <f aca="false">E41*가정!$B$19-가정!$B$6</f>
        <v>5849.44205999999</v>
      </c>
      <c r="I41" s="31" t="n">
        <f aca="false">E41*가정!$B$20-가정!$B$6</f>
        <v>9001.66308999999</v>
      </c>
      <c r="J41" s="31" t="n">
        <f aca="false">E41*가정!$B$21-가정!$B$6</f>
        <v>12153.88412</v>
      </c>
    </row>
    <row r="42" customFormat="false" ht="15" hidden="false" customHeight="false" outlineLevel="0" collapsed="false">
      <c r="A42" s="30" t="n">
        <v>39</v>
      </c>
      <c r="B42" s="30" t="n">
        <f aca="false">IF(INT((A42-1)/가정!$B$12)+1&gt;10,"끝",INT((A42-1)/가정!$B$12)+1)</f>
        <v>4</v>
      </c>
      <c r="C42" s="16" t="n">
        <f aca="false">IF(B42="끝",0,가정!$B$14*가정!$B$8^(B42-1))</f>
        <v>3.321864</v>
      </c>
      <c r="D42" s="17" t="n">
        <f aca="false">C42*가정!$B$13</f>
        <v>101.04003</v>
      </c>
      <c r="E42" s="30" t="n">
        <f aca="false">E41+D42</f>
        <v>6405.48208999999</v>
      </c>
      <c r="F42" s="31" t="n">
        <f aca="false">E42*가정!$B$22-가정!$B$6</f>
        <v>2494.94869431815</v>
      </c>
      <c r="G42" s="31" t="n">
        <f aca="false">E42*가정!$B$18-가정!$B$6</f>
        <v>2747.741045</v>
      </c>
      <c r="H42" s="31" t="n">
        <f aca="false">E42*가정!$B$19-가정!$B$6</f>
        <v>5950.48208999999</v>
      </c>
      <c r="I42" s="31" t="n">
        <f aca="false">E42*가정!$B$20-가정!$B$6</f>
        <v>9153.22313499999</v>
      </c>
      <c r="J42" s="31" t="n">
        <f aca="false">E42*가정!$B$21-가정!$B$6</f>
        <v>12355.96418</v>
      </c>
    </row>
    <row r="43" customFormat="false" ht="15" hidden="false" customHeight="false" outlineLevel="0" collapsed="false">
      <c r="A43" s="30" t="n">
        <v>40</v>
      </c>
      <c r="B43" s="30" t="n">
        <f aca="false">IF(INT((A43-1)/가정!$B$12)+1&gt;10,"끝",INT((A43-1)/가정!$B$12)+1)</f>
        <v>4</v>
      </c>
      <c r="C43" s="16" t="n">
        <f aca="false">IF(B43="끝",0,가정!$B$14*가정!$B$8^(B43-1))</f>
        <v>3.321864</v>
      </c>
      <c r="D43" s="17" t="n">
        <f aca="false">C43*가정!$B$13</f>
        <v>101.04003</v>
      </c>
      <c r="E43" s="30" t="n">
        <f aca="false">E42+D43</f>
        <v>6506.52211999999</v>
      </c>
      <c r="F43" s="31" t="n">
        <f aca="false">E43*가정!$B$22-가정!$B$6</f>
        <v>2541.4811645342</v>
      </c>
      <c r="G43" s="31" t="n">
        <f aca="false">E43*가정!$B$18-가정!$B$6</f>
        <v>2798.26106</v>
      </c>
      <c r="H43" s="31" t="n">
        <f aca="false">E43*가정!$B$19-가정!$B$6</f>
        <v>6051.52211999999</v>
      </c>
      <c r="I43" s="31" t="n">
        <f aca="false">E43*가정!$B$20-가정!$B$6</f>
        <v>9304.78317999999</v>
      </c>
      <c r="J43" s="31" t="n">
        <f aca="false">E43*가정!$B$21-가정!$B$6</f>
        <v>12558.04424</v>
      </c>
    </row>
    <row r="44" customFormat="false" ht="15" hidden="false" customHeight="false" outlineLevel="0" collapsed="false">
      <c r="A44" s="30" t="n">
        <v>41</v>
      </c>
      <c r="B44" s="30" t="n">
        <f aca="false">IF(INT((A44-1)/가정!$B$12)+1&gt;10,"끝",INT((A44-1)/가정!$B$12)+1)</f>
        <v>4</v>
      </c>
      <c r="C44" s="16" t="n">
        <f aca="false">IF(B44="끝",0,가정!$B$14*가정!$B$8^(B44-1))</f>
        <v>3.321864</v>
      </c>
      <c r="D44" s="17" t="n">
        <f aca="false">C44*가정!$B$13</f>
        <v>101.04003</v>
      </c>
      <c r="E44" s="30" t="n">
        <f aca="false">E43+D44</f>
        <v>6607.56214999999</v>
      </c>
      <c r="F44" s="31" t="n">
        <f aca="false">E44*가정!$B$22-가정!$B$6</f>
        <v>2588.01363475025</v>
      </c>
      <c r="G44" s="31" t="n">
        <f aca="false">E44*가정!$B$18-가정!$B$6</f>
        <v>2848.781075</v>
      </c>
      <c r="H44" s="31" t="n">
        <f aca="false">E44*가정!$B$19-가정!$B$6</f>
        <v>6152.56214999999</v>
      </c>
      <c r="I44" s="31" t="n">
        <f aca="false">E44*가정!$B$20-가정!$B$6</f>
        <v>9456.34322499999</v>
      </c>
      <c r="J44" s="31" t="n">
        <f aca="false">E44*가정!$B$21-가정!$B$6</f>
        <v>12760.1243</v>
      </c>
    </row>
    <row r="45" customFormat="false" ht="15" hidden="false" customHeight="false" outlineLevel="0" collapsed="false">
      <c r="A45" s="30" t="n">
        <v>42</v>
      </c>
      <c r="B45" s="30" t="n">
        <f aca="false">IF(INT((A45-1)/가정!$B$12)+1&gt;10,"끝",INT((A45-1)/가정!$B$12)+1)</f>
        <v>4</v>
      </c>
      <c r="C45" s="16" t="n">
        <f aca="false">IF(B45="끝",0,가정!$B$14*가정!$B$8^(B45-1))</f>
        <v>3.321864</v>
      </c>
      <c r="D45" s="17" t="n">
        <f aca="false">C45*가정!$B$13</f>
        <v>101.04003</v>
      </c>
      <c r="E45" s="30" t="n">
        <f aca="false">E44+D45</f>
        <v>6708.60217999999</v>
      </c>
      <c r="F45" s="31" t="n">
        <f aca="false">E45*가정!$B$22-가정!$B$6</f>
        <v>2634.5461049663</v>
      </c>
      <c r="G45" s="31" t="n">
        <f aca="false">E45*가정!$B$18-가정!$B$6</f>
        <v>2899.30109</v>
      </c>
      <c r="H45" s="31" t="n">
        <f aca="false">E45*가정!$B$19-가정!$B$6</f>
        <v>6253.60217999999</v>
      </c>
      <c r="I45" s="31" t="n">
        <f aca="false">E45*가정!$B$20-가정!$B$6</f>
        <v>9607.90326999999</v>
      </c>
      <c r="J45" s="31" t="n">
        <f aca="false">E45*가정!$B$21-가정!$B$6</f>
        <v>12962.20436</v>
      </c>
    </row>
    <row r="46" customFormat="false" ht="15" hidden="false" customHeight="false" outlineLevel="0" collapsed="false">
      <c r="A46" s="30" t="n">
        <v>43</v>
      </c>
      <c r="B46" s="30" t="n">
        <f aca="false">IF(INT((A46-1)/가정!$B$12)+1&gt;10,"끝",INT((A46-1)/가정!$B$12)+1)</f>
        <v>4</v>
      </c>
      <c r="C46" s="16" t="n">
        <f aca="false">IF(B46="끝",0,가정!$B$14*가정!$B$8^(B46-1))</f>
        <v>3.321864</v>
      </c>
      <c r="D46" s="17" t="n">
        <f aca="false">C46*가정!$B$13</f>
        <v>101.04003</v>
      </c>
      <c r="E46" s="30" t="n">
        <f aca="false">E45+D46</f>
        <v>6809.64220999999</v>
      </c>
      <c r="F46" s="31" t="n">
        <f aca="false">E46*가정!$B$22-가정!$B$6</f>
        <v>2681.07857518235</v>
      </c>
      <c r="G46" s="31" t="n">
        <f aca="false">E46*가정!$B$18-가정!$B$6</f>
        <v>2949.821105</v>
      </c>
      <c r="H46" s="31" t="n">
        <f aca="false">E46*가정!$B$19-가정!$B$6</f>
        <v>6354.64220999999</v>
      </c>
      <c r="I46" s="31" t="n">
        <f aca="false">E46*가정!$B$20-가정!$B$6</f>
        <v>9759.46331499999</v>
      </c>
      <c r="J46" s="31" t="n">
        <f aca="false">E46*가정!$B$21-가정!$B$6</f>
        <v>13164.28442</v>
      </c>
    </row>
    <row r="47" customFormat="false" ht="15" hidden="false" customHeight="false" outlineLevel="0" collapsed="false">
      <c r="A47" s="30" t="n">
        <v>44</v>
      </c>
      <c r="B47" s="30" t="n">
        <f aca="false">IF(INT((A47-1)/가정!$B$12)+1&gt;10,"끝",INT((A47-1)/가정!$B$12)+1)</f>
        <v>4</v>
      </c>
      <c r="C47" s="16" t="n">
        <f aca="false">IF(B47="끝",0,가정!$B$14*가정!$B$8^(B47-1))</f>
        <v>3.321864</v>
      </c>
      <c r="D47" s="17" t="n">
        <f aca="false">C47*가정!$B$13</f>
        <v>101.04003</v>
      </c>
      <c r="E47" s="30" t="n">
        <f aca="false">E46+D47</f>
        <v>6910.68224</v>
      </c>
      <c r="F47" s="31" t="n">
        <f aca="false">E47*가정!$B$22-가정!$B$6</f>
        <v>2727.6110453984</v>
      </c>
      <c r="G47" s="31" t="n">
        <f aca="false">E47*가정!$B$18-가정!$B$6</f>
        <v>3000.34112</v>
      </c>
      <c r="H47" s="31" t="n">
        <f aca="false">E47*가정!$B$19-가정!$B$6</f>
        <v>6455.68224</v>
      </c>
      <c r="I47" s="31" t="n">
        <f aca="false">E47*가정!$B$20-가정!$B$6</f>
        <v>9911.02335999999</v>
      </c>
      <c r="J47" s="31" t="n">
        <f aca="false">E47*가정!$B$21-가정!$B$6</f>
        <v>13366.36448</v>
      </c>
    </row>
    <row r="48" customFormat="false" ht="15" hidden="false" customHeight="false" outlineLevel="0" collapsed="false">
      <c r="A48" s="30" t="n">
        <v>45</v>
      </c>
      <c r="B48" s="30" t="n">
        <f aca="false">IF(INT((A48-1)/가정!$B$12)+1&gt;10,"끝",INT((A48-1)/가정!$B$12)+1)</f>
        <v>4</v>
      </c>
      <c r="C48" s="16" t="n">
        <f aca="false">IF(B48="끝",0,가정!$B$14*가정!$B$8^(B48-1))</f>
        <v>3.321864</v>
      </c>
      <c r="D48" s="17" t="n">
        <f aca="false">C48*가정!$B$13</f>
        <v>101.04003</v>
      </c>
      <c r="E48" s="30" t="n">
        <f aca="false">E47+D48</f>
        <v>7011.72227</v>
      </c>
      <c r="F48" s="31" t="n">
        <f aca="false">E48*가정!$B$22-가정!$B$6</f>
        <v>2774.14351561445</v>
      </c>
      <c r="G48" s="31" t="n">
        <f aca="false">E48*가정!$B$18-가정!$B$6</f>
        <v>3050.861135</v>
      </c>
      <c r="H48" s="31" t="n">
        <f aca="false">E48*가정!$B$19-가정!$B$6</f>
        <v>6556.72227</v>
      </c>
      <c r="I48" s="31" t="n">
        <f aca="false">E48*가정!$B$20-가정!$B$6</f>
        <v>10062.583405</v>
      </c>
      <c r="J48" s="31" t="n">
        <f aca="false">E48*가정!$B$21-가정!$B$6</f>
        <v>13568.44454</v>
      </c>
    </row>
    <row r="49" customFormat="false" ht="15" hidden="false" customHeight="false" outlineLevel="0" collapsed="false">
      <c r="A49" s="30" t="n">
        <v>46</v>
      </c>
      <c r="B49" s="30" t="n">
        <f aca="false">IF(INT((A49-1)/가정!$B$12)+1&gt;10,"끝",INT((A49-1)/가정!$B$12)+1)</f>
        <v>4</v>
      </c>
      <c r="C49" s="16" t="n">
        <f aca="false">IF(B49="끝",0,가정!$B$14*가정!$B$8^(B49-1))</f>
        <v>3.321864</v>
      </c>
      <c r="D49" s="17" t="n">
        <f aca="false">C49*가정!$B$13</f>
        <v>101.04003</v>
      </c>
      <c r="E49" s="30" t="n">
        <f aca="false">E48+D49</f>
        <v>7112.7623</v>
      </c>
      <c r="F49" s="31" t="n">
        <f aca="false">E49*가정!$B$22-가정!$B$6</f>
        <v>2820.6759858305</v>
      </c>
      <c r="G49" s="31" t="n">
        <f aca="false">E49*가정!$B$18-가정!$B$6</f>
        <v>3101.38115</v>
      </c>
      <c r="H49" s="31" t="n">
        <f aca="false">E49*가정!$B$19-가정!$B$6</f>
        <v>6657.7623</v>
      </c>
      <c r="I49" s="31" t="n">
        <f aca="false">E49*가정!$B$20-가정!$B$6</f>
        <v>10214.14345</v>
      </c>
      <c r="J49" s="31" t="n">
        <f aca="false">E49*가정!$B$21-가정!$B$6</f>
        <v>13770.5246</v>
      </c>
    </row>
    <row r="50" customFormat="false" ht="15" hidden="false" customHeight="false" outlineLevel="0" collapsed="false">
      <c r="A50" s="30" t="n">
        <v>47</v>
      </c>
      <c r="B50" s="30" t="n">
        <f aca="false">IF(INT((A50-1)/가정!$B$12)+1&gt;10,"끝",INT((A50-1)/가정!$B$12)+1)</f>
        <v>4</v>
      </c>
      <c r="C50" s="16" t="n">
        <f aca="false">IF(B50="끝",0,가정!$B$14*가정!$B$8^(B50-1))</f>
        <v>3.321864</v>
      </c>
      <c r="D50" s="17" t="n">
        <f aca="false">C50*가정!$B$13</f>
        <v>101.04003</v>
      </c>
      <c r="E50" s="30" t="n">
        <f aca="false">E49+D50</f>
        <v>7213.80233</v>
      </c>
      <c r="F50" s="31" t="n">
        <f aca="false">E50*가정!$B$22-가정!$B$6</f>
        <v>2867.20845604655</v>
      </c>
      <c r="G50" s="31" t="n">
        <f aca="false">E50*가정!$B$18-가정!$B$6</f>
        <v>3151.901165</v>
      </c>
      <c r="H50" s="31" t="n">
        <f aca="false">E50*가정!$B$19-가정!$B$6</f>
        <v>6758.80233</v>
      </c>
      <c r="I50" s="31" t="n">
        <f aca="false">E50*가정!$B$20-가정!$B$6</f>
        <v>10365.703495</v>
      </c>
      <c r="J50" s="31" t="n">
        <f aca="false">E50*가정!$B$21-가정!$B$6</f>
        <v>13972.60466</v>
      </c>
    </row>
    <row r="51" customFormat="false" ht="15" hidden="false" customHeight="false" outlineLevel="0" collapsed="false">
      <c r="A51" s="30" t="n">
        <v>48</v>
      </c>
      <c r="B51" s="30" t="n">
        <f aca="false">IF(INT((A51-1)/가정!$B$12)+1&gt;10,"끝",INT((A51-1)/가정!$B$12)+1)</f>
        <v>4</v>
      </c>
      <c r="C51" s="16" t="n">
        <f aca="false">IF(B51="끝",0,가정!$B$14*가정!$B$8^(B51-1))</f>
        <v>3.321864</v>
      </c>
      <c r="D51" s="17" t="n">
        <f aca="false">C51*가정!$B$13</f>
        <v>101.04003</v>
      </c>
      <c r="E51" s="30" t="n">
        <f aca="false">E50+D51</f>
        <v>7314.84236</v>
      </c>
      <c r="F51" s="31" t="n">
        <f aca="false">E51*가정!$B$22-가정!$B$6</f>
        <v>2913.7409262626</v>
      </c>
      <c r="G51" s="31" t="n">
        <f aca="false">E51*가정!$B$18-가정!$B$6</f>
        <v>3202.42118</v>
      </c>
      <c r="H51" s="31" t="n">
        <f aca="false">E51*가정!$B$19-가정!$B$6</f>
        <v>6859.84236</v>
      </c>
      <c r="I51" s="31" t="n">
        <f aca="false">E51*가정!$B$20-가정!$B$6</f>
        <v>10517.26354</v>
      </c>
      <c r="J51" s="31" t="n">
        <f aca="false">E51*가정!$B$21-가정!$B$6</f>
        <v>14174.68472</v>
      </c>
    </row>
    <row r="52" customFormat="false" ht="15" hidden="false" customHeight="false" outlineLevel="0" collapsed="false">
      <c r="A52" s="30" t="n">
        <v>49</v>
      </c>
      <c r="B52" s="30" t="n">
        <f aca="false">IF(INT((A52-1)/가정!$B$12)+1&gt;10,"끝",INT((A52-1)/가정!$B$12)+1)</f>
        <v>5</v>
      </c>
      <c r="C52" s="16" t="n">
        <f aca="false">IF(B52="끝",0,가정!$B$14*가정!$B$8^(B52-1))</f>
        <v>2.59105392</v>
      </c>
      <c r="D52" s="17" t="n">
        <f aca="false">C52*가정!$B$13</f>
        <v>78.8112234</v>
      </c>
      <c r="E52" s="30" t="n">
        <f aca="false">E51+D52</f>
        <v>7393.6535834</v>
      </c>
      <c r="F52" s="31" t="n">
        <f aca="false">E52*가정!$B$22-가정!$B$6</f>
        <v>2950.03625303112</v>
      </c>
      <c r="G52" s="31" t="n">
        <f aca="false">E52*가정!$B$18-가정!$B$6</f>
        <v>3241.8267917</v>
      </c>
      <c r="H52" s="31" t="n">
        <f aca="false">E52*가정!$B$19-가정!$B$6</f>
        <v>6938.6535834</v>
      </c>
      <c r="I52" s="31" t="n">
        <f aca="false">E52*가정!$B$20-가정!$B$6</f>
        <v>10635.4803751</v>
      </c>
      <c r="J52" s="31" t="n">
        <f aca="false">E52*가정!$B$21-가정!$B$6</f>
        <v>14332.3071668</v>
      </c>
    </row>
    <row r="53" customFormat="false" ht="15" hidden="false" customHeight="false" outlineLevel="0" collapsed="false">
      <c r="A53" s="30" t="n">
        <v>50</v>
      </c>
      <c r="B53" s="30" t="n">
        <f aca="false">IF(INT((A53-1)/가정!$B$12)+1&gt;10,"끝",INT((A53-1)/가정!$B$12)+1)</f>
        <v>5</v>
      </c>
      <c r="C53" s="16" t="n">
        <f aca="false">IF(B53="끝",0,가정!$B$14*가정!$B$8^(B53-1))</f>
        <v>2.59105392</v>
      </c>
      <c r="D53" s="17" t="n">
        <f aca="false">C53*가정!$B$13</f>
        <v>78.8112234</v>
      </c>
      <c r="E53" s="30" t="n">
        <f aca="false">E52+D53</f>
        <v>7472.4648068</v>
      </c>
      <c r="F53" s="31" t="n">
        <f aca="false">E53*가정!$B$22-가정!$B$6</f>
        <v>2986.33157979964</v>
      </c>
      <c r="G53" s="31" t="n">
        <f aca="false">E53*가정!$B$18-가정!$B$6</f>
        <v>3281.2324034</v>
      </c>
      <c r="H53" s="31" t="n">
        <f aca="false">E53*가정!$B$19-가정!$B$6</f>
        <v>7017.4648068</v>
      </c>
      <c r="I53" s="31" t="n">
        <f aca="false">E53*가정!$B$20-가정!$B$6</f>
        <v>10753.6972102</v>
      </c>
      <c r="J53" s="31" t="n">
        <f aca="false">E53*가정!$B$21-가정!$B$6</f>
        <v>14489.9296136</v>
      </c>
    </row>
    <row r="54" customFormat="false" ht="15" hidden="false" customHeight="false" outlineLevel="0" collapsed="false">
      <c r="A54" s="30" t="n">
        <v>51</v>
      </c>
      <c r="B54" s="30" t="n">
        <f aca="false">IF(INT((A54-1)/가정!$B$12)+1&gt;10,"끝",INT((A54-1)/가정!$B$12)+1)</f>
        <v>5</v>
      </c>
      <c r="C54" s="16" t="n">
        <f aca="false">IF(B54="끝",0,가정!$B$14*가정!$B$8^(B54-1))</f>
        <v>2.59105392</v>
      </c>
      <c r="D54" s="17" t="n">
        <f aca="false">C54*가정!$B$13</f>
        <v>78.8112234</v>
      </c>
      <c r="E54" s="30" t="n">
        <f aca="false">E53+D54</f>
        <v>7551.2760302</v>
      </c>
      <c r="F54" s="31" t="n">
        <f aca="false">E54*가정!$B$22-가정!$B$6</f>
        <v>3022.62690656816</v>
      </c>
      <c r="G54" s="31" t="n">
        <f aca="false">E54*가정!$B$18-가정!$B$6</f>
        <v>3320.6380151</v>
      </c>
      <c r="H54" s="31" t="n">
        <f aca="false">E54*가정!$B$19-가정!$B$6</f>
        <v>7096.2760302</v>
      </c>
      <c r="I54" s="31" t="n">
        <f aca="false">E54*가정!$B$20-가정!$B$6</f>
        <v>10871.9140453</v>
      </c>
      <c r="J54" s="31" t="n">
        <f aca="false">E54*가정!$B$21-가정!$B$6</f>
        <v>14647.5520604</v>
      </c>
    </row>
    <row r="55" customFormat="false" ht="15" hidden="false" customHeight="false" outlineLevel="0" collapsed="false">
      <c r="A55" s="30" t="n">
        <v>52</v>
      </c>
      <c r="B55" s="30" t="n">
        <f aca="false">IF(INT((A55-1)/가정!$B$12)+1&gt;10,"끝",INT((A55-1)/가정!$B$12)+1)</f>
        <v>5</v>
      </c>
      <c r="C55" s="16" t="n">
        <f aca="false">IF(B55="끝",0,가정!$B$14*가정!$B$8^(B55-1))</f>
        <v>2.59105392</v>
      </c>
      <c r="D55" s="17" t="n">
        <f aca="false">C55*가정!$B$13</f>
        <v>78.8112234</v>
      </c>
      <c r="E55" s="30" t="n">
        <f aca="false">E54+D55</f>
        <v>7630.0872536</v>
      </c>
      <c r="F55" s="31" t="n">
        <f aca="false">E55*가정!$B$22-가정!$B$6</f>
        <v>3058.92223333667</v>
      </c>
      <c r="G55" s="31" t="n">
        <f aca="false">E55*가정!$B$18-가정!$B$6</f>
        <v>3360.0436268</v>
      </c>
      <c r="H55" s="31" t="n">
        <f aca="false">E55*가정!$B$19-가정!$B$6</f>
        <v>7175.0872536</v>
      </c>
      <c r="I55" s="31" t="n">
        <f aca="false">E55*가정!$B$20-가정!$B$6</f>
        <v>10990.1308804</v>
      </c>
      <c r="J55" s="31" t="n">
        <f aca="false">E55*가정!$B$21-가정!$B$6</f>
        <v>14805.1745072</v>
      </c>
    </row>
    <row r="56" customFormat="false" ht="15" hidden="false" customHeight="false" outlineLevel="0" collapsed="false">
      <c r="A56" s="30" t="n">
        <v>53</v>
      </c>
      <c r="B56" s="30" t="n">
        <f aca="false">IF(INT((A56-1)/가정!$B$12)+1&gt;10,"끝",INT((A56-1)/가정!$B$12)+1)</f>
        <v>5</v>
      </c>
      <c r="C56" s="16" t="n">
        <f aca="false">IF(B56="끝",0,가정!$B$14*가정!$B$8^(B56-1))</f>
        <v>2.59105392</v>
      </c>
      <c r="D56" s="17" t="n">
        <f aca="false">C56*가정!$B$13</f>
        <v>78.8112234</v>
      </c>
      <c r="E56" s="30" t="n">
        <f aca="false">E55+D56</f>
        <v>7708.898477</v>
      </c>
      <c r="F56" s="31" t="n">
        <f aca="false">E56*가정!$B$22-가정!$B$6</f>
        <v>3095.21756010519</v>
      </c>
      <c r="G56" s="31" t="n">
        <f aca="false">E56*가정!$B$18-가정!$B$6</f>
        <v>3399.4492385</v>
      </c>
      <c r="H56" s="31" t="n">
        <f aca="false">E56*가정!$B$19-가정!$B$6</f>
        <v>7253.898477</v>
      </c>
      <c r="I56" s="31" t="n">
        <f aca="false">E56*가정!$B$20-가정!$B$6</f>
        <v>11108.3477155</v>
      </c>
      <c r="J56" s="31" t="n">
        <f aca="false">E56*가정!$B$21-가정!$B$6</f>
        <v>14962.796954</v>
      </c>
    </row>
    <row r="57" customFormat="false" ht="15" hidden="false" customHeight="false" outlineLevel="0" collapsed="false">
      <c r="A57" s="30" t="n">
        <v>54</v>
      </c>
      <c r="B57" s="30" t="n">
        <f aca="false">IF(INT((A57-1)/가정!$B$12)+1&gt;10,"끝",INT((A57-1)/가정!$B$12)+1)</f>
        <v>5</v>
      </c>
      <c r="C57" s="16" t="n">
        <f aca="false">IF(B57="끝",0,가정!$B$14*가정!$B$8^(B57-1))</f>
        <v>2.59105392</v>
      </c>
      <c r="D57" s="17" t="n">
        <f aca="false">C57*가정!$B$13</f>
        <v>78.8112234</v>
      </c>
      <c r="E57" s="30" t="n">
        <f aca="false">E56+D57</f>
        <v>7787.7097004</v>
      </c>
      <c r="F57" s="31" t="n">
        <f aca="false">E57*가정!$B$22-가정!$B$6</f>
        <v>3131.51288687371</v>
      </c>
      <c r="G57" s="31" t="n">
        <f aca="false">E57*가정!$B$18-가정!$B$6</f>
        <v>3438.8548502</v>
      </c>
      <c r="H57" s="31" t="n">
        <f aca="false">E57*가정!$B$19-가정!$B$6</f>
        <v>7332.7097004</v>
      </c>
      <c r="I57" s="31" t="n">
        <f aca="false">E57*가정!$B$20-가정!$B$6</f>
        <v>11226.5645506</v>
      </c>
      <c r="J57" s="31" t="n">
        <f aca="false">E57*가정!$B$21-가정!$B$6</f>
        <v>15120.4194008</v>
      </c>
    </row>
    <row r="58" customFormat="false" ht="15" hidden="false" customHeight="false" outlineLevel="0" collapsed="false">
      <c r="A58" s="30" t="n">
        <v>55</v>
      </c>
      <c r="B58" s="30" t="n">
        <f aca="false">IF(INT((A58-1)/가정!$B$12)+1&gt;10,"끝",INT((A58-1)/가정!$B$12)+1)</f>
        <v>5</v>
      </c>
      <c r="C58" s="16" t="n">
        <f aca="false">IF(B58="끝",0,가정!$B$14*가정!$B$8^(B58-1))</f>
        <v>2.59105392</v>
      </c>
      <c r="D58" s="17" t="n">
        <f aca="false">C58*가정!$B$13</f>
        <v>78.8112234</v>
      </c>
      <c r="E58" s="30" t="n">
        <f aca="false">E57+D58</f>
        <v>7866.5209238</v>
      </c>
      <c r="F58" s="31" t="n">
        <f aca="false">E58*가정!$B$22-가정!$B$6</f>
        <v>3167.80821364223</v>
      </c>
      <c r="G58" s="31" t="n">
        <f aca="false">E58*가정!$B$18-가정!$B$6</f>
        <v>3478.2604619</v>
      </c>
      <c r="H58" s="31" t="n">
        <f aca="false">E58*가정!$B$19-가정!$B$6</f>
        <v>7411.5209238</v>
      </c>
      <c r="I58" s="31" t="n">
        <f aca="false">E58*가정!$B$20-가정!$B$6</f>
        <v>11344.7813857</v>
      </c>
      <c r="J58" s="31" t="n">
        <f aca="false">E58*가정!$B$21-가정!$B$6</f>
        <v>15278.0418476</v>
      </c>
    </row>
    <row r="59" customFormat="false" ht="15" hidden="false" customHeight="false" outlineLevel="0" collapsed="false">
      <c r="A59" s="30" t="n">
        <v>56</v>
      </c>
      <c r="B59" s="30" t="n">
        <f aca="false">IF(INT((A59-1)/가정!$B$12)+1&gt;10,"끝",INT((A59-1)/가정!$B$12)+1)</f>
        <v>5</v>
      </c>
      <c r="C59" s="16" t="n">
        <f aca="false">IF(B59="끝",0,가정!$B$14*가정!$B$8^(B59-1))</f>
        <v>2.59105392</v>
      </c>
      <c r="D59" s="17" t="n">
        <f aca="false">C59*가정!$B$13</f>
        <v>78.8112234</v>
      </c>
      <c r="E59" s="30" t="n">
        <f aca="false">E58+D59</f>
        <v>7945.3321472</v>
      </c>
      <c r="F59" s="31" t="n">
        <f aca="false">E59*가정!$B$22-가정!$B$6</f>
        <v>3204.10354041075</v>
      </c>
      <c r="G59" s="31" t="n">
        <f aca="false">E59*가정!$B$18-가정!$B$6</f>
        <v>3517.6660736</v>
      </c>
      <c r="H59" s="31" t="n">
        <f aca="false">E59*가정!$B$19-가정!$B$6</f>
        <v>7490.3321472</v>
      </c>
      <c r="I59" s="31" t="n">
        <f aca="false">E59*가정!$B$20-가정!$B$6</f>
        <v>11462.9982208</v>
      </c>
      <c r="J59" s="31" t="n">
        <f aca="false">E59*가정!$B$21-가정!$B$6</f>
        <v>15435.6642944</v>
      </c>
    </row>
    <row r="60" customFormat="false" ht="15" hidden="false" customHeight="false" outlineLevel="0" collapsed="false">
      <c r="A60" s="30" t="n">
        <v>57</v>
      </c>
      <c r="B60" s="30" t="n">
        <f aca="false">IF(INT((A60-1)/가정!$B$12)+1&gt;10,"끝",INT((A60-1)/가정!$B$12)+1)</f>
        <v>5</v>
      </c>
      <c r="C60" s="16" t="n">
        <f aca="false">IF(B60="끝",0,가정!$B$14*가정!$B$8^(B60-1))</f>
        <v>2.59105392</v>
      </c>
      <c r="D60" s="17" t="n">
        <f aca="false">C60*가정!$B$13</f>
        <v>78.8112234</v>
      </c>
      <c r="E60" s="30" t="n">
        <f aca="false">E59+D60</f>
        <v>8024.1433706</v>
      </c>
      <c r="F60" s="31" t="n">
        <f aca="false">E60*가정!$B$22-가정!$B$6</f>
        <v>3240.39886717927</v>
      </c>
      <c r="G60" s="31" t="n">
        <f aca="false">E60*가정!$B$18-가정!$B$6</f>
        <v>3557.0716853</v>
      </c>
      <c r="H60" s="31" t="n">
        <f aca="false">E60*가정!$B$19-가정!$B$6</f>
        <v>7569.1433706</v>
      </c>
      <c r="I60" s="31" t="n">
        <f aca="false">E60*가정!$B$20-가정!$B$6</f>
        <v>11581.2150559</v>
      </c>
      <c r="J60" s="31" t="n">
        <f aca="false">E60*가정!$B$21-가정!$B$6</f>
        <v>15593.2867412</v>
      </c>
    </row>
    <row r="61" customFormat="false" ht="15" hidden="false" customHeight="false" outlineLevel="0" collapsed="false">
      <c r="A61" s="30" t="n">
        <v>58</v>
      </c>
      <c r="B61" s="30" t="n">
        <f aca="false">IF(INT((A61-1)/가정!$B$12)+1&gt;10,"끝",INT((A61-1)/가정!$B$12)+1)</f>
        <v>5</v>
      </c>
      <c r="C61" s="16" t="n">
        <f aca="false">IF(B61="끝",0,가정!$B$14*가정!$B$8^(B61-1))</f>
        <v>2.59105392</v>
      </c>
      <c r="D61" s="17" t="n">
        <f aca="false">C61*가정!$B$13</f>
        <v>78.8112234</v>
      </c>
      <c r="E61" s="30" t="n">
        <f aca="false">E60+D61</f>
        <v>8102.954594</v>
      </c>
      <c r="F61" s="31" t="n">
        <f aca="false">E61*가정!$B$22-가정!$B$6</f>
        <v>3276.69419394779</v>
      </c>
      <c r="G61" s="31" t="n">
        <f aca="false">E61*가정!$B$18-가정!$B$6</f>
        <v>3596.477297</v>
      </c>
      <c r="H61" s="31" t="n">
        <f aca="false">E61*가정!$B$19-가정!$B$6</f>
        <v>7647.954594</v>
      </c>
      <c r="I61" s="31" t="n">
        <f aca="false">E61*가정!$B$20-가정!$B$6</f>
        <v>11699.431891</v>
      </c>
      <c r="J61" s="31" t="n">
        <f aca="false">E61*가정!$B$21-가정!$B$6</f>
        <v>15750.909188</v>
      </c>
    </row>
    <row r="62" customFormat="false" ht="15" hidden="false" customHeight="false" outlineLevel="0" collapsed="false">
      <c r="A62" s="30" t="n">
        <v>59</v>
      </c>
      <c r="B62" s="30" t="n">
        <f aca="false">IF(INT((A62-1)/가정!$B$12)+1&gt;10,"끝",INT((A62-1)/가정!$B$12)+1)</f>
        <v>5</v>
      </c>
      <c r="C62" s="16" t="n">
        <f aca="false">IF(B62="끝",0,가정!$B$14*가정!$B$8^(B62-1))</f>
        <v>2.59105392</v>
      </c>
      <c r="D62" s="17" t="n">
        <f aca="false">C62*가정!$B$13</f>
        <v>78.8112234</v>
      </c>
      <c r="E62" s="30" t="n">
        <f aca="false">E61+D62</f>
        <v>8181.7658174</v>
      </c>
      <c r="F62" s="31" t="n">
        <f aca="false">E62*가정!$B$22-가정!$B$6</f>
        <v>3312.98952071631</v>
      </c>
      <c r="G62" s="31" t="n">
        <f aca="false">E62*가정!$B$18-가정!$B$6</f>
        <v>3635.8829087</v>
      </c>
      <c r="H62" s="31" t="n">
        <f aca="false">E62*가정!$B$19-가정!$B$6</f>
        <v>7726.7658174</v>
      </c>
      <c r="I62" s="31" t="n">
        <f aca="false">E62*가정!$B$20-가정!$B$6</f>
        <v>11817.6487261</v>
      </c>
      <c r="J62" s="31" t="n">
        <f aca="false">E62*가정!$B$21-가정!$B$6</f>
        <v>15908.5316348</v>
      </c>
    </row>
    <row r="63" customFormat="false" ht="15" hidden="false" customHeight="false" outlineLevel="0" collapsed="false">
      <c r="A63" s="30" t="n">
        <v>60</v>
      </c>
      <c r="B63" s="30" t="n">
        <f aca="false">IF(INT((A63-1)/가정!$B$12)+1&gt;10,"끝",INT((A63-1)/가정!$B$12)+1)</f>
        <v>5</v>
      </c>
      <c r="C63" s="16" t="n">
        <f aca="false">IF(B63="끝",0,가정!$B$14*가정!$B$8^(B63-1))</f>
        <v>2.59105392</v>
      </c>
      <c r="D63" s="17" t="n">
        <f aca="false">C63*가정!$B$13</f>
        <v>78.8112234</v>
      </c>
      <c r="E63" s="30" t="n">
        <f aca="false">E62+D63</f>
        <v>8260.5770408</v>
      </c>
      <c r="F63" s="31" t="n">
        <f aca="false">E63*가정!$B$22-가정!$B$6</f>
        <v>3349.28484748483</v>
      </c>
      <c r="G63" s="31" t="n">
        <f aca="false">E63*가정!$B$18-가정!$B$6</f>
        <v>3675.2885204</v>
      </c>
      <c r="H63" s="31" t="n">
        <f aca="false">E63*가정!$B$19-가정!$B$6</f>
        <v>7805.5770408</v>
      </c>
      <c r="I63" s="31" t="n">
        <f aca="false">E63*가정!$B$20-가정!$B$6</f>
        <v>11935.8655612</v>
      </c>
      <c r="J63" s="31" t="n">
        <f aca="false">E63*가정!$B$21-가정!$B$6</f>
        <v>16066.1540816</v>
      </c>
    </row>
    <row r="64" customFormat="false" ht="15" hidden="false" customHeight="false" outlineLevel="0" collapsed="false">
      <c r="A64" s="30" t="n">
        <v>61</v>
      </c>
      <c r="B64" s="30" t="n">
        <f aca="false">IF(INT((A64-1)/가정!$B$12)+1&gt;10,"끝",INT((A64-1)/가정!$B$12)+1)</f>
        <v>6</v>
      </c>
      <c r="C64" s="16" t="n">
        <f aca="false">IF(B64="끝",0,가정!$B$14*가정!$B$8^(B64-1))</f>
        <v>2.0210220576</v>
      </c>
      <c r="D64" s="17" t="n">
        <f aca="false">C64*가정!$B$13</f>
        <v>61.472754252</v>
      </c>
      <c r="E64" s="30" t="n">
        <f aca="false">E63+D64</f>
        <v>8322.049795052</v>
      </c>
      <c r="F64" s="31" t="n">
        <f aca="false">E64*가정!$B$22-가정!$B$6</f>
        <v>3377.59520236427</v>
      </c>
      <c r="G64" s="31" t="n">
        <f aca="false">E64*가정!$B$18-가정!$B$6</f>
        <v>3706.024897526</v>
      </c>
      <c r="H64" s="31" t="n">
        <f aca="false">E64*가정!$B$19-가정!$B$6</f>
        <v>7867.049795052</v>
      </c>
      <c r="I64" s="31" t="n">
        <f aca="false">E64*가정!$B$20-가정!$B$6</f>
        <v>12028.074692578</v>
      </c>
      <c r="J64" s="31" t="n">
        <f aca="false">E64*가정!$B$21-가정!$B$6</f>
        <v>16189.099590104</v>
      </c>
    </row>
    <row r="65" customFormat="false" ht="15" hidden="false" customHeight="false" outlineLevel="0" collapsed="false">
      <c r="A65" s="30" t="n">
        <v>62</v>
      </c>
      <c r="B65" s="30" t="n">
        <f aca="false">IF(INT((A65-1)/가정!$B$12)+1&gt;10,"끝",INT((A65-1)/가정!$B$12)+1)</f>
        <v>6</v>
      </c>
      <c r="C65" s="16" t="n">
        <f aca="false">IF(B65="끝",0,가정!$B$14*가정!$B$8^(B65-1))</f>
        <v>2.0210220576</v>
      </c>
      <c r="D65" s="17" t="n">
        <f aca="false">C65*가정!$B$13</f>
        <v>61.472754252</v>
      </c>
      <c r="E65" s="30" t="n">
        <f aca="false">E64+D65</f>
        <v>8383.52254930399</v>
      </c>
      <c r="F65" s="31" t="n">
        <f aca="false">E65*가정!$B$22-가정!$B$6</f>
        <v>3405.90555724372</v>
      </c>
      <c r="G65" s="31" t="n">
        <f aca="false">E65*가정!$B$18-가정!$B$6</f>
        <v>3736.761274652</v>
      </c>
      <c r="H65" s="31" t="n">
        <f aca="false">E65*가정!$B$19-가정!$B$6</f>
        <v>7928.52254930399</v>
      </c>
      <c r="I65" s="31" t="n">
        <f aca="false">E65*가정!$B$20-가정!$B$6</f>
        <v>12120.283823956</v>
      </c>
      <c r="J65" s="31" t="n">
        <f aca="false">E65*가정!$B$21-가정!$B$6</f>
        <v>16312.045098608</v>
      </c>
    </row>
    <row r="66" customFormat="false" ht="15" hidden="false" customHeight="false" outlineLevel="0" collapsed="false">
      <c r="A66" s="30" t="n">
        <v>63</v>
      </c>
      <c r="B66" s="30" t="n">
        <f aca="false">IF(INT((A66-1)/가정!$B$12)+1&gt;10,"끝",INT((A66-1)/가정!$B$12)+1)</f>
        <v>6</v>
      </c>
      <c r="C66" s="16" t="n">
        <f aca="false">IF(B66="끝",0,가정!$B$14*가정!$B$8^(B66-1))</f>
        <v>2.0210220576</v>
      </c>
      <c r="D66" s="17" t="n">
        <f aca="false">C66*가정!$B$13</f>
        <v>61.472754252</v>
      </c>
      <c r="E66" s="30" t="n">
        <f aca="false">E65+D66</f>
        <v>8444.99530355599</v>
      </c>
      <c r="F66" s="31" t="n">
        <f aca="false">E66*가정!$B$22-가정!$B$6</f>
        <v>3434.21591212316</v>
      </c>
      <c r="G66" s="31" t="n">
        <f aca="false">E66*가정!$B$18-가정!$B$6</f>
        <v>3767.497651778</v>
      </c>
      <c r="H66" s="31" t="n">
        <f aca="false">E66*가정!$B$19-가정!$B$6</f>
        <v>7989.99530355599</v>
      </c>
      <c r="I66" s="31" t="n">
        <f aca="false">E66*가정!$B$20-가정!$B$6</f>
        <v>12212.492955334</v>
      </c>
      <c r="J66" s="31" t="n">
        <f aca="false">E66*가정!$B$21-가정!$B$6</f>
        <v>16434.990607112</v>
      </c>
    </row>
    <row r="67" customFormat="false" ht="15" hidden="false" customHeight="false" outlineLevel="0" collapsed="false">
      <c r="A67" s="30" t="n">
        <v>64</v>
      </c>
      <c r="B67" s="30" t="n">
        <f aca="false">IF(INT((A67-1)/가정!$B$12)+1&gt;10,"끝",INT((A67-1)/가정!$B$12)+1)</f>
        <v>6</v>
      </c>
      <c r="C67" s="16" t="n">
        <f aca="false">IF(B67="끝",0,가정!$B$14*가정!$B$8^(B67-1))</f>
        <v>2.0210220576</v>
      </c>
      <c r="D67" s="17" t="n">
        <f aca="false">C67*가정!$B$13</f>
        <v>61.472754252</v>
      </c>
      <c r="E67" s="30" t="n">
        <f aca="false">E66+D67</f>
        <v>8506.46805780799</v>
      </c>
      <c r="F67" s="31" t="n">
        <f aca="false">E67*가정!$B$22-가정!$B$6</f>
        <v>3462.5262670026</v>
      </c>
      <c r="G67" s="31" t="n">
        <f aca="false">E67*가정!$B$18-가정!$B$6</f>
        <v>3798.234028904</v>
      </c>
      <c r="H67" s="31" t="n">
        <f aca="false">E67*가정!$B$19-가정!$B$6</f>
        <v>8051.46805780799</v>
      </c>
      <c r="I67" s="31" t="n">
        <f aca="false">E67*가정!$B$20-가정!$B$6</f>
        <v>12304.702086712</v>
      </c>
      <c r="J67" s="31" t="n">
        <f aca="false">E67*가정!$B$21-가정!$B$6</f>
        <v>16557.936115616</v>
      </c>
    </row>
    <row r="68" customFormat="false" ht="15" hidden="false" customHeight="false" outlineLevel="0" collapsed="false">
      <c r="A68" s="30" t="n">
        <v>65</v>
      </c>
      <c r="B68" s="30" t="n">
        <f aca="false">IF(INT((A68-1)/가정!$B$12)+1&gt;10,"끝",INT((A68-1)/가정!$B$12)+1)</f>
        <v>6</v>
      </c>
      <c r="C68" s="16" t="n">
        <f aca="false">IF(B68="끝",0,가정!$B$14*가정!$B$8^(B68-1))</f>
        <v>2.0210220576</v>
      </c>
      <c r="D68" s="17" t="n">
        <f aca="false">C68*가정!$B$13</f>
        <v>61.472754252</v>
      </c>
      <c r="E68" s="30" t="n">
        <f aca="false">E67+D68</f>
        <v>8567.94081205999</v>
      </c>
      <c r="F68" s="31" t="n">
        <f aca="false">E68*가정!$B$22-가정!$B$6</f>
        <v>3490.83662188205</v>
      </c>
      <c r="G68" s="31" t="n">
        <f aca="false">E68*가정!$B$18-가정!$B$6</f>
        <v>3828.97040603</v>
      </c>
      <c r="H68" s="31" t="n">
        <f aca="false">E68*가정!$B$19-가정!$B$6</f>
        <v>8112.94081205999</v>
      </c>
      <c r="I68" s="31" t="n">
        <f aca="false">E68*가정!$B$20-가정!$B$6</f>
        <v>12396.91121809</v>
      </c>
      <c r="J68" s="31" t="n">
        <f aca="false">E68*가정!$B$21-가정!$B$6</f>
        <v>16680.88162412</v>
      </c>
    </row>
    <row r="69" customFormat="false" ht="15" hidden="false" customHeight="false" outlineLevel="0" collapsed="false">
      <c r="A69" s="30" t="n">
        <v>66</v>
      </c>
      <c r="B69" s="30" t="n">
        <f aca="false">IF(INT((A69-1)/가정!$B$12)+1&gt;10,"끝",INT((A69-1)/가정!$B$12)+1)</f>
        <v>6</v>
      </c>
      <c r="C69" s="16" t="n">
        <f aca="false">IF(B69="끝",0,가정!$B$14*가정!$B$8^(B69-1))</f>
        <v>2.0210220576</v>
      </c>
      <c r="D69" s="17" t="n">
        <f aca="false">C69*가정!$B$13</f>
        <v>61.472754252</v>
      </c>
      <c r="E69" s="30" t="n">
        <f aca="false">E68+D69</f>
        <v>8629.41356631199</v>
      </c>
      <c r="F69" s="31" t="n">
        <f aca="false">E69*가정!$B$22-가정!$B$6</f>
        <v>3519.14697676149</v>
      </c>
      <c r="G69" s="31" t="n">
        <f aca="false">E69*가정!$B$18-가정!$B$6</f>
        <v>3859.706783156</v>
      </c>
      <c r="H69" s="31" t="n">
        <f aca="false">E69*가정!$B$19-가정!$B$6</f>
        <v>8174.41356631199</v>
      </c>
      <c r="I69" s="31" t="n">
        <f aca="false">E69*가정!$B$20-가정!$B$6</f>
        <v>12489.120349468</v>
      </c>
      <c r="J69" s="31" t="n">
        <f aca="false">E69*가정!$B$21-가정!$B$6</f>
        <v>16803.827132624</v>
      </c>
    </row>
    <row r="70" customFormat="false" ht="15" hidden="false" customHeight="false" outlineLevel="0" collapsed="false">
      <c r="A70" s="30" t="n">
        <v>67</v>
      </c>
      <c r="B70" s="30" t="n">
        <f aca="false">IF(INT((A70-1)/가정!$B$12)+1&gt;10,"끝",INT((A70-1)/가정!$B$12)+1)</f>
        <v>6</v>
      </c>
      <c r="C70" s="16" t="n">
        <f aca="false">IF(B70="끝",0,가정!$B$14*가정!$B$8^(B70-1))</f>
        <v>2.0210220576</v>
      </c>
      <c r="D70" s="17" t="n">
        <f aca="false">C70*가정!$B$13</f>
        <v>61.472754252</v>
      </c>
      <c r="E70" s="30" t="n">
        <f aca="false">E69+D70</f>
        <v>8690.88632056399</v>
      </c>
      <c r="F70" s="31" t="n">
        <f aca="false">E70*가정!$B$22-가정!$B$6</f>
        <v>3547.45733164094</v>
      </c>
      <c r="G70" s="31" t="n">
        <f aca="false">E70*가정!$B$18-가정!$B$6</f>
        <v>3890.443160282</v>
      </c>
      <c r="H70" s="31" t="n">
        <f aca="false">E70*가정!$B$19-가정!$B$6</f>
        <v>8235.88632056399</v>
      </c>
      <c r="I70" s="31" t="n">
        <f aca="false">E70*가정!$B$20-가정!$B$6</f>
        <v>12581.329480846</v>
      </c>
      <c r="J70" s="31" t="n">
        <f aca="false">E70*가정!$B$21-가정!$B$6</f>
        <v>16926.772641128</v>
      </c>
    </row>
    <row r="71" customFormat="false" ht="15" hidden="false" customHeight="false" outlineLevel="0" collapsed="false">
      <c r="A71" s="30" t="n">
        <v>68</v>
      </c>
      <c r="B71" s="30" t="n">
        <f aca="false">IF(INT((A71-1)/가정!$B$12)+1&gt;10,"끝",INT((A71-1)/가정!$B$12)+1)</f>
        <v>6</v>
      </c>
      <c r="C71" s="16" t="n">
        <f aca="false">IF(B71="끝",0,가정!$B$14*가정!$B$8^(B71-1))</f>
        <v>2.0210220576</v>
      </c>
      <c r="D71" s="17" t="n">
        <f aca="false">C71*가정!$B$13</f>
        <v>61.472754252</v>
      </c>
      <c r="E71" s="30" t="n">
        <f aca="false">E70+D71</f>
        <v>8752.35907481599</v>
      </c>
      <c r="F71" s="31" t="n">
        <f aca="false">E71*가정!$B$22-가정!$B$6</f>
        <v>3575.76768652038</v>
      </c>
      <c r="G71" s="31" t="n">
        <f aca="false">E71*가정!$B$18-가정!$B$6</f>
        <v>3921.179537408</v>
      </c>
      <c r="H71" s="31" t="n">
        <f aca="false">E71*가정!$B$19-가정!$B$6</f>
        <v>8297.35907481599</v>
      </c>
      <c r="I71" s="31" t="n">
        <f aca="false">E71*가정!$B$20-가정!$B$6</f>
        <v>12673.538612224</v>
      </c>
      <c r="J71" s="31" t="n">
        <f aca="false">E71*가정!$B$21-가정!$B$6</f>
        <v>17049.718149632</v>
      </c>
    </row>
    <row r="72" customFormat="false" ht="15" hidden="false" customHeight="false" outlineLevel="0" collapsed="false">
      <c r="A72" s="30" t="n">
        <v>69</v>
      </c>
      <c r="B72" s="30" t="n">
        <f aca="false">IF(INT((A72-1)/가정!$B$12)+1&gt;10,"끝",INT((A72-1)/가정!$B$12)+1)</f>
        <v>6</v>
      </c>
      <c r="C72" s="16" t="n">
        <f aca="false">IF(B72="끝",0,가정!$B$14*가정!$B$8^(B72-1))</f>
        <v>2.0210220576</v>
      </c>
      <c r="D72" s="17" t="n">
        <f aca="false">C72*가정!$B$13</f>
        <v>61.472754252</v>
      </c>
      <c r="E72" s="30" t="n">
        <f aca="false">E71+D72</f>
        <v>8813.83182906799</v>
      </c>
      <c r="F72" s="31" t="n">
        <f aca="false">E72*가정!$B$22-가정!$B$6</f>
        <v>3604.07804139983</v>
      </c>
      <c r="G72" s="31" t="n">
        <f aca="false">E72*가정!$B$18-가정!$B$6</f>
        <v>3951.915914534</v>
      </c>
      <c r="H72" s="31" t="n">
        <f aca="false">E72*가정!$B$19-가정!$B$6</f>
        <v>8358.83182906799</v>
      </c>
      <c r="I72" s="31" t="n">
        <f aca="false">E72*가정!$B$20-가정!$B$6</f>
        <v>12765.747743602</v>
      </c>
      <c r="J72" s="31" t="n">
        <f aca="false">E72*가정!$B$21-가정!$B$6</f>
        <v>17172.663658136</v>
      </c>
    </row>
    <row r="73" customFormat="false" ht="15" hidden="false" customHeight="false" outlineLevel="0" collapsed="false">
      <c r="A73" s="30" t="n">
        <v>70</v>
      </c>
      <c r="B73" s="30" t="n">
        <f aca="false">IF(INT((A73-1)/가정!$B$12)+1&gt;10,"끝",INT((A73-1)/가정!$B$12)+1)</f>
        <v>6</v>
      </c>
      <c r="C73" s="16" t="n">
        <f aca="false">IF(B73="끝",0,가정!$B$14*가정!$B$8^(B73-1))</f>
        <v>2.0210220576</v>
      </c>
      <c r="D73" s="17" t="n">
        <f aca="false">C73*가정!$B$13</f>
        <v>61.472754252</v>
      </c>
      <c r="E73" s="30" t="n">
        <f aca="false">E72+D73</f>
        <v>8875.30458331999</v>
      </c>
      <c r="F73" s="31" t="n">
        <f aca="false">E73*가정!$B$22-가정!$B$6</f>
        <v>3632.38839627927</v>
      </c>
      <c r="G73" s="31" t="n">
        <f aca="false">E73*가정!$B$18-가정!$B$6</f>
        <v>3982.65229166</v>
      </c>
      <c r="H73" s="31" t="n">
        <f aca="false">E73*가정!$B$19-가정!$B$6</f>
        <v>8420.30458331999</v>
      </c>
      <c r="I73" s="31" t="n">
        <f aca="false">E73*가정!$B$20-가정!$B$6</f>
        <v>12857.95687498</v>
      </c>
      <c r="J73" s="31" t="n">
        <f aca="false">E73*가정!$B$21-가정!$B$6</f>
        <v>17295.60916664</v>
      </c>
    </row>
    <row r="74" customFormat="false" ht="15" hidden="false" customHeight="false" outlineLevel="0" collapsed="false">
      <c r="A74" s="30" t="n">
        <v>71</v>
      </c>
      <c r="B74" s="30" t="n">
        <f aca="false">IF(INT((A74-1)/가정!$B$12)+1&gt;10,"끝",INT((A74-1)/가정!$B$12)+1)</f>
        <v>6</v>
      </c>
      <c r="C74" s="16" t="n">
        <f aca="false">IF(B74="끝",0,가정!$B$14*가정!$B$8^(B74-1))</f>
        <v>2.0210220576</v>
      </c>
      <c r="D74" s="17" t="n">
        <f aca="false">C74*가정!$B$13</f>
        <v>61.472754252</v>
      </c>
      <c r="E74" s="30" t="n">
        <f aca="false">E73+D74</f>
        <v>8936.77733757199</v>
      </c>
      <c r="F74" s="31" t="n">
        <f aca="false">E74*가정!$B$22-가정!$B$6</f>
        <v>3660.69875115872</v>
      </c>
      <c r="G74" s="31" t="n">
        <f aca="false">E74*가정!$B$18-가정!$B$6</f>
        <v>4013.388668786</v>
      </c>
      <c r="H74" s="31" t="n">
        <f aca="false">E74*가정!$B$19-가정!$B$6</f>
        <v>8481.77733757199</v>
      </c>
      <c r="I74" s="31" t="n">
        <f aca="false">E74*가정!$B$20-가정!$B$6</f>
        <v>12950.166006358</v>
      </c>
      <c r="J74" s="31" t="n">
        <f aca="false">E74*가정!$B$21-가정!$B$6</f>
        <v>17418.554675144</v>
      </c>
    </row>
    <row r="75" customFormat="false" ht="15" hidden="false" customHeight="false" outlineLevel="0" collapsed="false">
      <c r="A75" s="30" t="n">
        <v>72</v>
      </c>
      <c r="B75" s="30" t="n">
        <f aca="false">IF(INT((A75-1)/가정!$B$12)+1&gt;10,"끝",INT((A75-1)/가정!$B$12)+1)</f>
        <v>6</v>
      </c>
      <c r="C75" s="16" t="n">
        <f aca="false">IF(B75="끝",0,가정!$B$14*가정!$B$8^(B75-1))</f>
        <v>2.0210220576</v>
      </c>
      <c r="D75" s="17" t="n">
        <f aca="false">C75*가정!$B$13</f>
        <v>61.472754252</v>
      </c>
      <c r="E75" s="30" t="n">
        <f aca="false">E74+D75</f>
        <v>8998.25009182399</v>
      </c>
      <c r="F75" s="31" t="n">
        <f aca="false">E75*가정!$B$22-가정!$B$6</f>
        <v>3689.00910603816</v>
      </c>
      <c r="G75" s="31" t="n">
        <f aca="false">E75*가정!$B$18-가정!$B$6</f>
        <v>4044.12504591199</v>
      </c>
      <c r="H75" s="31" t="n">
        <f aca="false">E75*가정!$B$19-가정!$B$6</f>
        <v>8543.25009182399</v>
      </c>
      <c r="I75" s="31" t="n">
        <f aca="false">E75*가정!$B$20-가정!$B$6</f>
        <v>13042.375137736</v>
      </c>
      <c r="J75" s="31" t="n">
        <f aca="false">E75*가정!$B$21-가정!$B$6</f>
        <v>17541.500183648</v>
      </c>
    </row>
    <row r="76" customFormat="false" ht="15" hidden="false" customHeight="false" outlineLevel="0" collapsed="false">
      <c r="A76" s="30" t="n">
        <v>73</v>
      </c>
      <c r="B76" s="30" t="n">
        <f aca="false">IF(INT((A76-1)/가정!$B$12)+1&gt;10,"끝",INT((A76-1)/가정!$B$12)+1)</f>
        <v>7</v>
      </c>
      <c r="C76" s="16" t="n">
        <f aca="false">IF(B76="끝",0,가정!$B$14*가정!$B$8^(B76-1))</f>
        <v>1.576397204928</v>
      </c>
      <c r="D76" s="17" t="n">
        <f aca="false">C76*가정!$B$13</f>
        <v>47.94874831656</v>
      </c>
      <c r="E76" s="30" t="n">
        <f aca="false">E75+D76</f>
        <v>9046.19884014055</v>
      </c>
      <c r="F76" s="31" t="n">
        <f aca="false">E76*가정!$B$22-가정!$B$6</f>
        <v>3711.09118284413</v>
      </c>
      <c r="G76" s="31" t="n">
        <f aca="false">E76*가정!$B$18-가정!$B$6</f>
        <v>4068.09942007027</v>
      </c>
      <c r="H76" s="31" t="n">
        <f aca="false">E76*가정!$B$19-가정!$B$6</f>
        <v>8591.19884014055</v>
      </c>
      <c r="I76" s="31" t="n">
        <f aca="false">E76*가정!$B$20-가정!$B$6</f>
        <v>13114.2982602108</v>
      </c>
      <c r="J76" s="31" t="n">
        <f aca="false">E76*가정!$B$21-가정!$B$6</f>
        <v>17637.3976802811</v>
      </c>
    </row>
    <row r="77" customFormat="false" ht="15" hidden="false" customHeight="false" outlineLevel="0" collapsed="false">
      <c r="A77" s="30" t="n">
        <v>74</v>
      </c>
      <c r="B77" s="30" t="n">
        <f aca="false">IF(INT((A77-1)/가정!$B$12)+1&gt;10,"끝",INT((A77-1)/가정!$B$12)+1)</f>
        <v>7</v>
      </c>
      <c r="C77" s="16" t="n">
        <f aca="false">IF(B77="끝",0,가정!$B$14*가정!$B$8^(B77-1))</f>
        <v>1.576397204928</v>
      </c>
      <c r="D77" s="17" t="n">
        <f aca="false">C77*가정!$B$13</f>
        <v>47.94874831656</v>
      </c>
      <c r="E77" s="30" t="n">
        <f aca="false">E76+D77</f>
        <v>9094.14758845711</v>
      </c>
      <c r="F77" s="31" t="n">
        <f aca="false">E77*가정!$B$22-가정!$B$6</f>
        <v>3733.17325965009</v>
      </c>
      <c r="G77" s="31" t="n">
        <f aca="false">E77*가정!$B$18-가정!$B$6</f>
        <v>4092.07379422855</v>
      </c>
      <c r="H77" s="31" t="n">
        <f aca="false">E77*가정!$B$19-가정!$B$6</f>
        <v>8639.14758845711</v>
      </c>
      <c r="I77" s="31" t="n">
        <f aca="false">E77*가정!$B$20-가정!$B$6</f>
        <v>13186.2213826857</v>
      </c>
      <c r="J77" s="31" t="n">
        <f aca="false">E77*가정!$B$21-가정!$B$6</f>
        <v>17733.2951769142</v>
      </c>
    </row>
    <row r="78" customFormat="false" ht="15" hidden="false" customHeight="false" outlineLevel="0" collapsed="false">
      <c r="A78" s="30" t="n">
        <v>75</v>
      </c>
      <c r="B78" s="30" t="n">
        <f aca="false">IF(INT((A78-1)/가정!$B$12)+1&gt;10,"끝",INT((A78-1)/가정!$B$12)+1)</f>
        <v>7</v>
      </c>
      <c r="C78" s="16" t="n">
        <f aca="false">IF(B78="끝",0,가정!$B$14*가정!$B$8^(B78-1))</f>
        <v>1.576397204928</v>
      </c>
      <c r="D78" s="17" t="n">
        <f aca="false">C78*가정!$B$13</f>
        <v>47.94874831656</v>
      </c>
      <c r="E78" s="30" t="n">
        <f aca="false">E77+D78</f>
        <v>9142.09633677367</v>
      </c>
      <c r="F78" s="31" t="n">
        <f aca="false">E78*가정!$B$22-가정!$B$6</f>
        <v>3755.25533645606</v>
      </c>
      <c r="G78" s="31" t="n">
        <f aca="false">E78*가정!$B$18-가정!$B$6</f>
        <v>4116.04816838683</v>
      </c>
      <c r="H78" s="31" t="n">
        <f aca="false">E78*가정!$B$19-가정!$B$6</f>
        <v>8687.09633677367</v>
      </c>
      <c r="I78" s="31" t="n">
        <f aca="false">E78*가정!$B$20-가정!$B$6</f>
        <v>13258.1445051605</v>
      </c>
      <c r="J78" s="31" t="n">
        <f aca="false">E78*가정!$B$21-가정!$B$6</f>
        <v>17829.1926735473</v>
      </c>
    </row>
    <row r="79" customFormat="false" ht="15" hidden="false" customHeight="false" outlineLevel="0" collapsed="false">
      <c r="A79" s="30" t="n">
        <v>76</v>
      </c>
      <c r="B79" s="30" t="n">
        <f aca="false">IF(INT((A79-1)/가정!$B$12)+1&gt;10,"끝",INT((A79-1)/가정!$B$12)+1)</f>
        <v>7</v>
      </c>
      <c r="C79" s="16" t="n">
        <f aca="false">IF(B79="끝",0,가정!$B$14*가정!$B$8^(B79-1))</f>
        <v>1.576397204928</v>
      </c>
      <c r="D79" s="17" t="n">
        <f aca="false">C79*가정!$B$13</f>
        <v>47.94874831656</v>
      </c>
      <c r="E79" s="30" t="n">
        <f aca="false">E78+D79</f>
        <v>9190.04508509023</v>
      </c>
      <c r="F79" s="31" t="n">
        <f aca="false">E79*가정!$B$22-가정!$B$6</f>
        <v>3777.33741326203</v>
      </c>
      <c r="G79" s="31" t="n">
        <f aca="false">E79*가정!$B$18-가정!$B$6</f>
        <v>4140.02254254511</v>
      </c>
      <c r="H79" s="31" t="n">
        <f aca="false">E79*가정!$B$19-가정!$B$6</f>
        <v>8735.04508509023</v>
      </c>
      <c r="I79" s="31" t="n">
        <f aca="false">E79*가정!$B$20-가정!$B$6</f>
        <v>13330.0676276353</v>
      </c>
      <c r="J79" s="31" t="n">
        <f aca="false">E79*가정!$B$21-가정!$B$6</f>
        <v>17925.0901701805</v>
      </c>
    </row>
    <row r="80" customFormat="false" ht="15" hidden="false" customHeight="false" outlineLevel="0" collapsed="false">
      <c r="A80" s="30" t="n">
        <v>77</v>
      </c>
      <c r="B80" s="30" t="n">
        <f aca="false">IF(INT((A80-1)/가정!$B$12)+1&gt;10,"끝",INT((A80-1)/가정!$B$12)+1)</f>
        <v>7</v>
      </c>
      <c r="C80" s="16" t="n">
        <f aca="false">IF(B80="끝",0,가정!$B$14*가정!$B$8^(B80-1))</f>
        <v>1.576397204928</v>
      </c>
      <c r="D80" s="17" t="n">
        <f aca="false">C80*가정!$B$13</f>
        <v>47.94874831656</v>
      </c>
      <c r="E80" s="30" t="n">
        <f aca="false">E79+D80</f>
        <v>9237.99383340679</v>
      </c>
      <c r="F80" s="31" t="n">
        <f aca="false">E80*가정!$B$22-가정!$B$6</f>
        <v>3799.419490068</v>
      </c>
      <c r="G80" s="31" t="n">
        <f aca="false">E80*가정!$B$18-가정!$B$6</f>
        <v>4163.99691670339</v>
      </c>
      <c r="H80" s="31" t="n">
        <f aca="false">E80*가정!$B$19-가정!$B$6</f>
        <v>8782.99383340679</v>
      </c>
      <c r="I80" s="31" t="n">
        <f aca="false">E80*가정!$B$20-가정!$B$6</f>
        <v>13401.9907501102</v>
      </c>
      <c r="J80" s="31" t="n">
        <f aca="false">E80*가정!$B$21-가정!$B$6</f>
        <v>18020.9876668136</v>
      </c>
    </row>
    <row r="81" customFormat="false" ht="15" hidden="false" customHeight="false" outlineLevel="0" collapsed="false">
      <c r="A81" s="30" t="n">
        <v>78</v>
      </c>
      <c r="B81" s="30" t="n">
        <f aca="false">IF(INT((A81-1)/가정!$B$12)+1&gt;10,"끝",INT((A81-1)/가정!$B$12)+1)</f>
        <v>7</v>
      </c>
      <c r="C81" s="16" t="n">
        <f aca="false">IF(B81="끝",0,가정!$B$14*가정!$B$8^(B81-1))</f>
        <v>1.576397204928</v>
      </c>
      <c r="D81" s="17" t="n">
        <f aca="false">C81*가정!$B$13</f>
        <v>47.94874831656</v>
      </c>
      <c r="E81" s="30" t="n">
        <f aca="false">E80+D81</f>
        <v>9285.94258172335</v>
      </c>
      <c r="F81" s="31" t="n">
        <f aca="false">E81*가정!$B$22-가정!$B$6</f>
        <v>3821.50156687396</v>
      </c>
      <c r="G81" s="31" t="n">
        <f aca="false">E81*가정!$B$18-가정!$B$6</f>
        <v>4187.97129086167</v>
      </c>
      <c r="H81" s="31" t="n">
        <f aca="false">E81*가정!$B$19-가정!$B$6</f>
        <v>8830.94258172335</v>
      </c>
      <c r="I81" s="31" t="n">
        <f aca="false">E81*가정!$B$20-가정!$B$6</f>
        <v>13473.913872585</v>
      </c>
      <c r="J81" s="31" t="n">
        <f aca="false">E81*가정!$B$21-가정!$B$6</f>
        <v>18116.8851634467</v>
      </c>
    </row>
    <row r="82" customFormat="false" ht="15" hidden="false" customHeight="false" outlineLevel="0" collapsed="false">
      <c r="A82" s="30" t="n">
        <v>79</v>
      </c>
      <c r="B82" s="30" t="n">
        <f aca="false">IF(INT((A82-1)/가정!$B$12)+1&gt;10,"끝",INT((A82-1)/가정!$B$12)+1)</f>
        <v>7</v>
      </c>
      <c r="C82" s="16" t="n">
        <f aca="false">IF(B82="끝",0,가정!$B$14*가정!$B$8^(B82-1))</f>
        <v>1.576397204928</v>
      </c>
      <c r="D82" s="17" t="n">
        <f aca="false">C82*가정!$B$13</f>
        <v>47.94874831656</v>
      </c>
      <c r="E82" s="30" t="n">
        <f aca="false">E81+D82</f>
        <v>9333.89133003991</v>
      </c>
      <c r="F82" s="31" t="n">
        <f aca="false">E82*가정!$B$22-가정!$B$6</f>
        <v>3843.58364367993</v>
      </c>
      <c r="G82" s="31" t="n">
        <f aca="false">E82*가정!$B$18-가정!$B$6</f>
        <v>4211.94566501995</v>
      </c>
      <c r="H82" s="31" t="n">
        <f aca="false">E82*가정!$B$19-가정!$B$6</f>
        <v>8878.89133003991</v>
      </c>
      <c r="I82" s="31" t="n">
        <f aca="false">E82*가정!$B$20-가정!$B$6</f>
        <v>13545.8369950599</v>
      </c>
      <c r="J82" s="31" t="n">
        <f aca="false">E82*가정!$B$21-가정!$B$6</f>
        <v>18212.7826600798</v>
      </c>
    </row>
    <row r="83" customFormat="false" ht="15" hidden="false" customHeight="false" outlineLevel="0" collapsed="false">
      <c r="A83" s="30" t="n">
        <v>80</v>
      </c>
      <c r="B83" s="30" t="n">
        <f aca="false">IF(INT((A83-1)/가정!$B$12)+1&gt;10,"끝",INT((A83-1)/가정!$B$12)+1)</f>
        <v>7</v>
      </c>
      <c r="C83" s="16" t="n">
        <f aca="false">IF(B83="끝",0,가정!$B$14*가정!$B$8^(B83-1))</f>
        <v>1.576397204928</v>
      </c>
      <c r="D83" s="17" t="n">
        <f aca="false">C83*가정!$B$13</f>
        <v>47.94874831656</v>
      </c>
      <c r="E83" s="30" t="n">
        <f aca="false">E82+D83</f>
        <v>9381.84007835647</v>
      </c>
      <c r="F83" s="31" t="n">
        <f aca="false">E83*가정!$B$22-가정!$B$6</f>
        <v>3865.6657204859</v>
      </c>
      <c r="G83" s="31" t="n">
        <f aca="false">E83*가정!$B$18-가정!$B$6</f>
        <v>4235.92003917823</v>
      </c>
      <c r="H83" s="31" t="n">
        <f aca="false">E83*가정!$B$19-가정!$B$6</f>
        <v>8926.84007835647</v>
      </c>
      <c r="I83" s="31" t="n">
        <f aca="false">E83*가정!$B$20-가정!$B$6</f>
        <v>13617.7601175347</v>
      </c>
      <c r="J83" s="31" t="n">
        <f aca="false">E83*가정!$B$21-가정!$B$6</f>
        <v>18308.6801567129</v>
      </c>
    </row>
    <row r="84" customFormat="false" ht="15" hidden="false" customHeight="false" outlineLevel="0" collapsed="false">
      <c r="A84" s="30" t="n">
        <v>81</v>
      </c>
      <c r="B84" s="30" t="n">
        <f aca="false">IF(INT((A84-1)/가정!$B$12)+1&gt;10,"끝",INT((A84-1)/가정!$B$12)+1)</f>
        <v>7</v>
      </c>
      <c r="C84" s="16" t="n">
        <f aca="false">IF(B84="끝",0,가정!$B$14*가정!$B$8^(B84-1))</f>
        <v>1.576397204928</v>
      </c>
      <c r="D84" s="17" t="n">
        <f aca="false">C84*가정!$B$13</f>
        <v>47.94874831656</v>
      </c>
      <c r="E84" s="30" t="n">
        <f aca="false">E83+D84</f>
        <v>9429.78882667302</v>
      </c>
      <c r="F84" s="31" t="n">
        <f aca="false">E84*가정!$B$22-가정!$B$6</f>
        <v>3887.74779729186</v>
      </c>
      <c r="G84" s="31" t="n">
        <f aca="false">E84*가정!$B$18-가정!$B$6</f>
        <v>4259.89441333651</v>
      </c>
      <c r="H84" s="31" t="n">
        <f aca="false">E84*가정!$B$19-가정!$B$6</f>
        <v>8974.78882667302</v>
      </c>
      <c r="I84" s="31" t="n">
        <f aca="false">E84*가정!$B$20-가정!$B$6</f>
        <v>13689.6832400095</v>
      </c>
      <c r="J84" s="31" t="n">
        <f aca="false">E84*가정!$B$21-가정!$B$6</f>
        <v>18404.5776533461</v>
      </c>
    </row>
    <row r="85" customFormat="false" ht="15" hidden="false" customHeight="false" outlineLevel="0" collapsed="false">
      <c r="A85" s="30" t="n">
        <v>82</v>
      </c>
      <c r="B85" s="30" t="n">
        <f aca="false">IF(INT((A85-1)/가정!$B$12)+1&gt;10,"끝",INT((A85-1)/가정!$B$12)+1)</f>
        <v>7</v>
      </c>
      <c r="C85" s="16" t="n">
        <f aca="false">IF(B85="끝",0,가정!$B$14*가정!$B$8^(B85-1))</f>
        <v>1.576397204928</v>
      </c>
      <c r="D85" s="17" t="n">
        <f aca="false">C85*가정!$B$13</f>
        <v>47.94874831656</v>
      </c>
      <c r="E85" s="30" t="n">
        <f aca="false">E84+D85</f>
        <v>9477.73757498958</v>
      </c>
      <c r="F85" s="31" t="n">
        <f aca="false">E85*가정!$B$22-가정!$B$6</f>
        <v>3909.82987409783</v>
      </c>
      <c r="G85" s="31" t="n">
        <f aca="false">E85*가정!$B$18-가정!$B$6</f>
        <v>4283.86878749479</v>
      </c>
      <c r="H85" s="31" t="n">
        <f aca="false">E85*가정!$B$19-가정!$B$6</f>
        <v>9022.73757498958</v>
      </c>
      <c r="I85" s="31" t="n">
        <f aca="false">E85*가정!$B$20-가정!$B$6</f>
        <v>13761.6063624844</v>
      </c>
      <c r="J85" s="31" t="n">
        <f aca="false">E85*가정!$B$21-가정!$B$6</f>
        <v>18500.4751499792</v>
      </c>
    </row>
    <row r="86" customFormat="false" ht="15" hidden="false" customHeight="false" outlineLevel="0" collapsed="false">
      <c r="A86" s="30" t="n">
        <v>83</v>
      </c>
      <c r="B86" s="30" t="n">
        <f aca="false">IF(INT((A86-1)/가정!$B$12)+1&gt;10,"끝",INT((A86-1)/가정!$B$12)+1)</f>
        <v>7</v>
      </c>
      <c r="C86" s="16" t="n">
        <f aca="false">IF(B86="끝",0,가정!$B$14*가정!$B$8^(B86-1))</f>
        <v>1.576397204928</v>
      </c>
      <c r="D86" s="17" t="n">
        <f aca="false">C86*가정!$B$13</f>
        <v>47.94874831656</v>
      </c>
      <c r="E86" s="30" t="n">
        <f aca="false">E85+D86</f>
        <v>9525.68632330614</v>
      </c>
      <c r="F86" s="31" t="n">
        <f aca="false">E86*가정!$B$22-가정!$B$6</f>
        <v>3931.91195090379</v>
      </c>
      <c r="G86" s="31" t="n">
        <f aca="false">E86*가정!$B$18-가정!$B$6</f>
        <v>4307.84316165307</v>
      </c>
      <c r="H86" s="31" t="n">
        <f aca="false">E86*가정!$B$19-가정!$B$6</f>
        <v>9070.68632330614</v>
      </c>
      <c r="I86" s="31" t="n">
        <f aca="false">E86*가정!$B$20-가정!$B$6</f>
        <v>13833.5294849592</v>
      </c>
      <c r="J86" s="31" t="n">
        <f aca="false">E86*가정!$B$21-가정!$B$6</f>
        <v>18596.3726466123</v>
      </c>
    </row>
    <row r="87" customFormat="false" ht="15" hidden="false" customHeight="false" outlineLevel="0" collapsed="false">
      <c r="A87" s="30" t="n">
        <v>84</v>
      </c>
      <c r="B87" s="30" t="n">
        <f aca="false">IF(INT((A87-1)/가정!$B$12)+1&gt;10,"끝",INT((A87-1)/가정!$B$12)+1)</f>
        <v>7</v>
      </c>
      <c r="C87" s="16" t="n">
        <f aca="false">IF(B87="끝",0,가정!$B$14*가정!$B$8^(B87-1))</f>
        <v>1.576397204928</v>
      </c>
      <c r="D87" s="17" t="n">
        <f aca="false">C87*가정!$B$13</f>
        <v>47.94874831656</v>
      </c>
      <c r="E87" s="30" t="n">
        <f aca="false">E86+D87</f>
        <v>9573.6350716227</v>
      </c>
      <c r="F87" s="31" t="n">
        <f aca="false">E87*가정!$B$22-가정!$B$6</f>
        <v>3953.99402770976</v>
      </c>
      <c r="G87" s="31" t="n">
        <f aca="false">E87*가정!$B$18-가정!$B$6</f>
        <v>4331.81753581135</v>
      </c>
      <c r="H87" s="31" t="n">
        <f aca="false">E87*가정!$B$19-가정!$B$6</f>
        <v>9118.6350716227</v>
      </c>
      <c r="I87" s="31" t="n">
        <f aca="false">E87*가정!$B$20-가정!$B$6</f>
        <v>13905.4526074341</v>
      </c>
      <c r="J87" s="31" t="n">
        <f aca="false">E87*가정!$B$21-가정!$B$6</f>
        <v>18692.2701432454</v>
      </c>
    </row>
    <row r="88" customFormat="false" ht="15" hidden="false" customHeight="false" outlineLevel="0" collapsed="false">
      <c r="A88" s="30" t="n">
        <v>85</v>
      </c>
      <c r="B88" s="30" t="n">
        <f aca="false">IF(INT((A88-1)/가정!$B$12)+1&gt;10,"끝",INT((A88-1)/가정!$B$12)+1)</f>
        <v>8</v>
      </c>
      <c r="C88" s="16" t="n">
        <f aca="false">IF(B88="끝",0,가정!$B$14*가정!$B$8^(B88-1))</f>
        <v>1.22958981984384</v>
      </c>
      <c r="D88" s="17" t="n">
        <f aca="false">C88*가정!$B$13</f>
        <v>37.4000236869168</v>
      </c>
      <c r="E88" s="30" t="n">
        <f aca="false">E87+D88</f>
        <v>9611.03509530962</v>
      </c>
      <c r="F88" s="31" t="n">
        <f aca="false">E88*가정!$B$22-가정!$B$6</f>
        <v>3971.21804761842</v>
      </c>
      <c r="G88" s="31" t="n">
        <f aca="false">E88*가정!$B$18-가정!$B$6</f>
        <v>4350.51754765481</v>
      </c>
      <c r="H88" s="31" t="n">
        <f aca="false">E88*가정!$B$19-가정!$B$6</f>
        <v>9156.03509530962</v>
      </c>
      <c r="I88" s="31" t="n">
        <f aca="false">E88*가정!$B$20-가정!$B$6</f>
        <v>13961.5526429644</v>
      </c>
      <c r="J88" s="31" t="n">
        <f aca="false">E88*가정!$B$21-가정!$B$6</f>
        <v>18767.0701906192</v>
      </c>
    </row>
    <row r="89" customFormat="false" ht="15" hidden="false" customHeight="false" outlineLevel="0" collapsed="false">
      <c r="A89" s="30" t="n">
        <v>86</v>
      </c>
      <c r="B89" s="30" t="n">
        <f aca="false">IF(INT((A89-1)/가정!$B$12)+1&gt;10,"끝",INT((A89-1)/가정!$B$12)+1)</f>
        <v>8</v>
      </c>
      <c r="C89" s="16" t="n">
        <f aca="false">IF(B89="끝",0,가정!$B$14*가정!$B$8^(B89-1))</f>
        <v>1.22958981984384</v>
      </c>
      <c r="D89" s="17" t="n">
        <f aca="false">C89*가정!$B$13</f>
        <v>37.4000236869168</v>
      </c>
      <c r="E89" s="30" t="n">
        <f aca="false">E88+D89</f>
        <v>9648.43511899654</v>
      </c>
      <c r="F89" s="31" t="n">
        <f aca="false">E89*가정!$B$22-가정!$B$6</f>
        <v>3988.44206752707</v>
      </c>
      <c r="G89" s="31" t="n">
        <f aca="false">E89*가정!$B$18-가정!$B$6</f>
        <v>4369.21755949827</v>
      </c>
      <c r="H89" s="31" t="n">
        <f aca="false">E89*가정!$B$19-가정!$B$6</f>
        <v>9193.43511899654</v>
      </c>
      <c r="I89" s="31" t="n">
        <f aca="false">E89*가정!$B$20-가정!$B$6</f>
        <v>14017.6526784948</v>
      </c>
      <c r="J89" s="31" t="n">
        <f aca="false">E89*가정!$B$21-가정!$B$6</f>
        <v>18841.8702379931</v>
      </c>
    </row>
    <row r="90" customFormat="false" ht="15" hidden="false" customHeight="false" outlineLevel="0" collapsed="false">
      <c r="A90" s="30" t="n">
        <v>87</v>
      </c>
      <c r="B90" s="30" t="n">
        <f aca="false">IF(INT((A90-1)/가정!$B$12)+1&gt;10,"끝",INT((A90-1)/가정!$B$12)+1)</f>
        <v>8</v>
      </c>
      <c r="C90" s="16" t="n">
        <f aca="false">IF(B90="끝",0,가정!$B$14*가정!$B$8^(B90-1))</f>
        <v>1.22958981984384</v>
      </c>
      <c r="D90" s="17" t="n">
        <f aca="false">C90*가정!$B$13</f>
        <v>37.4000236869168</v>
      </c>
      <c r="E90" s="30" t="n">
        <f aca="false">E89+D90</f>
        <v>9685.83514268345</v>
      </c>
      <c r="F90" s="31" t="n">
        <f aca="false">E90*가정!$B$22-가정!$B$6</f>
        <v>4005.66608743572</v>
      </c>
      <c r="G90" s="31" t="n">
        <f aca="false">E90*가정!$B$18-가정!$B$6</f>
        <v>4387.91757134173</v>
      </c>
      <c r="H90" s="31" t="n">
        <f aca="false">E90*가정!$B$19-가정!$B$6</f>
        <v>9230.83514268345</v>
      </c>
      <c r="I90" s="31" t="n">
        <f aca="false">E90*가정!$B$20-가정!$B$6</f>
        <v>14073.7527140252</v>
      </c>
      <c r="J90" s="31" t="n">
        <f aca="false">E90*가정!$B$21-가정!$B$6</f>
        <v>18916.6702853669</v>
      </c>
    </row>
    <row r="91" customFormat="false" ht="15" hidden="false" customHeight="false" outlineLevel="0" collapsed="false">
      <c r="A91" s="30" t="n">
        <v>88</v>
      </c>
      <c r="B91" s="30" t="n">
        <f aca="false">IF(INT((A91-1)/가정!$B$12)+1&gt;10,"끝",INT((A91-1)/가정!$B$12)+1)</f>
        <v>8</v>
      </c>
      <c r="C91" s="16" t="n">
        <f aca="false">IF(B91="끝",0,가정!$B$14*가정!$B$8^(B91-1))</f>
        <v>1.22958981984384</v>
      </c>
      <c r="D91" s="17" t="n">
        <f aca="false">C91*가정!$B$13</f>
        <v>37.4000236869168</v>
      </c>
      <c r="E91" s="30" t="n">
        <f aca="false">E90+D91</f>
        <v>9723.23516637037</v>
      </c>
      <c r="F91" s="31" t="n">
        <f aca="false">E91*가정!$B$22-가정!$B$6</f>
        <v>4022.89010734438</v>
      </c>
      <c r="G91" s="31" t="n">
        <f aca="false">E91*가정!$B$18-가정!$B$6</f>
        <v>4406.61758318518</v>
      </c>
      <c r="H91" s="31" t="n">
        <f aca="false">E91*가정!$B$19-가정!$B$6</f>
        <v>9268.23516637037</v>
      </c>
      <c r="I91" s="31" t="n">
        <f aca="false">E91*가정!$B$20-가정!$B$6</f>
        <v>14129.8527495556</v>
      </c>
      <c r="J91" s="31" t="n">
        <f aca="false">E91*가정!$B$21-가정!$B$6</f>
        <v>18991.4703327407</v>
      </c>
    </row>
    <row r="92" customFormat="false" ht="15" hidden="false" customHeight="false" outlineLevel="0" collapsed="false">
      <c r="A92" s="30" t="n">
        <v>89</v>
      </c>
      <c r="B92" s="30" t="n">
        <f aca="false">IF(INT((A92-1)/가정!$B$12)+1&gt;10,"끝",INT((A92-1)/가정!$B$12)+1)</f>
        <v>8</v>
      </c>
      <c r="C92" s="16" t="n">
        <f aca="false">IF(B92="끝",0,가정!$B$14*가정!$B$8^(B92-1))</f>
        <v>1.22958981984384</v>
      </c>
      <c r="D92" s="17" t="n">
        <f aca="false">C92*가정!$B$13</f>
        <v>37.4000236869168</v>
      </c>
      <c r="E92" s="30" t="n">
        <f aca="false">E91+D92</f>
        <v>9760.63519005728</v>
      </c>
      <c r="F92" s="31" t="n">
        <f aca="false">E92*가정!$B$22-가정!$B$6</f>
        <v>4040.11412725303</v>
      </c>
      <c r="G92" s="31" t="n">
        <f aca="false">E92*가정!$B$18-가정!$B$6</f>
        <v>4425.31759502864</v>
      </c>
      <c r="H92" s="31" t="n">
        <f aca="false">E92*가정!$B$19-가정!$B$6</f>
        <v>9305.63519005728</v>
      </c>
      <c r="I92" s="31" t="n">
        <f aca="false">E92*가정!$B$20-가정!$B$6</f>
        <v>14185.9527850859</v>
      </c>
      <c r="J92" s="31" t="n">
        <f aca="false">E92*가정!$B$21-가정!$B$6</f>
        <v>19066.2703801146</v>
      </c>
    </row>
    <row r="93" customFormat="false" ht="15" hidden="false" customHeight="false" outlineLevel="0" collapsed="false">
      <c r="A93" s="30" t="n">
        <v>90</v>
      </c>
      <c r="B93" s="30" t="n">
        <f aca="false">IF(INT((A93-1)/가정!$B$12)+1&gt;10,"끝",INT((A93-1)/가정!$B$12)+1)</f>
        <v>8</v>
      </c>
      <c r="C93" s="16" t="n">
        <f aca="false">IF(B93="끝",0,가정!$B$14*가정!$B$8^(B93-1))</f>
        <v>1.22958981984384</v>
      </c>
      <c r="D93" s="17" t="n">
        <f aca="false">C93*가정!$B$13</f>
        <v>37.4000236869168</v>
      </c>
      <c r="E93" s="30" t="n">
        <f aca="false">E92+D93</f>
        <v>9798.0352137442</v>
      </c>
      <c r="F93" s="31" t="n">
        <f aca="false">E93*가정!$B$22-가정!$B$6</f>
        <v>4057.33814716169</v>
      </c>
      <c r="G93" s="31" t="n">
        <f aca="false">E93*가정!$B$18-가정!$B$6</f>
        <v>4444.0176068721</v>
      </c>
      <c r="H93" s="31" t="n">
        <f aca="false">E93*가정!$B$19-가정!$B$6</f>
        <v>9343.0352137442</v>
      </c>
      <c r="I93" s="31" t="n">
        <f aca="false">E93*가정!$B$20-가정!$B$6</f>
        <v>14242.0528206163</v>
      </c>
      <c r="J93" s="31" t="n">
        <f aca="false">E93*가정!$B$21-가정!$B$6</f>
        <v>19141.0704274884</v>
      </c>
    </row>
    <row r="94" customFormat="false" ht="15" hidden="false" customHeight="false" outlineLevel="0" collapsed="false">
      <c r="A94" s="30" t="n">
        <v>91</v>
      </c>
      <c r="B94" s="30" t="n">
        <f aca="false">IF(INT((A94-1)/가정!$B$12)+1&gt;10,"끝",INT((A94-1)/가정!$B$12)+1)</f>
        <v>8</v>
      </c>
      <c r="C94" s="16" t="n">
        <f aca="false">IF(B94="끝",0,가정!$B$14*가정!$B$8^(B94-1))</f>
        <v>1.22958981984384</v>
      </c>
      <c r="D94" s="17" t="n">
        <f aca="false">C94*가정!$B$13</f>
        <v>37.4000236869168</v>
      </c>
      <c r="E94" s="30" t="n">
        <f aca="false">E93+D94</f>
        <v>9835.43523743112</v>
      </c>
      <c r="F94" s="31" t="n">
        <f aca="false">E94*가정!$B$22-가정!$B$6</f>
        <v>4074.56216707034</v>
      </c>
      <c r="G94" s="31" t="n">
        <f aca="false">E94*가정!$B$18-가정!$B$6</f>
        <v>4462.71761871556</v>
      </c>
      <c r="H94" s="31" t="n">
        <f aca="false">E94*가정!$B$19-가정!$B$6</f>
        <v>9380.43523743112</v>
      </c>
      <c r="I94" s="31" t="n">
        <f aca="false">E94*가정!$B$20-가정!$B$6</f>
        <v>14298.1528561467</v>
      </c>
      <c r="J94" s="31" t="n">
        <f aca="false">E94*가정!$B$21-가정!$B$6</f>
        <v>19215.8704748622</v>
      </c>
    </row>
    <row r="95" customFormat="false" ht="15" hidden="false" customHeight="false" outlineLevel="0" collapsed="false">
      <c r="A95" s="30" t="n">
        <v>92</v>
      </c>
      <c r="B95" s="30" t="n">
        <f aca="false">IF(INT((A95-1)/가정!$B$12)+1&gt;10,"끝",INT((A95-1)/가정!$B$12)+1)</f>
        <v>8</v>
      </c>
      <c r="C95" s="16" t="n">
        <f aca="false">IF(B95="끝",0,가정!$B$14*가정!$B$8^(B95-1))</f>
        <v>1.22958981984384</v>
      </c>
      <c r="D95" s="17" t="n">
        <f aca="false">C95*가정!$B$13</f>
        <v>37.4000236869168</v>
      </c>
      <c r="E95" s="30" t="n">
        <f aca="false">E94+D95</f>
        <v>9872.83526111803</v>
      </c>
      <c r="F95" s="31" t="n">
        <f aca="false">E95*가정!$B$22-가정!$B$6</f>
        <v>4091.78618697899</v>
      </c>
      <c r="G95" s="31" t="n">
        <f aca="false">E95*가정!$B$18-가정!$B$6</f>
        <v>4481.41763055902</v>
      </c>
      <c r="H95" s="31" t="n">
        <f aca="false">E95*가정!$B$19-가정!$B$6</f>
        <v>9417.83526111803</v>
      </c>
      <c r="I95" s="31" t="n">
        <f aca="false">E95*가정!$B$20-가정!$B$6</f>
        <v>14354.252891677</v>
      </c>
      <c r="J95" s="31" t="n">
        <f aca="false">E95*가정!$B$21-가정!$B$6</f>
        <v>19290.6705222361</v>
      </c>
    </row>
    <row r="96" customFormat="false" ht="15" hidden="false" customHeight="false" outlineLevel="0" collapsed="false">
      <c r="A96" s="30" t="n">
        <v>93</v>
      </c>
      <c r="B96" s="30" t="n">
        <f aca="false">IF(INT((A96-1)/가정!$B$12)+1&gt;10,"끝",INT((A96-1)/가정!$B$12)+1)</f>
        <v>8</v>
      </c>
      <c r="C96" s="16" t="n">
        <f aca="false">IF(B96="끝",0,가정!$B$14*가정!$B$8^(B96-1))</f>
        <v>1.22958981984384</v>
      </c>
      <c r="D96" s="17" t="n">
        <f aca="false">C96*가정!$B$13</f>
        <v>37.4000236869168</v>
      </c>
      <c r="E96" s="30" t="n">
        <f aca="false">E95+D96</f>
        <v>9910.23528480495</v>
      </c>
      <c r="F96" s="31" t="n">
        <f aca="false">E96*가정!$B$22-가정!$B$6</f>
        <v>4109.01020688765</v>
      </c>
      <c r="G96" s="31" t="n">
        <f aca="false">E96*가정!$B$18-가정!$B$6</f>
        <v>4500.11764240247</v>
      </c>
      <c r="H96" s="31" t="n">
        <f aca="false">E96*가정!$B$19-가정!$B$6</f>
        <v>9455.23528480495</v>
      </c>
      <c r="I96" s="31" t="n">
        <f aca="false">E96*가정!$B$20-가정!$B$6</f>
        <v>14410.3529272074</v>
      </c>
      <c r="J96" s="31" t="n">
        <f aca="false">E96*가정!$B$21-가정!$B$6</f>
        <v>19365.4705696099</v>
      </c>
    </row>
    <row r="97" customFormat="false" ht="15" hidden="false" customHeight="false" outlineLevel="0" collapsed="false">
      <c r="A97" s="30" t="n">
        <v>94</v>
      </c>
      <c r="B97" s="30" t="n">
        <f aca="false">IF(INT((A97-1)/가정!$B$12)+1&gt;10,"끝",INT((A97-1)/가정!$B$12)+1)</f>
        <v>8</v>
      </c>
      <c r="C97" s="16" t="n">
        <f aca="false">IF(B97="끝",0,가정!$B$14*가정!$B$8^(B97-1))</f>
        <v>1.22958981984384</v>
      </c>
      <c r="D97" s="17" t="n">
        <f aca="false">C97*가정!$B$13</f>
        <v>37.4000236869168</v>
      </c>
      <c r="E97" s="30" t="n">
        <f aca="false">E96+D97</f>
        <v>9947.63530849186</v>
      </c>
      <c r="F97" s="31" t="n">
        <f aca="false">E97*가정!$B$22-가정!$B$6</f>
        <v>4126.2342267963</v>
      </c>
      <c r="G97" s="31" t="n">
        <f aca="false">E97*가정!$B$18-가정!$B$6</f>
        <v>4518.81765424593</v>
      </c>
      <c r="H97" s="31" t="n">
        <f aca="false">E97*가정!$B$19-가정!$B$6</f>
        <v>9492.63530849186</v>
      </c>
      <c r="I97" s="31" t="n">
        <f aca="false">E97*가정!$B$20-가정!$B$6</f>
        <v>14466.4529627378</v>
      </c>
      <c r="J97" s="31" t="n">
        <f aca="false">E97*가정!$B$21-가정!$B$6</f>
        <v>19440.2706169837</v>
      </c>
    </row>
    <row r="98" customFormat="false" ht="15" hidden="false" customHeight="false" outlineLevel="0" collapsed="false">
      <c r="A98" s="30" t="n">
        <v>95</v>
      </c>
      <c r="B98" s="30" t="n">
        <f aca="false">IF(INT((A98-1)/가정!$B$12)+1&gt;10,"끝",INT((A98-1)/가정!$B$12)+1)</f>
        <v>8</v>
      </c>
      <c r="C98" s="16" t="n">
        <f aca="false">IF(B98="끝",0,가정!$B$14*가정!$B$8^(B98-1))</f>
        <v>1.22958981984384</v>
      </c>
      <c r="D98" s="17" t="n">
        <f aca="false">C98*가정!$B$13</f>
        <v>37.4000236869168</v>
      </c>
      <c r="E98" s="30" t="n">
        <f aca="false">E97+D98</f>
        <v>9985.03533217878</v>
      </c>
      <c r="F98" s="31" t="n">
        <f aca="false">E98*가정!$B$22-가정!$B$6</f>
        <v>4143.45824670495</v>
      </c>
      <c r="G98" s="31" t="n">
        <f aca="false">E98*가정!$B$18-가정!$B$6</f>
        <v>4537.51766608939</v>
      </c>
      <c r="H98" s="31" t="n">
        <f aca="false">E98*가정!$B$19-가정!$B$6</f>
        <v>9530.03533217878</v>
      </c>
      <c r="I98" s="31" t="n">
        <f aca="false">E98*가정!$B$20-가정!$B$6</f>
        <v>14522.5529982682</v>
      </c>
      <c r="J98" s="31" t="n">
        <f aca="false">E98*가정!$B$21-가정!$B$6</f>
        <v>19515.0706643576</v>
      </c>
    </row>
    <row r="99" customFormat="false" ht="15" hidden="false" customHeight="false" outlineLevel="0" collapsed="false">
      <c r="A99" s="30" t="n">
        <v>96</v>
      </c>
      <c r="B99" s="30" t="n">
        <f aca="false">IF(INT((A99-1)/가정!$B$12)+1&gt;10,"끝",INT((A99-1)/가정!$B$12)+1)</f>
        <v>8</v>
      </c>
      <c r="C99" s="16" t="n">
        <f aca="false">IF(B99="끝",0,가정!$B$14*가정!$B$8^(B99-1))</f>
        <v>1.22958981984384</v>
      </c>
      <c r="D99" s="17" t="n">
        <f aca="false">C99*가정!$B$13</f>
        <v>37.4000236869168</v>
      </c>
      <c r="E99" s="30" t="n">
        <f aca="false">E98+D99</f>
        <v>10022.4353558657</v>
      </c>
      <c r="F99" s="31" t="n">
        <f aca="false">E99*가정!$B$22-가정!$B$6</f>
        <v>4160.68226661361</v>
      </c>
      <c r="G99" s="31" t="n">
        <f aca="false">E99*가정!$B$18-가정!$B$6</f>
        <v>4556.21767793285</v>
      </c>
      <c r="H99" s="31" t="n">
        <f aca="false">E99*가정!$B$19-가정!$B$6</f>
        <v>9567.4353558657</v>
      </c>
      <c r="I99" s="31" t="n">
        <f aca="false">E99*가정!$B$20-가정!$B$6</f>
        <v>14578.6530337985</v>
      </c>
      <c r="J99" s="31" t="n">
        <f aca="false">E99*가정!$B$21-가정!$B$6</f>
        <v>19589.8707117314</v>
      </c>
    </row>
    <row r="100" customFormat="false" ht="15" hidden="false" customHeight="false" outlineLevel="0" collapsed="false">
      <c r="A100" s="30" t="n">
        <v>97</v>
      </c>
      <c r="B100" s="30" t="n">
        <f aca="false">IF(INT((A100-1)/가정!$B$12)+1&gt;10,"끝",INT((A100-1)/가정!$B$12)+1)</f>
        <v>9</v>
      </c>
      <c r="C100" s="16" t="n">
        <f aca="false">IF(B100="끝",0,가정!$B$14*가정!$B$8^(B100-1))</f>
        <v>0.959080059478196</v>
      </c>
      <c r="D100" s="17" t="n">
        <f aca="false">C100*가정!$B$13</f>
        <v>29.1720184757951</v>
      </c>
      <c r="E100" s="30" t="n">
        <f aca="false">E99+D100</f>
        <v>10051.6073743415</v>
      </c>
      <c r="F100" s="31" t="n">
        <f aca="false">E100*가정!$B$22-가정!$B$6</f>
        <v>4174.11700214236</v>
      </c>
      <c r="G100" s="31" t="n">
        <f aca="false">E100*가정!$B$18-가정!$B$6</f>
        <v>4570.80368717075</v>
      </c>
      <c r="H100" s="31" t="n">
        <f aca="false">E100*가정!$B$19-가정!$B$6</f>
        <v>9596.60737434149</v>
      </c>
      <c r="I100" s="31" t="n">
        <f aca="false">E100*가정!$B$20-가정!$B$6</f>
        <v>14622.4110615122</v>
      </c>
      <c r="J100" s="31" t="n">
        <f aca="false">E100*가정!$B$21-가정!$B$6</f>
        <v>19648.214748683</v>
      </c>
    </row>
    <row r="101" customFormat="false" ht="15" hidden="false" customHeight="false" outlineLevel="0" collapsed="false">
      <c r="A101" s="30" t="n">
        <v>98</v>
      </c>
      <c r="B101" s="30" t="n">
        <f aca="false">IF(INT((A101-1)/가정!$B$12)+1&gt;10,"끝",INT((A101-1)/가정!$B$12)+1)</f>
        <v>9</v>
      </c>
      <c r="C101" s="16" t="n">
        <f aca="false">IF(B101="끝",0,가정!$B$14*가정!$B$8^(B101-1))</f>
        <v>0.959080059478196</v>
      </c>
      <c r="D101" s="17" t="n">
        <f aca="false">C101*가정!$B$13</f>
        <v>29.1720184757951</v>
      </c>
      <c r="E101" s="30" t="n">
        <f aca="false">E100+D101</f>
        <v>10080.7793928173</v>
      </c>
      <c r="F101" s="31" t="n">
        <f aca="false">E101*가정!$B$22-가정!$B$6</f>
        <v>4187.55173767111</v>
      </c>
      <c r="G101" s="31" t="n">
        <f aca="false">E101*가정!$B$18-가정!$B$6</f>
        <v>4585.38969640864</v>
      </c>
      <c r="H101" s="31" t="n">
        <f aca="false">E101*가정!$B$19-가정!$B$6</f>
        <v>9625.77939281729</v>
      </c>
      <c r="I101" s="31" t="n">
        <f aca="false">E101*가정!$B$20-가정!$B$6</f>
        <v>14666.1690892259</v>
      </c>
      <c r="J101" s="31" t="n">
        <f aca="false">E101*가정!$B$21-가정!$B$6</f>
        <v>19706.5587856346</v>
      </c>
    </row>
    <row r="102" customFormat="false" ht="15" hidden="false" customHeight="false" outlineLevel="0" collapsed="false">
      <c r="A102" s="30" t="n">
        <v>99</v>
      </c>
      <c r="B102" s="30" t="n">
        <f aca="false">IF(INT((A102-1)/가정!$B$12)+1&gt;10,"끝",INT((A102-1)/가정!$B$12)+1)</f>
        <v>9</v>
      </c>
      <c r="C102" s="16" t="n">
        <f aca="false">IF(B102="끝",0,가정!$B$14*가정!$B$8^(B102-1))</f>
        <v>0.959080059478196</v>
      </c>
      <c r="D102" s="17" t="n">
        <f aca="false">C102*가정!$B$13</f>
        <v>29.1720184757951</v>
      </c>
      <c r="E102" s="30" t="n">
        <f aca="false">E101+D102</f>
        <v>10109.9514112931</v>
      </c>
      <c r="F102" s="31" t="n">
        <f aca="false">E102*가정!$B$22-가정!$B$6</f>
        <v>4200.98647319986</v>
      </c>
      <c r="G102" s="31" t="n">
        <f aca="false">E102*가정!$B$18-가정!$B$6</f>
        <v>4599.97570564654</v>
      </c>
      <c r="H102" s="31" t="n">
        <f aca="false">E102*가정!$B$19-가정!$B$6</f>
        <v>9654.95141129308</v>
      </c>
      <c r="I102" s="31" t="n">
        <f aca="false">E102*가정!$B$20-가정!$B$6</f>
        <v>14709.9271169396</v>
      </c>
      <c r="J102" s="31" t="n">
        <f aca="false">E102*가정!$B$21-가정!$B$6</f>
        <v>19764.9028225862</v>
      </c>
    </row>
    <row r="103" customFormat="false" ht="15" hidden="false" customHeight="false" outlineLevel="0" collapsed="false">
      <c r="A103" s="30" t="n">
        <v>100</v>
      </c>
      <c r="B103" s="30" t="n">
        <f aca="false">IF(INT((A103-1)/가정!$B$12)+1&gt;10,"끝",INT((A103-1)/가정!$B$12)+1)</f>
        <v>9</v>
      </c>
      <c r="C103" s="16" t="n">
        <f aca="false">IF(B103="끝",0,가정!$B$14*가정!$B$8^(B103-1))</f>
        <v>0.959080059478196</v>
      </c>
      <c r="D103" s="17" t="n">
        <f aca="false">C103*가정!$B$13</f>
        <v>29.1720184757951</v>
      </c>
      <c r="E103" s="30" t="n">
        <f aca="false">E102+D103</f>
        <v>10139.1234297689</v>
      </c>
      <c r="F103" s="31" t="n">
        <f aca="false">E103*가정!$B$22-가정!$B$6</f>
        <v>4214.42120872861</v>
      </c>
      <c r="G103" s="31" t="n">
        <f aca="false">E103*가정!$B$18-가정!$B$6</f>
        <v>4614.56171488444</v>
      </c>
      <c r="H103" s="31" t="n">
        <f aca="false">E103*가정!$B$19-가정!$B$6</f>
        <v>9684.12342976888</v>
      </c>
      <c r="I103" s="31" t="n">
        <f aca="false">E103*가정!$B$20-가정!$B$6</f>
        <v>14753.6851446533</v>
      </c>
      <c r="J103" s="31" t="n">
        <f aca="false">E103*가정!$B$21-가정!$B$6</f>
        <v>19823.2468595378</v>
      </c>
    </row>
    <row r="104" customFormat="false" ht="15" hidden="false" customHeight="false" outlineLevel="0" collapsed="false">
      <c r="A104" s="30" t="n">
        <v>101</v>
      </c>
      <c r="B104" s="30" t="n">
        <f aca="false">IF(INT((A104-1)/가정!$B$12)+1&gt;10,"끝",INT((A104-1)/가정!$B$12)+1)</f>
        <v>9</v>
      </c>
      <c r="C104" s="16" t="n">
        <f aca="false">IF(B104="끝",0,가정!$B$14*가정!$B$8^(B104-1))</f>
        <v>0.959080059478196</v>
      </c>
      <c r="D104" s="17" t="n">
        <f aca="false">C104*가정!$B$13</f>
        <v>29.1720184757951</v>
      </c>
      <c r="E104" s="30" t="n">
        <f aca="false">E103+D104</f>
        <v>10168.2954482447</v>
      </c>
      <c r="F104" s="31" t="n">
        <f aca="false">E104*가정!$B$22-가정!$B$6</f>
        <v>4227.85594425736</v>
      </c>
      <c r="G104" s="31" t="n">
        <f aca="false">E104*가정!$B$18-가정!$B$6</f>
        <v>4629.14772412234</v>
      </c>
      <c r="H104" s="31" t="n">
        <f aca="false">E104*가정!$B$19-가정!$B$6</f>
        <v>9713.29544824468</v>
      </c>
      <c r="I104" s="31" t="n">
        <f aca="false">E104*가정!$B$20-가정!$B$6</f>
        <v>14797.443172367</v>
      </c>
      <c r="J104" s="31" t="n">
        <f aca="false">E104*가정!$B$21-가정!$B$6</f>
        <v>19881.5908964894</v>
      </c>
    </row>
    <row r="105" customFormat="false" ht="15" hidden="false" customHeight="false" outlineLevel="0" collapsed="false">
      <c r="A105" s="30" t="n">
        <v>102</v>
      </c>
      <c r="B105" s="30" t="n">
        <f aca="false">IF(INT((A105-1)/가정!$B$12)+1&gt;10,"끝",INT((A105-1)/가정!$B$12)+1)</f>
        <v>9</v>
      </c>
      <c r="C105" s="16" t="n">
        <f aca="false">IF(B105="끝",0,가정!$B$14*가정!$B$8^(B105-1))</f>
        <v>0.959080059478196</v>
      </c>
      <c r="D105" s="17" t="n">
        <f aca="false">C105*가정!$B$13</f>
        <v>29.1720184757951</v>
      </c>
      <c r="E105" s="30" t="n">
        <f aca="false">E104+D105</f>
        <v>10197.4674667205</v>
      </c>
      <c r="F105" s="31" t="n">
        <f aca="false">E105*가정!$B$22-가정!$B$6</f>
        <v>4241.29067978611</v>
      </c>
      <c r="G105" s="31" t="n">
        <f aca="false">E105*가정!$B$18-가정!$B$6</f>
        <v>4643.73373336024</v>
      </c>
      <c r="H105" s="31" t="n">
        <f aca="false">E105*가정!$B$19-가정!$B$6</f>
        <v>9742.46746672047</v>
      </c>
      <c r="I105" s="31" t="n">
        <f aca="false">E105*가정!$B$20-가정!$B$6</f>
        <v>14841.2012000807</v>
      </c>
      <c r="J105" s="31" t="n">
        <f aca="false">E105*가정!$B$21-가정!$B$6</f>
        <v>19939.9349334409</v>
      </c>
    </row>
    <row r="106" customFormat="false" ht="15" hidden="false" customHeight="false" outlineLevel="0" collapsed="false">
      <c r="A106" s="30" t="n">
        <v>103</v>
      </c>
      <c r="B106" s="30" t="n">
        <f aca="false">IF(INT((A106-1)/가정!$B$12)+1&gt;10,"끝",INT((A106-1)/가정!$B$12)+1)</f>
        <v>9</v>
      </c>
      <c r="C106" s="16" t="n">
        <f aca="false">IF(B106="끝",0,가정!$B$14*가정!$B$8^(B106-1))</f>
        <v>0.959080059478196</v>
      </c>
      <c r="D106" s="17" t="n">
        <f aca="false">C106*가정!$B$13</f>
        <v>29.1720184757951</v>
      </c>
      <c r="E106" s="30" t="n">
        <f aca="false">E105+D106</f>
        <v>10226.6394851963</v>
      </c>
      <c r="F106" s="31" t="n">
        <f aca="false">E106*가정!$B$22-가정!$B$6</f>
        <v>4254.72541531486</v>
      </c>
      <c r="G106" s="31" t="n">
        <f aca="false">E106*가정!$B$18-가정!$B$6</f>
        <v>4658.31974259813</v>
      </c>
      <c r="H106" s="31" t="n">
        <f aca="false">E106*가정!$B$19-가정!$B$6</f>
        <v>9771.63948519627</v>
      </c>
      <c r="I106" s="31" t="n">
        <f aca="false">E106*가정!$B$20-가정!$B$6</f>
        <v>14884.9592277944</v>
      </c>
      <c r="J106" s="31" t="n">
        <f aca="false">E106*가정!$B$21-가정!$B$6</f>
        <v>19998.2789703925</v>
      </c>
    </row>
    <row r="107" customFormat="false" ht="15" hidden="false" customHeight="false" outlineLevel="0" collapsed="false">
      <c r="A107" s="30" t="n">
        <v>104</v>
      </c>
      <c r="B107" s="30" t="n">
        <f aca="false">IF(INT((A107-1)/가정!$B$12)+1&gt;10,"끝",INT((A107-1)/가정!$B$12)+1)</f>
        <v>9</v>
      </c>
      <c r="C107" s="16" t="n">
        <f aca="false">IF(B107="끝",0,가정!$B$14*가정!$B$8^(B107-1))</f>
        <v>0.959080059478196</v>
      </c>
      <c r="D107" s="17" t="n">
        <f aca="false">C107*가정!$B$13</f>
        <v>29.1720184757951</v>
      </c>
      <c r="E107" s="30" t="n">
        <f aca="false">E106+D107</f>
        <v>10255.8115036721</v>
      </c>
      <c r="F107" s="31" t="n">
        <f aca="false">E107*가정!$B$22-가정!$B$6</f>
        <v>4268.16015084361</v>
      </c>
      <c r="G107" s="31" t="n">
        <f aca="false">E107*가정!$B$18-가정!$B$6</f>
        <v>4672.90575183603</v>
      </c>
      <c r="H107" s="31" t="n">
        <f aca="false">E107*가정!$B$19-가정!$B$6</f>
        <v>9800.81150367206</v>
      </c>
      <c r="I107" s="31" t="n">
        <f aca="false">E107*가정!$B$20-가정!$B$6</f>
        <v>14928.7172555081</v>
      </c>
      <c r="J107" s="31" t="n">
        <f aca="false">E107*가정!$B$21-가정!$B$6</f>
        <v>20056.6230073441</v>
      </c>
    </row>
    <row r="108" customFormat="false" ht="15" hidden="false" customHeight="false" outlineLevel="0" collapsed="false">
      <c r="A108" s="30" t="n">
        <v>105</v>
      </c>
      <c r="B108" s="30" t="n">
        <f aca="false">IF(INT((A108-1)/가정!$B$12)+1&gt;10,"끝",INT((A108-1)/가정!$B$12)+1)</f>
        <v>9</v>
      </c>
      <c r="C108" s="16" t="n">
        <f aca="false">IF(B108="끝",0,가정!$B$14*가정!$B$8^(B108-1))</f>
        <v>0.959080059478196</v>
      </c>
      <c r="D108" s="17" t="n">
        <f aca="false">C108*가정!$B$13</f>
        <v>29.1720184757951</v>
      </c>
      <c r="E108" s="30" t="n">
        <f aca="false">E107+D108</f>
        <v>10284.9835221479</v>
      </c>
      <c r="F108" s="31" t="n">
        <f aca="false">E108*가정!$B$22-가정!$B$6</f>
        <v>4281.59488637236</v>
      </c>
      <c r="G108" s="31" t="n">
        <f aca="false">E108*가정!$B$18-가정!$B$6</f>
        <v>4687.49176107393</v>
      </c>
      <c r="H108" s="31" t="n">
        <f aca="false">E108*가정!$B$19-가정!$B$6</f>
        <v>9829.98352214786</v>
      </c>
      <c r="I108" s="31" t="n">
        <f aca="false">E108*가정!$B$20-가정!$B$6</f>
        <v>14972.4752832218</v>
      </c>
      <c r="J108" s="31" t="n">
        <f aca="false">E108*가정!$B$21-가정!$B$6</f>
        <v>20114.9670442957</v>
      </c>
    </row>
    <row r="109" customFormat="false" ht="15" hidden="false" customHeight="false" outlineLevel="0" collapsed="false">
      <c r="A109" s="30" t="n">
        <v>106</v>
      </c>
      <c r="B109" s="30" t="n">
        <f aca="false">IF(INT((A109-1)/가정!$B$12)+1&gt;10,"끝",INT((A109-1)/가정!$B$12)+1)</f>
        <v>9</v>
      </c>
      <c r="C109" s="16" t="n">
        <f aca="false">IF(B109="끝",0,가정!$B$14*가정!$B$8^(B109-1))</f>
        <v>0.959080059478196</v>
      </c>
      <c r="D109" s="17" t="n">
        <f aca="false">C109*가정!$B$13</f>
        <v>29.1720184757951</v>
      </c>
      <c r="E109" s="30" t="n">
        <f aca="false">E108+D109</f>
        <v>10314.1555406237</v>
      </c>
      <c r="F109" s="31" t="n">
        <f aca="false">E109*가정!$B$22-가정!$B$6</f>
        <v>4295.02962190112</v>
      </c>
      <c r="G109" s="31" t="n">
        <f aca="false">E109*가정!$B$18-가정!$B$6</f>
        <v>4702.07777031183</v>
      </c>
      <c r="H109" s="31" t="n">
        <f aca="false">E109*가정!$B$19-가정!$B$6</f>
        <v>9859.15554062366</v>
      </c>
      <c r="I109" s="31" t="n">
        <f aca="false">E109*가정!$B$20-가정!$B$6</f>
        <v>15016.2333109355</v>
      </c>
      <c r="J109" s="31" t="n">
        <f aca="false">E109*가정!$B$21-가정!$B$6</f>
        <v>20173.3110812473</v>
      </c>
    </row>
    <row r="110" customFormat="false" ht="15" hidden="false" customHeight="false" outlineLevel="0" collapsed="false">
      <c r="A110" s="30" t="n">
        <v>107</v>
      </c>
      <c r="B110" s="30" t="n">
        <f aca="false">IF(INT((A110-1)/가정!$B$12)+1&gt;10,"끝",INT((A110-1)/가정!$B$12)+1)</f>
        <v>9</v>
      </c>
      <c r="C110" s="16" t="n">
        <f aca="false">IF(B110="끝",0,가정!$B$14*가정!$B$8^(B110-1))</f>
        <v>0.959080059478196</v>
      </c>
      <c r="D110" s="17" t="n">
        <f aca="false">C110*가정!$B$13</f>
        <v>29.1720184757951</v>
      </c>
      <c r="E110" s="30" t="n">
        <f aca="false">E109+D110</f>
        <v>10343.3275590995</v>
      </c>
      <c r="F110" s="31" t="n">
        <f aca="false">E110*가정!$B$22-가정!$B$6</f>
        <v>4308.46435742987</v>
      </c>
      <c r="G110" s="31" t="n">
        <f aca="false">E110*가정!$B$18-가정!$B$6</f>
        <v>4716.66377954973</v>
      </c>
      <c r="H110" s="31" t="n">
        <f aca="false">E110*가정!$B$19-가정!$B$6</f>
        <v>9888.32755909945</v>
      </c>
      <c r="I110" s="31" t="n">
        <f aca="false">E110*가정!$B$20-가정!$B$6</f>
        <v>15059.9913386492</v>
      </c>
      <c r="J110" s="31" t="n">
        <f aca="false">E110*가정!$B$21-가정!$B$6</f>
        <v>20231.6551181989</v>
      </c>
    </row>
    <row r="111" customFormat="false" ht="15" hidden="false" customHeight="false" outlineLevel="0" collapsed="false">
      <c r="A111" s="30" t="n">
        <v>108</v>
      </c>
      <c r="B111" s="30" t="n">
        <f aca="false">IF(INT((A111-1)/가정!$B$12)+1&gt;10,"끝",INT((A111-1)/가정!$B$12)+1)</f>
        <v>9</v>
      </c>
      <c r="C111" s="16" t="n">
        <f aca="false">IF(B111="끝",0,가정!$B$14*가정!$B$8^(B111-1))</f>
        <v>0.959080059478196</v>
      </c>
      <c r="D111" s="17" t="n">
        <f aca="false">C111*가정!$B$13</f>
        <v>29.1720184757951</v>
      </c>
      <c r="E111" s="30" t="n">
        <f aca="false">E110+D111</f>
        <v>10372.4995775752</v>
      </c>
      <c r="F111" s="31" t="n">
        <f aca="false">E111*가정!$B$22-가정!$B$6</f>
        <v>4321.89909295862</v>
      </c>
      <c r="G111" s="31" t="n">
        <f aca="false">E111*가정!$B$18-가정!$B$6</f>
        <v>4731.24978878762</v>
      </c>
      <c r="H111" s="31" t="n">
        <f aca="false">E111*가정!$B$19-가정!$B$6</f>
        <v>9917.49957757525</v>
      </c>
      <c r="I111" s="31" t="n">
        <f aca="false">E111*가정!$B$20-가정!$B$6</f>
        <v>15103.7493663629</v>
      </c>
      <c r="J111" s="31" t="n">
        <f aca="false">E111*가정!$B$21-가정!$B$6</f>
        <v>20289.9991551505</v>
      </c>
    </row>
    <row r="112" customFormat="false" ht="15" hidden="false" customHeight="false" outlineLevel="0" collapsed="false">
      <c r="A112" s="30" t="n">
        <v>109</v>
      </c>
      <c r="B112" s="30" t="n">
        <f aca="false">IF(INT((A112-1)/가정!$B$12)+1&gt;10,"끝",INT((A112-1)/가정!$B$12)+1)</f>
        <v>10</v>
      </c>
      <c r="C112" s="16" t="n">
        <f aca="false">IF(B112="끝",0,가정!$B$14*가정!$B$8^(B112-1))</f>
        <v>0.748082446392993</v>
      </c>
      <c r="D112" s="17" t="n">
        <f aca="false">C112*가정!$B$13</f>
        <v>22.7541744111202</v>
      </c>
      <c r="E112" s="30" t="n">
        <f aca="false">E111+D112</f>
        <v>10395.2537519864</v>
      </c>
      <c r="F112" s="31" t="n">
        <f aca="false">E112*가정!$B$22-가정!$B$6</f>
        <v>4332.37818667104</v>
      </c>
      <c r="G112" s="31" t="n">
        <f aca="false">E112*가정!$B$18-가정!$B$6</f>
        <v>4742.62687599318</v>
      </c>
      <c r="H112" s="31" t="n">
        <f aca="false">E112*가정!$B$19-가정!$B$6</f>
        <v>9940.25375198637</v>
      </c>
      <c r="I112" s="31" t="n">
        <f aca="false">E112*가정!$B$20-가정!$B$6</f>
        <v>15137.8806279796</v>
      </c>
      <c r="J112" s="31" t="n">
        <f aca="false">E112*가정!$B$21-가정!$B$6</f>
        <v>20335.5075039727</v>
      </c>
    </row>
    <row r="113" customFormat="false" ht="15" hidden="false" customHeight="false" outlineLevel="0" collapsed="false">
      <c r="A113" s="30" t="n">
        <v>110</v>
      </c>
      <c r="B113" s="30" t="n">
        <f aca="false">IF(INT((A113-1)/가정!$B$12)+1&gt;10,"끝",INT((A113-1)/가정!$B$12)+1)</f>
        <v>10</v>
      </c>
      <c r="C113" s="16" t="n">
        <f aca="false">IF(B113="끝",0,가정!$B$14*가정!$B$8^(B113-1))</f>
        <v>0.748082446392993</v>
      </c>
      <c r="D113" s="17" t="n">
        <f aca="false">C113*가정!$B$13</f>
        <v>22.7541744111202</v>
      </c>
      <c r="E113" s="30" t="n">
        <f aca="false">E112+D113</f>
        <v>10418.0079263975</v>
      </c>
      <c r="F113" s="31" t="n">
        <f aca="false">E113*가정!$B$22-가정!$B$6</f>
        <v>4342.85728038347</v>
      </c>
      <c r="G113" s="31" t="n">
        <f aca="false">E113*가정!$B$18-가정!$B$6</f>
        <v>4754.00396319874</v>
      </c>
      <c r="H113" s="31" t="n">
        <f aca="false">E113*가정!$B$19-가정!$B$6</f>
        <v>9963.00792639749</v>
      </c>
      <c r="I113" s="31" t="n">
        <f aca="false">E113*가정!$B$20-가정!$B$6</f>
        <v>15172.0118895962</v>
      </c>
      <c r="J113" s="31" t="n">
        <f aca="false">E113*가정!$B$21-가정!$B$6</f>
        <v>20381.015852795</v>
      </c>
    </row>
    <row r="114" customFormat="false" ht="15" hidden="false" customHeight="false" outlineLevel="0" collapsed="false">
      <c r="A114" s="30" t="n">
        <v>111</v>
      </c>
      <c r="B114" s="30" t="n">
        <f aca="false">IF(INT((A114-1)/가정!$B$12)+1&gt;10,"끝",INT((A114-1)/가정!$B$12)+1)</f>
        <v>10</v>
      </c>
      <c r="C114" s="16" t="n">
        <f aca="false">IF(B114="끝",0,가정!$B$14*가정!$B$8^(B114-1))</f>
        <v>0.748082446392993</v>
      </c>
      <c r="D114" s="17" t="n">
        <f aca="false">C114*가정!$B$13</f>
        <v>22.7541744111202</v>
      </c>
      <c r="E114" s="30" t="n">
        <f aca="false">E113+D114</f>
        <v>10440.7621008086</v>
      </c>
      <c r="F114" s="31" t="n">
        <f aca="false">E114*가정!$B$22-가정!$B$6</f>
        <v>4353.33637409589</v>
      </c>
      <c r="G114" s="31" t="n">
        <f aca="false">E114*가정!$B$18-가정!$B$6</f>
        <v>4765.3810504043</v>
      </c>
      <c r="H114" s="31" t="n">
        <f aca="false">E114*가정!$B$19-가정!$B$6</f>
        <v>9985.76210080861</v>
      </c>
      <c r="I114" s="31" t="n">
        <f aca="false">E114*가정!$B$20-가정!$B$6</f>
        <v>15206.1431512129</v>
      </c>
      <c r="J114" s="31" t="n">
        <f aca="false">E114*가정!$B$21-가정!$B$6</f>
        <v>20426.5242016172</v>
      </c>
    </row>
    <row r="115" customFormat="false" ht="15" hidden="false" customHeight="false" outlineLevel="0" collapsed="false">
      <c r="A115" s="30" t="n">
        <v>112</v>
      </c>
      <c r="B115" s="30" t="n">
        <f aca="false">IF(INT((A115-1)/가정!$B$12)+1&gt;10,"끝",INT((A115-1)/가정!$B$12)+1)</f>
        <v>10</v>
      </c>
      <c r="C115" s="16" t="n">
        <f aca="false">IF(B115="끝",0,가정!$B$14*가정!$B$8^(B115-1))</f>
        <v>0.748082446392993</v>
      </c>
      <c r="D115" s="17" t="n">
        <f aca="false">C115*가정!$B$13</f>
        <v>22.7541744111202</v>
      </c>
      <c r="E115" s="30" t="n">
        <f aca="false">E114+D115</f>
        <v>10463.5162752197</v>
      </c>
      <c r="F115" s="31" t="n">
        <f aca="false">E115*가정!$B$22-가정!$B$6</f>
        <v>4363.81546780832</v>
      </c>
      <c r="G115" s="31" t="n">
        <f aca="false">E115*가정!$B$18-가정!$B$6</f>
        <v>4776.75813760986</v>
      </c>
      <c r="H115" s="31" t="n">
        <f aca="false">E115*가정!$B$19-가정!$B$6</f>
        <v>10008.5162752197</v>
      </c>
      <c r="I115" s="31" t="n">
        <f aca="false">E115*가정!$B$20-가정!$B$6</f>
        <v>15240.2744128296</v>
      </c>
      <c r="J115" s="31" t="n">
        <f aca="false">E115*가정!$B$21-가정!$B$6</f>
        <v>20472.0325504395</v>
      </c>
    </row>
    <row r="116" customFormat="false" ht="15" hidden="false" customHeight="false" outlineLevel="0" collapsed="false">
      <c r="A116" s="30" t="n">
        <v>113</v>
      </c>
      <c r="B116" s="30" t="n">
        <f aca="false">IF(INT((A116-1)/가정!$B$12)+1&gt;10,"끝",INT((A116-1)/가정!$B$12)+1)</f>
        <v>10</v>
      </c>
      <c r="C116" s="16" t="n">
        <f aca="false">IF(B116="끝",0,가정!$B$14*가정!$B$8^(B116-1))</f>
        <v>0.748082446392993</v>
      </c>
      <c r="D116" s="17" t="n">
        <f aca="false">C116*가정!$B$13</f>
        <v>22.7541744111202</v>
      </c>
      <c r="E116" s="30" t="n">
        <f aca="false">E115+D116</f>
        <v>10486.2704496308</v>
      </c>
      <c r="F116" s="31" t="n">
        <f aca="false">E116*가정!$B$22-가정!$B$6</f>
        <v>4374.29456152074</v>
      </c>
      <c r="G116" s="31" t="n">
        <f aca="false">E116*가정!$B$18-가정!$B$6</f>
        <v>4788.13522481542</v>
      </c>
      <c r="H116" s="31" t="n">
        <f aca="false">E116*가정!$B$19-가정!$B$6</f>
        <v>10031.2704496308</v>
      </c>
      <c r="I116" s="31" t="n">
        <f aca="false">E116*가정!$B$20-가정!$B$6</f>
        <v>15274.4056744463</v>
      </c>
      <c r="J116" s="31" t="n">
        <f aca="false">E116*가정!$B$21-가정!$B$6</f>
        <v>20517.5408992617</v>
      </c>
    </row>
    <row r="117" customFormat="false" ht="15" hidden="false" customHeight="false" outlineLevel="0" collapsed="false">
      <c r="A117" s="30" t="n">
        <v>114</v>
      </c>
      <c r="B117" s="30" t="n">
        <f aca="false">IF(INT((A117-1)/가정!$B$12)+1&gt;10,"끝",INT((A117-1)/가정!$B$12)+1)</f>
        <v>10</v>
      </c>
      <c r="C117" s="16" t="n">
        <f aca="false">IF(B117="끝",0,가정!$B$14*가정!$B$8^(B117-1))</f>
        <v>0.748082446392993</v>
      </c>
      <c r="D117" s="17" t="n">
        <f aca="false">C117*가정!$B$13</f>
        <v>22.7541744111202</v>
      </c>
      <c r="E117" s="30" t="n">
        <f aca="false">E116+D117</f>
        <v>10509.024624042</v>
      </c>
      <c r="F117" s="31" t="n">
        <f aca="false">E117*가정!$B$22-가정!$B$6</f>
        <v>4384.77365523317</v>
      </c>
      <c r="G117" s="31" t="n">
        <f aca="false">E117*가정!$B$18-가정!$B$6</f>
        <v>4799.51231202099</v>
      </c>
      <c r="H117" s="31" t="n">
        <f aca="false">E117*가정!$B$19-가정!$B$6</f>
        <v>10054.024624042</v>
      </c>
      <c r="I117" s="31" t="n">
        <f aca="false">E117*가정!$B$20-가정!$B$6</f>
        <v>15308.536936063</v>
      </c>
      <c r="J117" s="31" t="n">
        <f aca="false">E117*가정!$B$21-가정!$B$6</f>
        <v>20563.0492480839</v>
      </c>
    </row>
    <row r="118" customFormat="false" ht="15" hidden="false" customHeight="false" outlineLevel="0" collapsed="false">
      <c r="A118" s="30" t="n">
        <v>115</v>
      </c>
      <c r="B118" s="30" t="n">
        <f aca="false">IF(INT((A118-1)/가정!$B$12)+1&gt;10,"끝",INT((A118-1)/가정!$B$12)+1)</f>
        <v>10</v>
      </c>
      <c r="C118" s="16" t="n">
        <f aca="false">IF(B118="끝",0,가정!$B$14*가정!$B$8^(B118-1))</f>
        <v>0.748082446392993</v>
      </c>
      <c r="D118" s="17" t="n">
        <f aca="false">C118*가정!$B$13</f>
        <v>22.7541744111202</v>
      </c>
      <c r="E118" s="30" t="n">
        <f aca="false">E117+D118</f>
        <v>10531.7787984531</v>
      </c>
      <c r="F118" s="31" t="n">
        <f aca="false">E118*가정!$B$22-가정!$B$6</f>
        <v>4395.25274894559</v>
      </c>
      <c r="G118" s="31" t="n">
        <f aca="false">E118*가정!$B$18-가정!$B$6</f>
        <v>4810.88939922655</v>
      </c>
      <c r="H118" s="31" t="n">
        <f aca="false">E118*가정!$B$19-가정!$B$6</f>
        <v>10076.7787984531</v>
      </c>
      <c r="I118" s="31" t="n">
        <f aca="false">E118*가정!$B$20-가정!$B$6</f>
        <v>15342.6681976796</v>
      </c>
      <c r="J118" s="31" t="n">
        <f aca="false">E118*가정!$B$21-가정!$B$6</f>
        <v>20608.5575969062</v>
      </c>
    </row>
    <row r="119" customFormat="false" ht="15" hidden="false" customHeight="false" outlineLevel="0" collapsed="false">
      <c r="A119" s="30" t="n">
        <v>116</v>
      </c>
      <c r="B119" s="30" t="n">
        <f aca="false">IF(INT((A119-1)/가정!$B$12)+1&gt;10,"끝",INT((A119-1)/가정!$B$12)+1)</f>
        <v>10</v>
      </c>
      <c r="C119" s="16" t="n">
        <f aca="false">IF(B119="끝",0,가정!$B$14*가정!$B$8^(B119-1))</f>
        <v>0.748082446392993</v>
      </c>
      <c r="D119" s="17" t="n">
        <f aca="false">C119*가정!$B$13</f>
        <v>22.7541744111202</v>
      </c>
      <c r="E119" s="30" t="n">
        <f aca="false">E118+D119</f>
        <v>10554.5329728642</v>
      </c>
      <c r="F119" s="31" t="n">
        <f aca="false">E119*가정!$B$22-가정!$B$6</f>
        <v>4405.73184265802</v>
      </c>
      <c r="G119" s="31" t="n">
        <f aca="false">E119*가정!$B$18-가정!$B$6</f>
        <v>4822.26648643211</v>
      </c>
      <c r="H119" s="31" t="n">
        <f aca="false">E119*가정!$B$19-가정!$B$6</f>
        <v>10099.5329728642</v>
      </c>
      <c r="I119" s="31" t="n">
        <f aca="false">E119*가정!$B$20-가정!$B$6</f>
        <v>15376.7994592963</v>
      </c>
      <c r="J119" s="31" t="n">
        <f aca="false">E119*가정!$B$21-가정!$B$6</f>
        <v>20654.0659457284</v>
      </c>
    </row>
    <row r="120" customFormat="false" ht="15" hidden="false" customHeight="false" outlineLevel="0" collapsed="false">
      <c r="A120" s="30" t="n">
        <v>117</v>
      </c>
      <c r="B120" s="30" t="n">
        <f aca="false">IF(INT((A120-1)/가정!$B$12)+1&gt;10,"끝",INT((A120-1)/가정!$B$12)+1)</f>
        <v>10</v>
      </c>
      <c r="C120" s="16" t="n">
        <f aca="false">IF(B120="끝",0,가정!$B$14*가정!$B$8^(B120-1))</f>
        <v>0.748082446392993</v>
      </c>
      <c r="D120" s="17" t="n">
        <f aca="false">C120*가정!$B$13</f>
        <v>22.7541744111202</v>
      </c>
      <c r="E120" s="30" t="n">
        <f aca="false">E119+D120</f>
        <v>10577.2871472753</v>
      </c>
      <c r="F120" s="31" t="n">
        <f aca="false">E120*가정!$B$22-가정!$B$6</f>
        <v>4416.21093637045</v>
      </c>
      <c r="G120" s="31" t="n">
        <f aca="false">E120*가정!$B$18-가정!$B$6</f>
        <v>4833.64357363767</v>
      </c>
      <c r="H120" s="31" t="n">
        <f aca="false">E120*가정!$B$19-가정!$B$6</f>
        <v>10122.2871472753</v>
      </c>
      <c r="I120" s="31" t="n">
        <f aca="false">E120*가정!$B$20-가정!$B$6</f>
        <v>15410.930720913</v>
      </c>
      <c r="J120" s="31" t="n">
        <f aca="false">E120*가정!$B$21-가정!$B$6</f>
        <v>20699.5742945507</v>
      </c>
    </row>
    <row r="121" customFormat="false" ht="15" hidden="false" customHeight="false" outlineLevel="0" collapsed="false">
      <c r="A121" s="30" t="n">
        <v>118</v>
      </c>
      <c r="B121" s="30" t="n">
        <f aca="false">IF(INT((A121-1)/가정!$B$12)+1&gt;10,"끝",INT((A121-1)/가정!$B$12)+1)</f>
        <v>10</v>
      </c>
      <c r="C121" s="16" t="n">
        <f aca="false">IF(B121="끝",0,가정!$B$14*가정!$B$8^(B121-1))</f>
        <v>0.748082446392993</v>
      </c>
      <c r="D121" s="17" t="n">
        <f aca="false">C121*가정!$B$13</f>
        <v>22.7541744111202</v>
      </c>
      <c r="E121" s="30" t="n">
        <f aca="false">E120+D121</f>
        <v>10600.0413216865</v>
      </c>
      <c r="F121" s="31" t="n">
        <f aca="false">E121*가정!$B$22-가정!$B$6</f>
        <v>4426.69003008287</v>
      </c>
      <c r="G121" s="31" t="n">
        <f aca="false">E121*가정!$B$18-가정!$B$6</f>
        <v>4845.02066084323</v>
      </c>
      <c r="H121" s="31" t="n">
        <f aca="false">E121*가정!$B$19-가정!$B$6</f>
        <v>10145.0413216865</v>
      </c>
      <c r="I121" s="31" t="n">
        <f aca="false">E121*가정!$B$20-가정!$B$6</f>
        <v>15445.0619825297</v>
      </c>
      <c r="J121" s="31" t="n">
        <f aca="false">E121*가정!$B$21-가정!$B$6</f>
        <v>20745.0826433729</v>
      </c>
    </row>
    <row r="122" customFormat="false" ht="15" hidden="false" customHeight="false" outlineLevel="0" collapsed="false">
      <c r="A122" s="30" t="n">
        <v>119</v>
      </c>
      <c r="B122" s="30" t="n">
        <f aca="false">IF(INT((A122-1)/가정!$B$12)+1&gt;10,"끝",INT((A122-1)/가정!$B$12)+1)</f>
        <v>10</v>
      </c>
      <c r="C122" s="16" t="n">
        <f aca="false">IF(B122="끝",0,가정!$B$14*가정!$B$8^(B122-1))</f>
        <v>0.748082446392993</v>
      </c>
      <c r="D122" s="17" t="n">
        <f aca="false">C122*가정!$B$13</f>
        <v>22.7541744111202</v>
      </c>
      <c r="E122" s="30" t="n">
        <f aca="false">E121+D122</f>
        <v>10622.7954960976</v>
      </c>
      <c r="F122" s="31" t="n">
        <f aca="false">E122*가정!$B$22-가정!$B$6</f>
        <v>4437.1691237953</v>
      </c>
      <c r="G122" s="31" t="n">
        <f aca="false">E122*가정!$B$18-가정!$B$6</f>
        <v>4856.39774804879</v>
      </c>
      <c r="H122" s="31" t="n">
        <f aca="false">E122*가정!$B$19-가정!$B$6</f>
        <v>10167.7954960976</v>
      </c>
      <c r="I122" s="31" t="n">
        <f aca="false">E122*가정!$B$20-가정!$B$6</f>
        <v>15479.1932441464</v>
      </c>
      <c r="J122" s="31" t="n">
        <f aca="false">E122*가정!$B$21-가정!$B$6</f>
        <v>20790.5909921951</v>
      </c>
    </row>
    <row r="123" customFormat="false" ht="15" hidden="false" customHeight="false" outlineLevel="0" collapsed="false">
      <c r="A123" s="30" t="n">
        <v>120</v>
      </c>
      <c r="B123" s="30" t="n">
        <f aca="false">IF(INT((A123-1)/가정!$B$12)+1&gt;10,"끝",INT((A123-1)/가정!$B$12)+1)</f>
        <v>10</v>
      </c>
      <c r="C123" s="16" t="n">
        <f aca="false">IF(B123="끝",0,가정!$B$14*가정!$B$8^(B123-1))</f>
        <v>0.748082446392993</v>
      </c>
      <c r="D123" s="17" t="n">
        <f aca="false">C123*가정!$B$13</f>
        <v>22.7541744111202</v>
      </c>
      <c r="E123" s="30" t="n">
        <f aca="false">E122+D123</f>
        <v>10645.5496705087</v>
      </c>
      <c r="F123" s="31" t="n">
        <f aca="false">E123*가정!$B$22-가정!$B$6</f>
        <v>4447.64821750772</v>
      </c>
      <c r="G123" s="31" t="n">
        <f aca="false">E123*가정!$B$18-가정!$B$6</f>
        <v>4867.77483525435</v>
      </c>
      <c r="H123" s="31" t="n">
        <f aca="false">E123*가정!$B$19-가정!$B$6</f>
        <v>10190.5496705087</v>
      </c>
      <c r="I123" s="31" t="n">
        <f aca="false">E123*가정!$B$20-가정!$B$6</f>
        <v>15513.324505763</v>
      </c>
      <c r="J123" s="31" t="n">
        <f aca="false">E123*가정!$B$21-가정!$B$6</f>
        <v>20836.0993410174</v>
      </c>
    </row>
  </sheetData>
  <conditionalFormatting sqref="F4:F123">
    <cfRule type="expression" priority="2" aboveAverage="0" equalAverage="0" bottom="0" percent="0" rank="0" text="" dxfId="0">
      <formula>AND(F4&gt;=0,OR(ROW()=4,F3&lt;0))</formula>
    </cfRule>
  </conditionalFormatting>
  <conditionalFormatting sqref="G4:G123">
    <cfRule type="expression" priority="3" aboveAverage="0" equalAverage="0" bottom="0" percent="0" rank="0" text="" dxfId="0">
      <formula>AND(G4&gt;=0,OR(ROW()=4,G3&lt;0))</formula>
    </cfRule>
  </conditionalFormatting>
  <conditionalFormatting sqref="H4:H123">
    <cfRule type="expression" priority="4" aboveAverage="0" equalAverage="0" bottom="0" percent="0" rank="0" text="" dxfId="0">
      <formula>AND(H4&gt;=0,OR(ROW()=4,H3&lt;0))</formula>
    </cfRule>
  </conditionalFormatting>
  <conditionalFormatting sqref="I4:I123">
    <cfRule type="expression" priority="5" aboveAverage="0" equalAverage="0" bottom="0" percent="0" rank="0" text="" dxfId="0">
      <formula>AND(I4&gt;=0,OR(ROW()=4,I3&lt;0))</formula>
    </cfRule>
  </conditionalFormatting>
  <conditionalFormatting sqref="J4:J123">
    <cfRule type="expression" priority="6" aboveAverage="0" equalAverage="0" bottom="0" percent="0" rank="0" text="" dxfId="0">
      <formula>AND(J4&gt;=0,OR(ROW()=4,J3&lt;0))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12"/>
  </cols>
  <sheetData>
    <row r="1" customFormat="false" ht="17.1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3" customFormat="false" ht="15" hidden="false" customHeight="false" outlineLevel="0" collapsed="false">
      <c r="A3" s="21" t="s">
        <v>59</v>
      </c>
      <c r="B3" s="21" t="s">
        <v>70</v>
      </c>
      <c r="C3" s="21" t="s">
        <v>71</v>
      </c>
      <c r="D3" s="22" t="s">
        <v>72</v>
      </c>
    </row>
    <row r="4" customFormat="false" ht="15" hidden="false" customHeight="false" outlineLevel="0" collapsed="false">
      <c r="A4" s="30" t="n">
        <v>1</v>
      </c>
      <c r="B4" s="16" t="n">
        <f aca="false">가정!$B$14*가정!$B$8^(A4-1)</f>
        <v>7</v>
      </c>
      <c r="C4" s="17" t="n">
        <f aca="false">B4*가정!$B$13</f>
        <v>212.916666666667</v>
      </c>
      <c r="D4" s="32" t="n">
        <f aca="false">B4/$B$4</f>
        <v>1</v>
      </c>
    </row>
    <row r="5" customFormat="false" ht="15" hidden="false" customHeight="false" outlineLevel="0" collapsed="false">
      <c r="A5" s="30" t="n">
        <v>2</v>
      </c>
      <c r="B5" s="16" t="n">
        <f aca="false">가정!$B$14*가정!$B$8^(A5-1)</f>
        <v>5.46</v>
      </c>
      <c r="C5" s="17" t="n">
        <f aca="false">B5*가정!$B$13</f>
        <v>166.075</v>
      </c>
      <c r="D5" s="32" t="n">
        <f aca="false">B5/$B$4</f>
        <v>0.78</v>
      </c>
    </row>
    <row r="6" customFormat="false" ht="15" hidden="false" customHeight="false" outlineLevel="0" collapsed="false">
      <c r="A6" s="30" t="n">
        <v>3</v>
      </c>
      <c r="B6" s="16" t="n">
        <f aca="false">가정!$B$14*가정!$B$8^(A6-1)</f>
        <v>4.2588</v>
      </c>
      <c r="C6" s="17" t="n">
        <f aca="false">B6*가정!$B$13</f>
        <v>129.5385</v>
      </c>
      <c r="D6" s="32" t="n">
        <f aca="false">B6/$B$4</f>
        <v>0.6084</v>
      </c>
    </row>
    <row r="7" customFormat="false" ht="15" hidden="false" customHeight="false" outlineLevel="0" collapsed="false">
      <c r="A7" s="30" t="n">
        <v>4</v>
      </c>
      <c r="B7" s="16" t="n">
        <f aca="false">가정!$B$14*가정!$B$8^(A7-1)</f>
        <v>3.321864</v>
      </c>
      <c r="C7" s="17" t="n">
        <f aca="false">B7*가정!$B$13</f>
        <v>101.04003</v>
      </c>
      <c r="D7" s="32" t="n">
        <f aca="false">B7/$B$4</f>
        <v>0.474552</v>
      </c>
    </row>
    <row r="8" customFormat="false" ht="15" hidden="false" customHeight="false" outlineLevel="0" collapsed="false">
      <c r="A8" s="30" t="n">
        <v>5</v>
      </c>
      <c r="B8" s="16" t="n">
        <f aca="false">가정!$B$14*가정!$B$8^(A8-1)</f>
        <v>2.59105392</v>
      </c>
      <c r="C8" s="17" t="n">
        <f aca="false">B8*가정!$B$13</f>
        <v>78.8112234</v>
      </c>
      <c r="D8" s="32" t="n">
        <f aca="false">B8/$B$4</f>
        <v>0.37015056</v>
      </c>
    </row>
    <row r="9" customFormat="false" ht="15" hidden="false" customHeight="false" outlineLevel="0" collapsed="false">
      <c r="A9" s="30" t="n">
        <v>6</v>
      </c>
      <c r="B9" s="16" t="n">
        <f aca="false">가정!$B$14*가정!$B$8^(A9-1)</f>
        <v>2.0210220576</v>
      </c>
      <c r="C9" s="17" t="n">
        <f aca="false">B9*가정!$B$13</f>
        <v>61.472754252</v>
      </c>
      <c r="D9" s="32" t="n">
        <f aca="false">B9/$B$4</f>
        <v>0.2887174368</v>
      </c>
    </row>
    <row r="10" customFormat="false" ht="15" hidden="false" customHeight="false" outlineLevel="0" collapsed="false">
      <c r="A10" s="30" t="n">
        <v>7</v>
      </c>
      <c r="B10" s="16" t="n">
        <f aca="false">가정!$B$14*가정!$B$8^(A10-1)</f>
        <v>1.576397204928</v>
      </c>
      <c r="C10" s="17" t="n">
        <f aca="false">B10*가정!$B$13</f>
        <v>47.94874831656</v>
      </c>
      <c r="D10" s="32" t="n">
        <f aca="false">B10/$B$4</f>
        <v>0.225199600704</v>
      </c>
    </row>
    <row r="11" customFormat="false" ht="15" hidden="false" customHeight="false" outlineLevel="0" collapsed="false">
      <c r="A11" s="30" t="n">
        <v>8</v>
      </c>
      <c r="B11" s="16" t="n">
        <f aca="false">가정!$B$14*가정!$B$8^(A11-1)</f>
        <v>1.22958981984384</v>
      </c>
      <c r="C11" s="17" t="n">
        <f aca="false">B11*가정!$B$13</f>
        <v>37.4000236869168</v>
      </c>
      <c r="D11" s="32" t="n">
        <f aca="false">B11/$B$4</f>
        <v>0.17565568854912</v>
      </c>
    </row>
    <row r="12" customFormat="false" ht="15" hidden="false" customHeight="false" outlineLevel="0" collapsed="false">
      <c r="A12" s="30" t="n">
        <v>9</v>
      </c>
      <c r="B12" s="16" t="n">
        <f aca="false">가정!$B$14*가정!$B$8^(A12-1)</f>
        <v>0.959080059478196</v>
      </c>
      <c r="C12" s="17" t="n">
        <f aca="false">B12*가정!$B$13</f>
        <v>29.1720184757951</v>
      </c>
      <c r="D12" s="32" t="n">
        <f aca="false">B12/$B$4</f>
        <v>0.137011437068314</v>
      </c>
    </row>
    <row r="13" customFormat="false" ht="15" hidden="false" customHeight="false" outlineLevel="0" collapsed="false">
      <c r="A13" s="30" t="n">
        <v>10</v>
      </c>
      <c r="B13" s="16" t="n">
        <f aca="false">가정!$B$14*가정!$B$8^(A13-1)</f>
        <v>0.748082446392993</v>
      </c>
      <c r="C13" s="17" t="n">
        <f aca="false">B13*가정!$B$13</f>
        <v>22.7541744111202</v>
      </c>
      <c r="D13" s="32" t="n">
        <f aca="false">B13/$B$4</f>
        <v>0.106868920913285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1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75</v>
      </c>
      <c r="B4" s="33" t="n">
        <v>122000</v>
      </c>
      <c r="C4" s="15" t="s">
        <v>76</v>
      </c>
    </row>
    <row r="5" customFormat="false" ht="15" hidden="false" customHeight="false" outlineLevel="0" collapsed="false">
      <c r="A5" s="4" t="s">
        <v>77</v>
      </c>
      <c r="B5" s="10" t="n">
        <v>264800</v>
      </c>
      <c r="C5" s="15" t="s">
        <v>78</v>
      </c>
    </row>
    <row r="6" customFormat="false" ht="15" hidden="false" customHeight="false" outlineLevel="0" collapsed="false">
      <c r="A6" s="4" t="s">
        <v>79</v>
      </c>
      <c r="B6" s="7" t="n">
        <v>0.005</v>
      </c>
      <c r="C6" s="15" t="s">
        <v>80</v>
      </c>
    </row>
    <row r="7" customFormat="false" ht="15" hidden="false" customHeight="false" outlineLevel="0" collapsed="false">
      <c r="A7" s="4" t="s">
        <v>81</v>
      </c>
      <c r="B7" s="10" t="n">
        <v>25000</v>
      </c>
      <c r="C7" s="15" t="s">
        <v>82</v>
      </c>
    </row>
    <row r="9" customFormat="false" ht="15" hidden="false" customHeight="false" outlineLevel="0" collapsed="false">
      <c r="A9" s="3" t="s">
        <v>83</v>
      </c>
      <c r="B9" s="19"/>
      <c r="C9" s="19"/>
    </row>
    <row r="10" customFormat="false" ht="15" hidden="false" customHeight="false" outlineLevel="0" collapsed="false">
      <c r="A10" s="4" t="s">
        <v>84</v>
      </c>
      <c r="B10" s="34" t="n">
        <f aca="false">B4/B5</f>
        <v>0.460725075528701</v>
      </c>
      <c r="C10" s="6"/>
    </row>
    <row r="11" customFormat="false" ht="15" hidden="false" customHeight="false" outlineLevel="0" collapsed="false">
      <c r="A11" s="4" t="s">
        <v>85</v>
      </c>
      <c r="B11" s="30" t="n">
        <f aca="false">B7*가정!$B$14</f>
        <v>175000</v>
      </c>
      <c r="C11" s="6" t="s">
        <v>86</v>
      </c>
    </row>
    <row r="12" customFormat="false" ht="15" hidden="false" customHeight="false" outlineLevel="0" collapsed="false">
      <c r="A12" s="4" t="s">
        <v>87</v>
      </c>
      <c r="B12" s="30" t="n">
        <f aca="false">B11*가정!$B$13</f>
        <v>5322916.66666667</v>
      </c>
      <c r="C12" s="6"/>
    </row>
    <row r="13" customFormat="false" ht="15" hidden="false" customHeight="false" outlineLevel="0" collapsed="false">
      <c r="A13" s="4" t="s">
        <v>88</v>
      </c>
      <c r="B13" s="35" t="n">
        <f aca="false">B12/B5</f>
        <v>20.1016490433031</v>
      </c>
      <c r="C13" s="6" t="s">
        <v>89</v>
      </c>
    </row>
    <row r="14" customFormat="false" ht="15" hidden="false" customHeight="false" outlineLevel="0" collapsed="false">
      <c r="A14" s="4" t="s">
        <v>90</v>
      </c>
      <c r="B14" s="8" t="n">
        <f aca="false">B4*(가정!$B$15*(1-B6))/(B5+가정!$B$15*(1-B6))</f>
        <v>97.5275406118039</v>
      </c>
      <c r="C14" s="6" t="s">
        <v>91</v>
      </c>
    </row>
    <row r="15" customFormat="false" ht="15" hidden="false" customHeight="false" outlineLevel="0" collapsed="false">
      <c r="A15" s="4" t="s">
        <v>92</v>
      </c>
      <c r="B15" s="36" t="n">
        <f aca="false">B14/(가정!$B$15*B10)-1</f>
        <v>-0.00579540904023579</v>
      </c>
      <c r="C15" s="6" t="s">
        <v>93</v>
      </c>
    </row>
    <row r="16" customFormat="false" ht="15" hidden="false" customHeight="false" outlineLevel="0" collapsed="false">
      <c r="A16" s="4" t="s">
        <v>94</v>
      </c>
      <c r="B16" s="31" t="n">
        <f aca="false">B4*(B12*(1-B6))/(B5+B12*(1-B6))</f>
        <v>116190.791768268</v>
      </c>
      <c r="C16" s="6" t="s">
        <v>95</v>
      </c>
    </row>
    <row r="17" customFormat="false" ht="15" hidden="false" customHeight="false" outlineLevel="0" collapsed="false">
      <c r="A17" s="4" t="s">
        <v>96</v>
      </c>
      <c r="B17" s="34" t="n">
        <f aca="false">B16/B12</f>
        <v>0.0218284070640974</v>
      </c>
      <c r="C17" s="6"/>
    </row>
    <row r="18" customFormat="false" ht="15" hidden="false" customHeight="false" outlineLevel="0" collapsed="false">
      <c r="A18" s="4" t="s">
        <v>97</v>
      </c>
      <c r="B18" s="34" t="n">
        <f aca="false">(B4-B16)/(B5+B12)</f>
        <v>0.00103963901147427</v>
      </c>
      <c r="C18" s="6"/>
    </row>
    <row r="20" customFormat="false" ht="15" hidden="false" customHeight="false" outlineLevel="0" collapsed="false">
      <c r="A20" s="6" t="s">
        <v>98</v>
      </c>
    </row>
    <row r="21" customFormat="false" ht="15" hidden="false" customHeight="false" outlineLevel="0" collapsed="false">
      <c r="A21" s="15" t="s">
        <v>99</v>
      </c>
    </row>
    <row r="22" customFormat="false" ht="15" hidden="false" customHeight="false" outlineLevel="0" collapsed="false">
      <c r="A22" s="6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2026-10-15T06:17:36Z</dcterms:created>
  <dc:creator>openpyxl</dc:creator>
  <dc:description/>
  <dc:language>en-US</dc:language>
  <cp:lastModifiedBy/>
  <dcterms:modified xsi:type="dcterms:W3CDTF">2026-10-15T06:17:36Z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