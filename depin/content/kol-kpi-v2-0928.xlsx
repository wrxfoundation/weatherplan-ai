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요" sheetId="1" r:id="rId5"/>
    <sheet state="visible" name="KOL 통합" sheetId="2" r:id="rId6"/>
    <sheet state="visible" name="글로벌 X" sheetId="3" r:id="rId7"/>
    <sheet state="visible" name="글로벌 YT" sheetId="4" r:id="rId8"/>
    <sheet state="visible" name="글로벌 TG" sheetId="5" r:id="rId9"/>
    <sheet state="visible" name="한국 TG" sheetId="6" r:id="rId10"/>
    <sheet state="visible" name="한국 YT" sheetId="7" r:id="rId11"/>
    <sheet state="visible" name="한국 X" sheetId="8" r:id="rId12"/>
    <sheet state="visible" name="TwitterScore" sheetId="9" r:id="rId13"/>
    <sheet state="visible" name="KOL Rounds 선정" sheetId="10" r:id="rId14"/>
    <sheet state="visible" name="선정 기준" sheetId="11" r:id="rId15"/>
    <sheet state="visible" name="측정 관리" sheetId="12" r:id="rId16"/>
    <sheet state="visible" name="단가·섭외" sheetId="13" r:id="rId17"/>
    <sheet state="visible" name="판매 성과" sheetId="14" r:id="rId18"/>
  </sheets>
  <definedNames>
    <definedName hidden="1" localSheetId="1" name="_xlnm._FilterDatabase">'KOL 통합'!$A$8:$U$143</definedName>
    <definedName hidden="1" localSheetId="2" name="_xlnm._FilterDatabase">'글로벌 X'!$A$7:$W$50</definedName>
    <definedName hidden="1" localSheetId="3" name="_xlnm._FilterDatabase">'글로벌 YT'!$A$7:$Q$33</definedName>
    <definedName hidden="1" localSheetId="4" name="_xlnm._FilterDatabase">'글로벌 TG'!$A$7:$R$35</definedName>
    <definedName hidden="1" localSheetId="5" name="_xlnm._FilterDatabase">'한국 TG'!$A$7:$R$74</definedName>
    <definedName hidden="1" localSheetId="6" name="_xlnm._FilterDatabase">'한국 YT'!$A$7:$O$30</definedName>
    <definedName hidden="1" localSheetId="7" name="_xlnm._FilterDatabase">'한국 X'!$A$6:$W$19</definedName>
    <definedName hidden="1" localSheetId="8" name="_xlnm._FilterDatabase">TwitterScore!$A$7:$N$63</definedName>
    <definedName hidden="1" localSheetId="9" name="_xlnm._FilterDatabase">'KOL Rounds 선정'!$A$9:$L$61</definedName>
  </definedNames>
  <calcPr/>
</workbook>
</file>

<file path=xl/sharedStrings.xml><?xml version="1.0" encoding="utf-8"?>
<sst xmlns="http://schemas.openxmlformats.org/spreadsheetml/2006/main" count="4742" uniqueCount="1564">
  <si>
    <t>Wellbian KOL KPI — 2026-09-28 실측</t>
  </si>
  <si>
    <t>KOL 통합 — 135명 (한국 81 · 글로벌 54)</t>
  </si>
  <si>
    <t>KOL 라운드(노드 판매) 후보 선별용 · 수집: X·TG·YT 공개 페이지 직접 조회 · TwitterScore = twitterscore.io 공개값</t>
  </si>
  <si>
    <t>글로벌 YouTube — 26개 채널 (롱폼)</t>
  </si>
  <si>
    <t>글로벌 X — 43개 계정</t>
  </si>
  <si>
    <t>■ KOL 1명 = 1행. 대표 채널 = 퍼포먼스가 가장 높은 채널이며, 팔로워·게시·조회는 대표 채널의 9/28 실측값</t>
  </si>
  <si>
    <t>탭 구성</t>
  </si>
  <si>
    <t>■ 롱폼 영상 기준 (쇼츠 제외) · 퍼포먼스 = 30일 중앙 조회 P1 10,000+ · P2 3,000+ · P3 1,000+ · 비활동 = 30일 0개</t>
  </si>
  <si>
    <t>■ 정렬: 퍼포먼스 → 30일 평균 반응 높은 순 · 본인 글만 집계 (리포스트·고정 제외) · 수집 2026-09-28</t>
  </si>
  <si>
    <t>■ 퍼포먼스 등급 [제안 기준] — X: 게시물당 평균 반응(평균 조회×ER) P1 400+ · P2 150+ · P3 50+ · P4 50 미만 / TG: 30일 중앙 조회 P1 3,000+ · P2 1,500+ · P3 500+ / YT 롱폼: 30일 중앙 조회 P1 10,000+ · P2 3,000+ · P3 1,000+ / 비활동: 30일 게시 X·TG 3건 미만, YT 롱폼 0개</t>
  </si>
  <si>
    <t>KOL 통합</t>
  </si>
  <si>
    <t>■ 게시물당 조회: X = 30일 평균 조회, TG·YT = 30일 중앙 조회 · 도달률 = 게시물당 조회 ÷ 팔로워(구독자) · ER은 X 계정 기준</t>
  </si>
  <si>
    <t>■ YouTube는 공개 페이지에 좋아요 수가 없어 ER 대신 도달률(중앙 조회 ÷ 구독자)로 반응을 봄 · 조회수는 표시값(천 단위 반올림)</t>
  </si>
  <si>
    <t>■ 퍼포먼스 등급 [제안 기준] — X: 게시물당 평균 반응(평균 조회×ER) P1 400+ · P2 150+ · P3 50+ · P4 50 미만 · 비활동 = 30일 3건 미만</t>
  </si>
  <si>
    <t>KOL 1명 = 1행. 지역·링크·대표 채널 KPI·퍼포먼스·TwitterScore를 한 줄에 (KOL Asset 시트 형식)</t>
  </si>
  <si>
    <t>■ 재단·KOL 제안 전에는 해당 채널 수치를 다시 확인할 것</t>
  </si>
  <si>
    <t>글로벌 X / YT / TG</t>
  </si>
  <si>
    <t>■ ⚠️ 영상 2개 이하 채널은 표본이 작아 등급 변동 큼 · @Gatzkiee 30일 평균은 바이럴 1건 영향 (중앙값 기준 권장)</t>
  </si>
  <si>
    <t>채널별 24시간 · 7일 · 30일 퍼포먼스 (게시 수 · 평균 조회 · ER · 평균 반응 · 도달률)</t>
  </si>
  <si>
    <t>■ ⚠️ 게시량 과다 계정은 일부 기간만 수집 (메모 참고) · @haloETH ER은 답글 비중 과다로 참고만</t>
  </si>
  <si>
    <t>한국 TG / YT / X</t>
  </si>
  <si>
    <t>동일 기준. 한국은 TG 중심 (TG에는 좋아요 수치가 없어 도달률 = 조회÷구독자로 반응을 봄)</t>
  </si>
  <si>
    <t>TwitterScore</t>
  </si>
  <si>
    <t>56개 X 계정 영향력 점수 · 스마트 팔로워 · 30일 퍼포먼스 등급 대조</t>
  </si>
  <si>
    <t>KOL Rounds 선정</t>
  </si>
  <si>
    <t>선정 규칙 → 1차 / 예비 / 런칭 홍보용 / 보류, KOL별 선정 이유</t>
  </si>
  <si>
    <t>퍼포먼스 등급 [제안 기준]</t>
  </si>
  <si>
    <t>등급</t>
  </si>
  <si>
    <t>X (게시물당 평균 반응)</t>
  </si>
  <si>
    <t>TG (30일 중앙 조회)</t>
  </si>
  <si>
    <t>YT 롱폼 (30일 중앙 조회)</t>
  </si>
  <si>
    <t>P1</t>
  </si>
  <si>
    <t>영향력</t>
  </si>
  <si>
    <t>퍼포먼스 · 30일 (대표 채널)</t>
  </si>
  <si>
    <t>400+</t>
  </si>
  <si>
    <t>3,000+</t>
  </si>
  <si>
    <t>10,000+</t>
  </si>
  <si>
    <t>24시간</t>
  </si>
  <si>
    <t>P2</t>
  </si>
  <si>
    <t>150–399</t>
  </si>
  <si>
    <t>1,500–2,999</t>
  </si>
  <si>
    <t>3,000–9,999</t>
  </si>
  <si>
    <t>P3</t>
  </si>
  <si>
    <t>50–149</t>
  </si>
  <si>
    <t>500–1,499</t>
  </si>
  <si>
    <t>7일</t>
  </si>
  <si>
    <t>1,000–2,999</t>
  </si>
  <si>
    <t>링크</t>
  </si>
  <si>
    <t>P4</t>
  </si>
  <si>
    <t>50 미만</t>
  </si>
  <si>
    <t>500 미만</t>
  </si>
  <si>
    <t>1,000 미만</t>
  </si>
  <si>
    <t>30일</t>
  </si>
  <si>
    <t>지역</t>
  </si>
  <si>
    <t>비활동</t>
  </si>
  <si>
    <t>카테고리</t>
  </si>
  <si>
    <t>이름/핸들</t>
  </si>
  <si>
    <t>대표
채널</t>
  </si>
  <si>
    <t>30일 3건 미만</t>
  </si>
  <si>
    <t>활동 채널</t>
  </si>
  <si>
    <t>퍼포먼스</t>
  </si>
  <si>
    <t>30일 롱폼 0개</t>
  </si>
  <si>
    <t>팔로워/구독</t>
  </si>
  <si>
    <t>30일 게시</t>
  </si>
  <si>
    <t>게시물당
조회</t>
  </si>
  <si>
    <t>KPI 정의</t>
  </si>
  <si>
    <t>ER (X)</t>
  </si>
  <si>
    <t>도달률</t>
  </si>
  <si>
    <t>평균 조회</t>
  </si>
  <si>
    <t>Twitter
Score</t>
  </si>
  <si>
    <t>TS
등급</t>
  </si>
  <si>
    <t>기간 내 본인 게시물 조회수 평균 (리포스트·고정글 제외)</t>
  </si>
  <si>
    <t>스마트
팔로워</t>
  </si>
  <si>
    <t>X 링크</t>
  </si>
  <si>
    <t>ER</t>
  </si>
  <si>
    <t>TG 링크</t>
  </si>
  <si>
    <t>(좋아요 + 답글 + 리포스트) ÷ 조회 — X만 측정 가능</t>
  </si>
  <si>
    <t>YT 링크</t>
  </si>
  <si>
    <t>검증</t>
  </si>
  <si>
    <t>평균 반응</t>
  </si>
  <si>
    <t>검증일</t>
  </si>
  <si>
    <t>게시물 1건이 만드는 반응 수 = 평균 조회 × ER</t>
  </si>
  <si>
    <t>비고</t>
  </si>
  <si>
    <t>출처</t>
  </si>
  <si>
    <t>순위</t>
  </si>
  <si>
    <t>TG·YT: 30일 중앙 조회 ÷ 구독자 / X: 30일 평균 조회 ÷ 팔로워</t>
  </si>
  <si>
    <t>KOL ID</t>
  </si>
  <si>
    <t>추세</t>
  </si>
  <si>
    <t>KOL</t>
  </si>
  <si>
    <t>채널</t>
  </si>
  <si>
    <t>대표 채널 ID</t>
  </si>
  <si>
    <t>7일 평균 조회 ÷ 30일 평균 조회 − 1 (+면 최근 상승)</t>
  </si>
  <si>
    <t>계정 연결</t>
  </si>
  <si>
    <t>핸들</t>
  </si>
  <si>
    <t>측정일</t>
  </si>
  <si>
    <t>후속 검토</t>
  </si>
  <si>
    <t>S 200+ · A 100–199 · B 40–99 · C 15–39 · D 15 미만. 스마트 팔로워 = 영향력 계정 팔로워 수</t>
  </si>
  <si>
    <t>구독자</t>
  </si>
  <si>
    <t>KR</t>
  </si>
  <si>
    <t>최근 영상
(일 전)</t>
  </si>
  <si>
    <t>현황 (KOL 단위, 대표 채널 기준)</t>
  </si>
  <si>
    <t>영상</t>
  </si>
  <si>
    <t>팔로워</t>
  </si>
  <si>
    <t>코인하는 해달</t>
  </si>
  <si>
    <t>게시</t>
  </si>
  <si>
    <t>Telegram</t>
  </si>
  <si>
    <t>TG</t>
  </si>
  <si>
    <t>중앙 조회</t>
  </si>
  <si>
    <t>비활동·없음</t>
  </si>
  <si>
    <t>합계</t>
  </si>
  <si>
    <t>한국</t>
  </si>
  <si>
    <t>도달률
(중앙÷구독)</t>
  </si>
  <si>
    <t>메모</t>
  </si>
  <si>
    <t>채널 ID</t>
  </si>
  <si>
    <t>글로벌</t>
  </si>
  <si>
    <t>도달률
(조회÷팔로워)</t>
  </si>
  <si>
    <t>측정 상태</t>
  </si>
  <si>
    <t>주의</t>
  </si>
  <si>
    <t>추세
(7d vs 30d)</t>
  </si>
  <si>
    <t>⚠️ 게시량이 많은 계정은 30일을 다 불러오지 못해 일부 기간만 집계 (각 탭 메모에 '○/○ 이후만 수집' 표기)</t>
  </si>
  <si>
    <t>gatzkiee</t>
  </si>
  <si>
    <t>@Gatzkiee</t>
  </si>
  <si>
    <t>https://t.me/seaotterbtc</t>
  </si>
  <si>
    <t>⚠️ 병합·이동 [추정]: CoinFluencer #6+#47 · 나백이 #19+#39 · X @coinboy717 → 코인소년 · @AlphaSchool77 → 알파스쿨</t>
  </si>
  <si>
    <t>⚠️ 적합성(DePIN·노드·XRP 홍보 이력, 스캠 홍보 이력)은 미측정 — 접촉 전 확인</t>
  </si>
  <si>
    <t>✅ 실측</t>
  </si>
  <si>
    <t>2026-09-28</t>
  </si>
  <si>
    <t>⚠️ 제안 직전 수치 재측정 필요 (8/25 원본 시트 팔로워는 TG+YT 합산값이 섞여 있어 이 시트는 실측값만 사용)</t>
  </si>
  <si>
    <t>한국 1위</t>
  </si>
  <si>
    <t>W1 검증 KOL (8/25 원본) → 9/28 재측정</t>
  </si>
  <si>
    <t>WB-K001</t>
  </si>
  <si>
    <t>WB-C099</t>
  </si>
  <si>
    <t>기존 목록 연결</t>
  </si>
  <si>
    <t>노드 구매·적합성·과거 판매 실적 미확인</t>
  </si>
  <si>
    <t>@midrizzy1</t>
  </si>
  <si>
    <t>CoinFluencer</t>
  </si>
  <si>
    <t>X·TG·YT</t>
  </si>
  <si>
    <t>D</t>
  </si>
  <si>
    <t>https://www.youtube.com/@Gatzkiee</t>
  </si>
  <si>
    <t>https://x.com/TheP2E_NFT</t>
  </si>
  <si>
    <t>https://t.me/hjwnews</t>
  </si>
  <si>
    <t>WB-C044</t>
  </si>
  <si>
    <t>https://www.youtube.com/@CoinFluencer</t>
  </si>
  <si>
    <t>WB-K087</t>
  </si>
  <si>
    <t>동일 브랜드 병합 [추정] · X 시트 100,000 → 실제 7,219 · 저빈도 (마지막 9/17)</t>
  </si>
  <si>
    <t>WB-K002</t>
  </si>
  <si>
    <t>WB-C098</t>
  </si>
  <si>
    <t>연결 확인 필요</t>
  </si>
  <si>
    <t>취미생활방</t>
  </si>
  <si>
    <t>https://t.me/enjoymyhobby</t>
  </si>
  <si>
    <t>하루 14건 → 고정 필요</t>
  </si>
  <si>
    <t>WB-K003</t>
  </si>
  <si>
    <t>WB-C100</t>
  </si>
  <si>
    <t>매실남</t>
  </si>
  <si>
    <t>YouTube</t>
  </si>
  <si>
    <t>YT</t>
  </si>
  <si>
    <t>https://www.youtube.com/@pluman</t>
  </si>
  <si>
    <t>WB-K004</t>
  </si>
  <si>
    <t>WB-C165</t>
  </si>
  <si>
    <t>코백남</t>
  </si>
  <si>
    <t>TG·YT</t>
  </si>
  <si>
    <t>https://t.me/cobacknamannounce</t>
  </si>
  <si>
    <t>https://www.youtube.com/@cobacknam</t>
  </si>
  <si>
    <t>시트 팔로워는 TG+YT 합산 · TG 채널 병행</t>
  </si>
  <si>
    <t>WB-K005</t>
  </si>
  <si>
    <t>WB-C166</t>
  </si>
  <si>
    <t>포렉스·라이프스타일 비중 높음</t>
  </si>
  <si>
    <t>졸업준비위원회</t>
  </si>
  <si>
    <t>https://x.com/midrizzy1</t>
  </si>
  <si>
    <t>WB-C001</t>
  </si>
  <si>
    <t>WB-K086</t>
  </si>
  <si>
    <t>https://t.me/officialunivercityofcrypto</t>
  </si>
  <si>
    <t>WB-K006</t>
  </si>
  <si>
    <t>WB-C105</t>
  </si>
  <si>
    <t>Crypto Judy</t>
  </si>
  <si>
    <t>https://t.me/lovejudylee</t>
  </si>
  <si>
    <t>하루 28건+ → 공지 묻힘 위험 · 30일 일부만 수집</t>
  </si>
  <si>
    <t>WB-K007</t>
  </si>
  <si>
    <t>WB-C104</t>
  </si>
  <si>
    <t>라오니</t>
  </si>
  <si>
    <t>https://t.me/Raoni1</t>
  </si>
  <si>
    <t>WB-K008</t>
  </si>
  <si>
    <t>WB-C103</t>
  </si>
  <si>
    <t>100XClub</t>
  </si>
  <si>
    <t>신기돈</t>
  </si>
  <si>
    <t>@100xclub</t>
  </si>
  <si>
    <t>@IncomeSharks</t>
  </si>
  <si>
    <t>https://t.me/tlsrltnf</t>
  </si>
  <si>
    <t>WB-K009</t>
  </si>
  <si>
    <t>WB-C107</t>
  </si>
  <si>
    <t>S</t>
  </si>
  <si>
    <t>크립토마카세</t>
  </si>
  <si>
    <t>https://www.youtube.com/@100xclub</t>
  </si>
  <si>
    <t>https://t.me/cryptomacase</t>
  </si>
  <si>
    <t>WB-C045</t>
  </si>
  <si>
    <t>저빈도 · 고효율</t>
  </si>
  <si>
    <t>WB-K088</t>
  </si>
  <si>
    <t>WB-K010</t>
  </si>
  <si>
    <t>WB-C102</t>
  </si>
  <si>
    <t>jobless</t>
  </si>
  <si>
    <t>https://x.com/IncomeSharks</t>
  </si>
  <si>
    <t>WB-C002</t>
  </si>
  <si>
    <t>WB-K082</t>
  </si>
  <si>
    <t>https://t.me/Jobless_investor</t>
  </si>
  <si>
    <t>마지막 9/3</t>
  </si>
  <si>
    <t>WB-K011</t>
  </si>
  <si>
    <t>WB-C101</t>
  </si>
  <si>
    <t>마샬</t>
  </si>
  <si>
    <t>Insane on Crypto</t>
  </si>
  <si>
    <t>@InsaneonCrypto</t>
  </si>
  <si>
    <t>https://t.me/marshallog</t>
  </si>
  <si>
    <t>@CryptoPoseidonn</t>
  </si>
  <si>
    <t>WB-K012</t>
  </si>
  <si>
    <t>WB-C108</t>
  </si>
  <si>
    <t>A</t>
  </si>
  <si>
    <t>잼민123</t>
  </si>
  <si>
    <t>https://www.youtube.com/@InsaneonCrypto</t>
  </si>
  <si>
    <t>WB-C046</t>
  </si>
  <si>
    <t>https://t.me/mujammin123</t>
  </si>
  <si>
    <t>WB-K089</t>
  </si>
  <si>
    <t>https://www.youtube.com/@jammin2</t>
  </si>
  <si>
    <t>WB-K013</t>
  </si>
  <si>
    <t>WB-C109</t>
  </si>
  <si>
    <t>킬베로스</t>
  </si>
  <si>
    <t>도달률 42% · 효율 최상</t>
  </si>
  <si>
    <t>https://x.com/CryptoPoseidonn</t>
  </si>
  <si>
    <t>WB-C003</t>
  </si>
  <si>
    <t>WB-K085</t>
  </si>
  <si>
    <t>https://t.me/killberosDAO</t>
  </si>
  <si>
    <t>8/25 대비 하락</t>
  </si>
  <si>
    <t>WB-K014</t>
  </si>
  <si>
    <t>WB-C106</t>
  </si>
  <si>
    <t>나백이</t>
  </si>
  <si>
    <t>ItsRagnar</t>
  </si>
  <si>
    <t>@ItsRagnar</t>
  </si>
  <si>
    <t>@eliz883</t>
  </si>
  <si>
    <t>https://www.youtube.com/@ItsRagnar</t>
  </si>
  <si>
    <t>WB-C047</t>
  </si>
  <si>
    <t>WB-K097</t>
  </si>
  <si>
    <t>C</t>
  </si>
  <si>
    <t>https://x.com/Naback222</t>
  </si>
  <si>
    <t>https://t.me/ysytop2</t>
  </si>
  <si>
    <t>https://x.com/eliz883</t>
  </si>
  <si>
    <t>WB-C004</t>
  </si>
  <si>
    <t>https://www.youtube.com/@naback222</t>
  </si>
  <si>
    <t>WB-K084</t>
  </si>
  <si>
    <t>동일인 병합 [추정]</t>
  </si>
  <si>
    <t>WB-K015</t>
  </si>
  <si>
    <t>WB-C168</t>
  </si>
  <si>
    <t>코인소년</t>
  </si>
  <si>
    <t>https://x.com/coinboy717</t>
  </si>
  <si>
    <t>https://t.me/coinboys</t>
  </si>
  <si>
    <t>https://www.youtube.com/@coinboys</t>
  </si>
  <si>
    <t>@Trader_XO</t>
  </si>
  <si>
    <t>X @coinboy717 표시명 '코인소년' → 시트(#48)에서 이동 [추정] · TG 채널 병행</t>
  </si>
  <si>
    <t>WB-K016</t>
  </si>
  <si>
    <t>WB-C169</t>
  </si>
  <si>
    <t>요블이네</t>
  </si>
  <si>
    <t>Philakone</t>
  </si>
  <si>
    <t>@philakonecrypto</t>
  </si>
  <si>
    <t>https://t.me/yobeullyANN</t>
  </si>
  <si>
    <t>WB-K017</t>
  </si>
  <si>
    <t>https://x.com/Trader_XO</t>
  </si>
  <si>
    <t>WB-C126</t>
  </si>
  <si>
    <t>WB-C005</t>
  </si>
  <si>
    <t>WB-K083</t>
  </si>
  <si>
    <t>알파스쿨</t>
  </si>
  <si>
    <t>https://www.youtube.com/@philakonecrypto</t>
  </si>
  <si>
    <t>X·TG</t>
  </si>
  <si>
    <t>WB-C048</t>
  </si>
  <si>
    <t>WB-K099</t>
  </si>
  <si>
    <t>https://x.com/AlphaSchool77</t>
  </si>
  <si>
    <t>https://t.me/AlphaSchool77</t>
  </si>
  <si>
    <t>X @AlphaSchool77 → 시트(#51)에서 이동 [추정] · X는 WL 기브어웨이 위주</t>
  </si>
  <si>
    <t>WB-K018</t>
  </si>
  <si>
    <t>WB-C114</t>
  </si>
  <si>
    <t>T.A Crypto</t>
  </si>
  <si>
    <t>@DeRonin_</t>
  </si>
  <si>
    <t>Koroush AK</t>
  </si>
  <si>
    <t>@Koroushak</t>
  </si>
  <si>
    <t>https://t.me/yul_papa</t>
  </si>
  <si>
    <t>https://www.youtube.com/@TA_crypto</t>
  </si>
  <si>
    <t>TG 채널 병행</t>
  </si>
  <si>
    <t>WB-K019</t>
  </si>
  <si>
    <t>WB-C170</t>
  </si>
  <si>
    <t>BMT</t>
  </si>
  <si>
    <t>https://www.youtube.com/@Koroushak</t>
  </si>
  <si>
    <t>WB-C049</t>
  </si>
  <si>
    <t>WB-K109</t>
  </si>
  <si>
    <t>가성비 후보</t>
  </si>
  <si>
    <t>https://x.com/DeRonin_</t>
  </si>
  <si>
    <t>https://t.me/BMTube</t>
  </si>
  <si>
    <t>WB-C006</t>
  </si>
  <si>
    <t>WB-K091</t>
  </si>
  <si>
    <t>WB-K020</t>
  </si>
  <si>
    <t>WB-C120</t>
  </si>
  <si>
    <t>개인적인 DYOR</t>
  </si>
  <si>
    <t>https://t.me/LEEHEESANGDYOR</t>
  </si>
  <si>
    <t>WB-K021</t>
  </si>
  <si>
    <t>WB-C119</t>
  </si>
  <si>
    <t>MrCrypto PH</t>
  </si>
  <si>
    <t>@MrCryptoPH</t>
  </si>
  <si>
    <t>바나나우유 일기장</t>
  </si>
  <si>
    <t>@rektcapital</t>
  </si>
  <si>
    <t>https://t.me/Bananamilkrich</t>
  </si>
  <si>
    <t>WB-K022</t>
  </si>
  <si>
    <t>WB-C117</t>
  </si>
  <si>
    <t>https://www.youtube.com/@MrCryptoPH</t>
  </si>
  <si>
    <t>WB-C050</t>
  </si>
  <si>
    <t>WB-K110</t>
  </si>
  <si>
    <t>Trader Hyun</t>
  </si>
  <si>
    <t>https://x.com/rektcapital</t>
  </si>
  <si>
    <t>https://t.me/TraderHyun</t>
  </si>
  <si>
    <t>WB-K023</t>
  </si>
  <si>
    <t>WB-C112</t>
  </si>
  <si>
    <t>WB-C007</t>
  </si>
  <si>
    <t>WB-K090</t>
  </si>
  <si>
    <t>에어드랍코리아</t>
  </si>
  <si>
    <t>https://t.me/airdrop_kor</t>
  </si>
  <si>
    <t>에어드랍 키워드</t>
  </si>
  <si>
    <t>WB-K024</t>
  </si>
  <si>
    <t>DalarinTV - Crypto</t>
  </si>
  <si>
    <t>WB-C130</t>
  </si>
  <si>
    <t>@DalarinTV</t>
  </si>
  <si>
    <t>BQ 비큐</t>
  </si>
  <si>
    <t>@nobrainflip</t>
  </si>
  <si>
    <t>https://t.me/BQTelegram</t>
  </si>
  <si>
    <t>https://www.youtube.com/@DalarinTV</t>
  </si>
  <si>
    <t>WB-K025</t>
  </si>
  <si>
    <t>WB-C121</t>
  </si>
  <si>
    <t>WB-C051</t>
  </si>
  <si>
    <t>WB-K111</t>
  </si>
  <si>
    <t>젠티</t>
  </si>
  <si>
    <t>https://t.me/Jenti_DeFi</t>
  </si>
  <si>
    <t>WB-K026</t>
  </si>
  <si>
    <t>WB-C128</t>
  </si>
  <si>
    <t>https://x.com/nobrainflip</t>
  </si>
  <si>
    <t>WB-C008</t>
  </si>
  <si>
    <t>WB-K100</t>
  </si>
  <si>
    <t>크립토폴유</t>
  </si>
  <si>
    <t>https://t.me/cryptoforu12</t>
  </si>
  <si>
    <t>Indep</t>
  </si>
  <si>
    <t>@Indep15</t>
  </si>
  <si>
    <t>WB-K027</t>
  </si>
  <si>
    <t>WB-C118</t>
  </si>
  <si>
    <t>@inmortalcrypto</t>
  </si>
  <si>
    <t>Road To Rome</t>
  </si>
  <si>
    <t>https://t.me/HeadingtoRome</t>
  </si>
  <si>
    <t>https://www.youtube.com/@Indep15</t>
  </si>
  <si>
    <t>WB-C052</t>
  </si>
  <si>
    <t>WB-K112</t>
  </si>
  <si>
    <t>WB-K028</t>
  </si>
  <si>
    <t>WB-C111</t>
  </si>
  <si>
    <t>A라는 사람</t>
  </si>
  <si>
    <t>https://x.com/inmortalcrypto</t>
  </si>
  <si>
    <t>WB-C009</t>
  </si>
  <si>
    <t>WB-K095</t>
  </si>
  <si>
    <t>글로벌 Telegram — 28개 채널</t>
  </si>
  <si>
    <t>https://t.me/aispersons</t>
  </si>
  <si>
    <t>WB-K029</t>
  </si>
  <si>
    <t>WB-C110</t>
  </si>
  <si>
    <t>■ 퍼포먼스 = 30일 중앙 조회 P1 3,000+ · P2 1,500+ · P3 500+ · P4 500 미만 · 비활동 = 30일 3건 미만</t>
  </si>
  <si>
    <t>꿀찾는 양말</t>
  </si>
  <si>
    <t>Smithii</t>
  </si>
  <si>
    <t>■ TG 공개 채널은 반응 수가 없어 도달률(중앙 조회 ÷ 구독자)이 반응 지표 · 8%+면 구독자 참여가 살아있는 채널로 봄 [제안]</t>
  </si>
  <si>
    <t>@Smithii</t>
  </si>
  <si>
    <t>■ 비공개 4개는 웹 미리보기가 막혀 측정 불가</t>
  </si>
  <si>
    <t>https://t.me/Honeyofwhitesocks_2</t>
  </si>
  <si>
    <t>@follis_</t>
  </si>
  <si>
    <t>WB-K030</t>
  </si>
  <si>
    <t>WB-C127</t>
  </si>
  <si>
    <t>https://www.youtube.com/@Smithii</t>
  </si>
  <si>
    <t>WB-C053</t>
  </si>
  <si>
    <t>WB-K113</t>
  </si>
  <si>
    <t>큐브</t>
  </si>
  <si>
    <t>https://t.me/cubestudy1557</t>
  </si>
  <si>
    <t>WB-K031</t>
  </si>
  <si>
    <t>WB-C124</t>
  </si>
  <si>
    <t>https://x.com/follis_</t>
  </si>
  <si>
    <t>WB-C010</t>
  </si>
  <si>
    <t>WB-K094</t>
  </si>
  <si>
    <t>코인맵핵</t>
  </si>
  <si>
    <t>https://t.me/centurywhale</t>
  </si>
  <si>
    <t>WB-K032</t>
  </si>
  <si>
    <t>WB-C131</t>
  </si>
  <si>
    <t>Nazza Crypto</t>
  </si>
  <si>
    <t>@ColdBloodShill</t>
  </si>
  <si>
    <t>@nazzacrypto</t>
  </si>
  <si>
    <t>코인위키</t>
  </si>
  <si>
    <t>https://t.me/CoinWiki_MMWW</t>
  </si>
  <si>
    <t>WB-K033</t>
  </si>
  <si>
    <t>WB-C115</t>
  </si>
  <si>
    <t>https://www.youtube.com/@nazzacrypto</t>
  </si>
  <si>
    <t>21M 포밍</t>
  </si>
  <si>
    <t>WB-C054</t>
  </si>
  <si>
    <t>WB-K114</t>
  </si>
  <si>
    <t>https://x.com/ColdBloodShill</t>
  </si>
  <si>
    <t>WB-C011</t>
  </si>
  <si>
    <t>WB-K092</t>
  </si>
  <si>
    <t>https://t.me/vc_21m</t>
  </si>
  <si>
    <t>WB-K034</t>
  </si>
  <si>
    <t>WB-C116</t>
  </si>
  <si>
    <t>크립토스쿨 다오</t>
  </si>
  <si>
    <t>채널명</t>
  </si>
  <si>
    <t>https://t.me/CRYPTOSCH00L</t>
  </si>
  <si>
    <t>Follis</t>
  </si>
  <si>
    <t>마지막 글</t>
  </si>
  <si>
    <t>WB-K035</t>
  </si>
  <si>
    <t>@FefeDemeny</t>
  </si>
  <si>
    <t>WB-C129</t>
  </si>
  <si>
    <t>B</t>
  </si>
  <si>
    <t>CEN</t>
  </si>
  <si>
    <t>X</t>
  </si>
  <si>
    <t>X·YT</t>
  </si>
  <si>
    <t>https://www.youtube.com/@follis_</t>
  </si>
  <si>
    <t>WB-C055</t>
  </si>
  <si>
    <t>https://x.com/CENTWT</t>
  </si>
  <si>
    <t>https://www.youtube.com/@CEN_CRYPTO</t>
  </si>
  <si>
    <t>마지막 9/7</t>
  </si>
  <si>
    <t>WB-K036</t>
  </si>
  <si>
    <t>WB-C190</t>
  </si>
  <si>
    <t>https://x.com/FefeDemeny</t>
  </si>
  <si>
    <t>WB-C012</t>
  </si>
  <si>
    <t>크립토메이지</t>
  </si>
  <si>
    <t>cyclop</t>
  </si>
  <si>
    <t>cyclopalpha</t>
  </si>
  <si>
    <t>https://x.com/p2ecoin91</t>
  </si>
  <si>
    <t>https://www.youtube.com/@cryptocurrencymage</t>
  </si>
  <si>
    <t>WB-K037</t>
  </si>
  <si>
    <t>WB-C171</t>
  </si>
  <si>
    <t>Buhok Gaming</t>
  </si>
  <si>
    <t>@BuhokGaming</t>
  </si>
  <si>
    <t>에어드랍 ATM</t>
  </si>
  <si>
    <t>2026-09-25</t>
  </si>
  <si>
    <t>https://www.youtube.com/@airdropatm</t>
  </si>
  <si>
    <t>WB-K038</t>
  </si>
  <si>
    <t>WB-C172</t>
  </si>
  <si>
    <t>@EricCryptoman</t>
  </si>
  <si>
    <t>아크</t>
  </si>
  <si>
    <t>https://www.youtube.com/@BuhokGaming</t>
  </si>
  <si>
    <t>WB-C056</t>
  </si>
  <si>
    <t>https://t.me/Board_the_Ark</t>
  </si>
  <si>
    <t>WB-K122</t>
  </si>
  <si>
    <t>WB-K039</t>
  </si>
  <si>
    <t>WB-C144</t>
  </si>
  <si>
    <t>두신의 NFT</t>
  </si>
  <si>
    <t>https://t.me/cyclopalpha</t>
  </si>
  <si>
    <t>https://t.me/doosin_nft</t>
  </si>
  <si>
    <t>https://www.youtube.com/@doosinnft</t>
  </si>
  <si>
    <t>WB-C070</t>
  </si>
  <si>
    <t>시트의 X(@AlphaSchool77)는 알파스쿨 계정으로 보여 제외 · 평균은 바이럴 1건으로 부풀려짐</t>
  </si>
  <si>
    <t>WB-K040</t>
  </si>
  <si>
    <t>WB-C135</t>
  </si>
  <si>
    <t>https://x.com/EricCryptoman</t>
  </si>
  <si>
    <t>최저시급 김으악</t>
  </si>
  <si>
    <t>WB-C013</t>
  </si>
  <si>
    <t>WB-K101</t>
  </si>
  <si>
    <t>https://t.me/Ugh_HH</t>
  </si>
  <si>
    <t>하루 29건+ → 공지 묻힘 위험 · 30일 일부만 수집</t>
  </si>
  <si>
    <t>WB-K041</t>
  </si>
  <si>
    <t>WB-C145</t>
  </si>
  <si>
    <t>SignalQuant</t>
  </si>
  <si>
    <t>MURO CRYPTO</t>
  </si>
  <si>
    <t>c/murocrypto</t>
  </si>
  <si>
    <t>https://t.me/Signal_Quant</t>
  </si>
  <si>
    <t>WB-K042</t>
  </si>
  <si>
    <t>WB-C137</t>
  </si>
  <si>
    <t>Daniel Social Club</t>
  </si>
  <si>
    <t>https://t.me/danielsocialclub</t>
  </si>
  <si>
    <t>https://www.youtube.com/c/murocrypto</t>
  </si>
  <si>
    <t>@haloETH</t>
  </si>
  <si>
    <t>WB-C057</t>
  </si>
  <si>
    <t>WB-K043</t>
  </si>
  <si>
    <t>WB-K093</t>
  </si>
  <si>
    <t>WB-C138</t>
  </si>
  <si>
    <t>왕베이</t>
  </si>
  <si>
    <t>https://t.me/cryptowangbei</t>
  </si>
  <si>
    <t>https://www.youtube.com/@Wangbei__</t>
  </si>
  <si>
    <t>WB-K044</t>
  </si>
  <si>
    <t>WB-C141</t>
  </si>
  <si>
    <t>돈독(열충)</t>
  </si>
  <si>
    <t>답글 비중 과다 · 참여 품앗이 의심</t>
  </si>
  <si>
    <t>https://x.com/heedan123</t>
  </si>
  <si>
    <t>https://t.me/yeolchoongNotice</t>
  </si>
  <si>
    <t>https://x.com/haloETH</t>
  </si>
  <si>
    <t>WB-C014</t>
  </si>
  <si>
    <t>WB-K098</t>
  </si>
  <si>
    <t>Eric Cryptomans Journal</t>
  </si>
  <si>
    <t>WB-K045</t>
  </si>
  <si>
    <t>WB-C143</t>
  </si>
  <si>
    <t>Erics_Calls</t>
  </si>
  <si>
    <t>Creative Crypto</t>
  </si>
  <si>
    <t>@CreativeCrypto</t>
  </si>
  <si>
    <t>희단이</t>
  </si>
  <si>
    <t>https://t.me/heedan22</t>
  </si>
  <si>
    <t>WB-K046</t>
  </si>
  <si>
    <t>WB-C147</t>
  </si>
  <si>
    <t>https://t.me/Erics_Calls</t>
  </si>
  <si>
    <t>WB-C071</t>
  </si>
  <si>
    <t>https://www.youtube.com/@CreativeCrypto</t>
  </si>
  <si>
    <t>춘식이</t>
  </si>
  <si>
    <t>WB-C058</t>
  </si>
  <si>
    <t>WB-K124</t>
  </si>
  <si>
    <t>@MuroCrypto</t>
  </si>
  <si>
    <t>https://t.me/choonsik</t>
  </si>
  <si>
    <t>WB-K047</t>
  </si>
  <si>
    <t>WB-C140</t>
  </si>
  <si>
    <t>부의길목에서</t>
  </si>
  <si>
    <t>https://t.me/stay_news</t>
  </si>
  <si>
    <t>https://www.youtube.com/@CoinStay</t>
  </si>
  <si>
    <t>https://x.com/MuroCrypto</t>
  </si>
  <si>
    <t>YT 404</t>
  </si>
  <si>
    <t>WB-C015</t>
  </si>
  <si>
    <t>WB-K048</t>
  </si>
  <si>
    <t>WB-C149</t>
  </si>
  <si>
    <t>Whocares ML</t>
  </si>
  <si>
    <t>@whocaresml6684</t>
  </si>
  <si>
    <t>Poseidon Kitchen</t>
  </si>
  <si>
    <t>poseidonkitchen</t>
  </si>
  <si>
    <t>코인한나</t>
  </si>
  <si>
    <t>2026-09-24</t>
  </si>
  <si>
    <t>https://t.me/coinhanna_honeybag</t>
  </si>
  <si>
    <t>WB-K049</t>
  </si>
  <si>
    <t>WB-C148</t>
  </si>
  <si>
    <t>최근 롱폼 195일 전</t>
  </si>
  <si>
    <t>https://www.youtube.com/@whocaresml6684</t>
  </si>
  <si>
    <t>WB-C059</t>
  </si>
  <si>
    <t>옹살랜드</t>
  </si>
  <si>
    <t>WB-K129</t>
  </si>
  <si>
    <t>https://t.me/poseidonkitchen</t>
  </si>
  <si>
    <t>WB-C072</t>
  </si>
  <si>
    <t>https://t.me/OngsalYee</t>
  </si>
  <si>
    <t>WB-K050</t>
  </si>
  <si>
    <t>WB-C146</t>
  </si>
  <si>
    <t>크립토 부엉이</t>
  </si>
  <si>
    <t>https://t.me/CryptoOwlNotice</t>
  </si>
  <si>
    <t>Rekt Capital</t>
  </si>
  <si>
    <t>WB-K051</t>
  </si>
  <si>
    <t>WB-C150</t>
  </si>
  <si>
    <t>@RektCapital</t>
  </si>
  <si>
    <t>안성국밥 (구 국밥집)</t>
  </si>
  <si>
    <t>winkle.</t>
  </si>
  <si>
    <t>w1nklerr</t>
  </si>
  <si>
    <t>최근 롱폼 45일 전</t>
  </si>
  <si>
    <t>https://www.youtube.com/@RektCapital</t>
  </si>
  <si>
    <t>WB-C060</t>
  </si>
  <si>
    <t>2026-09-08</t>
  </si>
  <si>
    <t>https://t.me/coinkookbob</t>
  </si>
  <si>
    <t>에어드랍 키워드 · 채널명 변경</t>
  </si>
  <si>
    <t>WB-K052</t>
  </si>
  <si>
    <t>WB-C139</t>
  </si>
  <si>
    <t>투자하는 30대 직장인정보방</t>
  </si>
  <si>
    <t>https://t.me/w1nklerr</t>
  </si>
  <si>
    <t>WB-C073</t>
  </si>
  <si>
    <t>WB-K115</t>
  </si>
  <si>
    <t>OnlineBoss-Crypto</t>
  </si>
  <si>
    <t>@onlineboss-crypto</t>
  </si>
  <si>
    <t>https://x.com/cryptoyobeul</t>
  </si>
  <si>
    <t>https://t.me/naverblog30</t>
  </si>
  <si>
    <t>평균 왜곡</t>
  </si>
  <si>
    <t>WB-K053</t>
  </si>
  <si>
    <t>WB-C133</t>
  </si>
  <si>
    <t>최근 롱폼 165일 전</t>
  </si>
  <si>
    <t>https://www.youtube.com/@onlineboss-crypto</t>
  </si>
  <si>
    <t>WB-C061</t>
  </si>
  <si>
    <t>WB-K127</t>
  </si>
  <si>
    <t>불불</t>
  </si>
  <si>
    <t>https://t.me/bulbul2cryptoDAO</t>
  </si>
  <si>
    <t>WB-K054</t>
  </si>
  <si>
    <t>Jaynecrypto</t>
  </si>
  <si>
    <t>WB-C136</t>
  </si>
  <si>
    <t>jaynecrypto</t>
  </si>
  <si>
    <t>JackpotDAO</t>
  </si>
  <si>
    <t>2026-09-27</t>
  </si>
  <si>
    <t>https://t.me/jackpot777DAO</t>
  </si>
  <si>
    <t>TraderXO</t>
  </si>
  <si>
    <t>@DaanCrypto</t>
  </si>
  <si>
    <t>@TraderXO</t>
  </si>
  <si>
    <t>WB-K055</t>
  </si>
  <si>
    <t>WB-C142</t>
  </si>
  <si>
    <t>https://t.me/jaynecrypto</t>
  </si>
  <si>
    <t>생계형 에어드랍</t>
  </si>
  <si>
    <t>WB-C074</t>
  </si>
  <si>
    <t>WB-K107</t>
  </si>
  <si>
    <t>최근 롱폼 75일 전</t>
  </si>
  <si>
    <t>https://www.youtube.com/@TraderXO</t>
  </si>
  <si>
    <t>WB-C062</t>
  </si>
  <si>
    <t>https://t.me/sangp_airdrop</t>
  </si>
  <si>
    <t>WB-K056</t>
  </si>
  <si>
    <t>WB-C134</t>
  </si>
  <si>
    <t>8/30 이후 게시 없음</t>
  </si>
  <si>
    <t>https://x.com/DaanCrypto</t>
  </si>
  <si>
    <t>크립토 원정대</t>
  </si>
  <si>
    <t>WB-C016</t>
  </si>
  <si>
    <t>WB-K096</t>
  </si>
  <si>
    <t>https://x.com/0xsangp</t>
  </si>
  <si>
    <t>https://t.me/legoleecm777</t>
  </si>
  <si>
    <t>WB-K057</t>
  </si>
  <si>
    <t>WB-C151</t>
  </si>
  <si>
    <t>0xFrogify</t>
  </si>
  <si>
    <t>KryptoKlang</t>
  </si>
  <si>
    <t>frogify0x</t>
  </si>
  <si>
    <t>https://x.com/Stay1104</t>
  </si>
  <si>
    <t>https://t.me/KryptoKlang</t>
  </si>
  <si>
    <t>WB-K058</t>
  </si>
  <si>
    <t>WB-C195</t>
  </si>
  <si>
    <t>농사꾼 돈벌레</t>
  </si>
  <si>
    <t>@AltcoinSherpa</t>
  </si>
  <si>
    <t>https://t.me/donbug8282</t>
  </si>
  <si>
    <t>구독자 92</t>
  </si>
  <si>
    <t>https://t.me/frogify0x</t>
  </si>
  <si>
    <t>WB-K059</t>
  </si>
  <si>
    <t>WB-C132</t>
  </si>
  <si>
    <t>WB-C075</t>
  </si>
  <si>
    <t>WB-K125</t>
  </si>
  <si>
    <t>ORCA ALPHA</t>
  </si>
  <si>
    <t>BossJapz Review</t>
  </si>
  <si>
    <t>https://t.me/orcaalpha</t>
  </si>
  <si>
    <t>@bossjapzreview</t>
  </si>
  <si>
    <t>30일 2건</t>
  </si>
  <si>
    <t>WB-K060</t>
  </si>
  <si>
    <t>WB-C154</t>
  </si>
  <si>
    <t>디젠걸</t>
  </si>
  <si>
    <t>30일 530건 → 스폰서 글 묻힘 위험</t>
  </si>
  <si>
    <t>https://x.com/AltcoinSherpa</t>
  </si>
  <si>
    <t>최근 롱폼 225일 전</t>
  </si>
  <si>
    <t>WB-C017</t>
  </si>
  <si>
    <t>https://t.me/KDegengirl</t>
  </si>
  <si>
    <t>https://www.youtube.com/@bossjapzreview</t>
  </si>
  <si>
    <t>WB-K104</t>
  </si>
  <si>
    <t>WB-C063</t>
  </si>
  <si>
    <t>WB-K130</t>
  </si>
  <si>
    <t>WB-K061</t>
  </si>
  <si>
    <t>WB-C153</t>
  </si>
  <si>
    <t>곰곰히 매매</t>
  </si>
  <si>
    <t>Evan NICHE</t>
  </si>
  <si>
    <t>EvanNiche</t>
  </si>
  <si>
    <t>2026-09-17</t>
  </si>
  <si>
    <t>https://t.me/Kindibearbtc</t>
  </si>
  <si>
    <t>WB-K062</t>
  </si>
  <si>
    <t>WB-C152</t>
  </si>
  <si>
    <t>코마카세</t>
  </si>
  <si>
    <t>@DeFiOracle_</t>
  </si>
  <si>
    <t>CryptoEliz</t>
  </si>
  <si>
    <t>@CryptoEliz</t>
  </si>
  <si>
    <t>https://t.me/COMADAO</t>
  </si>
  <si>
    <t>https://t.me/EvanNiche</t>
  </si>
  <si>
    <t>WB-C076</t>
  </si>
  <si>
    <t>에어드랍 키워드 · 비활성</t>
  </si>
  <si>
    <t>WB-K108</t>
  </si>
  <si>
    <t>WB-K063</t>
  </si>
  <si>
    <t>WB-C155</t>
  </si>
  <si>
    <t>1분 코인</t>
  </si>
  <si>
    <t>최근 롱폼 365일 전</t>
  </si>
  <si>
    <t>https://www.youtube.com/@CryptoEliz</t>
  </si>
  <si>
    <t>https://www.youtube.com/channel/UCKsMT8_jAvNWtOOS6Lo23EQ</t>
  </si>
  <si>
    <t>WB-C064</t>
  </si>
  <si>
    <t>롱폼 중단</t>
  </si>
  <si>
    <t>WB-K064</t>
  </si>
  <si>
    <t>WB-C181</t>
  </si>
  <si>
    <t>크립토 청춘</t>
  </si>
  <si>
    <t>https://x.com/DeFiOracle_</t>
  </si>
  <si>
    <t>WB-C018</t>
  </si>
  <si>
    <t>WB-K106</t>
  </si>
  <si>
    <t>https://www.youtube.com/@CheongChun</t>
  </si>
  <si>
    <t>WB-K065</t>
  </si>
  <si>
    <t>WB-C182</t>
  </si>
  <si>
    <t>이도진</t>
  </si>
  <si>
    <t>https://x.com/Xrtrashbin</t>
  </si>
  <si>
    <t>https://www.youtube.com/@leedogin</t>
  </si>
  <si>
    <t>X 계정 불일치 (팔로워 12) · 보류 · 계정 불일치 (시트 12,800) · 30일 미수집 → 7일 기준</t>
  </si>
  <si>
    <t>DeFi Oracle - Gems</t>
  </si>
  <si>
    <t>WB-K066</t>
  </si>
  <si>
    <t>WB-C200</t>
  </si>
  <si>
    <t>DeFiOracleGems</t>
  </si>
  <si>
    <t>Jerry Alpha</t>
  </si>
  <si>
    <t>Cold Blooded Shiller</t>
  </si>
  <si>
    <t>@ColdBloodedShiller</t>
  </si>
  <si>
    <t>https://www.youtube.com/@jerryalphanft</t>
  </si>
  <si>
    <t>2026-09-09</t>
  </si>
  <si>
    <t>@KoroushAK</t>
  </si>
  <si>
    <t>WB-K067</t>
  </si>
  <si>
    <t>WB-C179</t>
  </si>
  <si>
    <t>로로</t>
  </si>
  <si>
    <t>https://www.youtube.com/@ColdBloodedShiller</t>
  </si>
  <si>
    <t>WB-C065</t>
  </si>
  <si>
    <t>https://x.com/nftroro</t>
  </si>
  <si>
    <t>https://www.youtube.com/@COINRORO</t>
  </si>
  <si>
    <t>마지막 글 2026-09-09</t>
  </si>
  <si>
    <t>공개 영상 0 · X 비활성 · 보류 · 시트 11,500 · 전체 게시물 77개 · 30일 미수집 → 7일 기준</t>
  </si>
  <si>
    <t>WB-K068</t>
  </si>
  <si>
    <t>https://t.me/DeFiOracleGems</t>
  </si>
  <si>
    <t>WB-C199</t>
  </si>
  <si>
    <t>WB-C077</t>
  </si>
  <si>
    <t>영투한</t>
  </si>
  <si>
    <t>https://www.youtube.com/@02HAN</t>
  </si>
  <si>
    <t>https://x.com/KoroushAK</t>
  </si>
  <si>
    <t>WB-C019</t>
  </si>
  <si>
    <t>WB-K069</t>
  </si>
  <si>
    <t>WB-C175</t>
  </si>
  <si>
    <t>오늘의 꿀통</t>
  </si>
  <si>
    <t>https://www.youtube.com/@honeyoftoday</t>
  </si>
  <si>
    <t>WB-K070</t>
  </si>
  <si>
    <t>WB-C178</t>
  </si>
  <si>
    <t>Inmortal</t>
  </si>
  <si>
    <t>돈버는 꿀정보</t>
  </si>
  <si>
    <t>c/inmortalcrypto</t>
  </si>
  <si>
    <t>https://www.youtube.com/@donkkul</t>
  </si>
  <si>
    <t>WB-K071</t>
  </si>
  <si>
    <t>WB-C173</t>
  </si>
  <si>
    <t>0xchromium</t>
  </si>
  <si>
    <t>xchromium</t>
  </si>
  <si>
    <t>생계형 프로그래머</t>
  </si>
  <si>
    <t>영상 없음</t>
  </si>
  <si>
    <t>https://www.youtube.com/c/inmortalcrypto</t>
  </si>
  <si>
    <t>@PhilakoneCrypto</t>
  </si>
  <si>
    <t>WB-C066</t>
  </si>
  <si>
    <t>2026-09-16</t>
  </si>
  <si>
    <t>https://www.youtube.com/@sangptube</t>
  </si>
  <si>
    <t>WB-K072</t>
  </si>
  <si>
    <t>WB-C183</t>
  </si>
  <si>
    <t>츄카피</t>
  </si>
  <si>
    <t>마지막 글 2026-09-16</t>
  </si>
  <si>
    <t>https://t.me/xchromium</t>
  </si>
  <si>
    <t>https://www.youtube.com/@chukapika</t>
  </si>
  <si>
    <t>WB-C078</t>
  </si>
  <si>
    <t>WB-K120</t>
  </si>
  <si>
    <t>WB-K073</t>
  </si>
  <si>
    <t>WB-C184</t>
  </si>
  <si>
    <t>코선생</t>
  </si>
  <si>
    <t>https://x.com/PhilakoneCrypto</t>
  </si>
  <si>
    <t>https://t.me/crypto_class_ann</t>
  </si>
  <si>
    <t>WB-C020</t>
  </si>
  <si>
    <t>비활성</t>
  </si>
  <si>
    <t>WB-K074</t>
  </si>
  <si>
    <t>AltcoinSherpa</t>
  </si>
  <si>
    <t>WB-C157</t>
  </si>
  <si>
    <t>c/Altcoinsherpa</t>
  </si>
  <si>
    <t>0xEdenity</t>
  </si>
  <si>
    <t>https://t.me/Edenitywl</t>
  </si>
  <si>
    <t>https://www.youtube.com/c/Altcoinsherpa</t>
  </si>
  <si>
    <t>WB-K075</t>
  </si>
  <si>
    <t>WB-C067</t>
  </si>
  <si>
    <t>WB-C158</t>
  </si>
  <si>
    <t>Woody in crypto</t>
  </si>
  <si>
    <t>woody_research</t>
  </si>
  <si>
    <t>NFT Forum</t>
  </si>
  <si>
    <t>@0xklarck</t>
  </si>
  <si>
    <t>https://t.me/NFTForumKR</t>
  </si>
  <si>
    <t>WB-K076</t>
  </si>
  <si>
    <t>WB-C159</t>
  </si>
  <si>
    <t>https://t.me/woody_research</t>
  </si>
  <si>
    <t>WB-C079</t>
  </si>
  <si>
    <t>KOL scan 공지방</t>
  </si>
  <si>
    <t>WB-K119</t>
  </si>
  <si>
    <t>https://t.me/kol_scan</t>
  </si>
  <si>
    <t>WB-K077</t>
  </si>
  <si>
    <t>WB-C160</t>
  </si>
  <si>
    <t>Income Sharks</t>
  </si>
  <si>
    <t>졸업하자</t>
  </si>
  <si>
    <t>30일은 9/4 이후만 수집</t>
  </si>
  <si>
    <t>https://x.com/0xklarck</t>
  </si>
  <si>
    <t>WB-C021</t>
  </si>
  <si>
    <t>WB-K102</t>
  </si>
  <si>
    <t>https://t.me/letsjolup</t>
  </si>
  <si>
    <t>WB-K078</t>
  </si>
  <si>
    <t>WB-C161</t>
  </si>
  <si>
    <t>Kepochnik Alpha</t>
  </si>
  <si>
    <t>kepochnikalpha</t>
  </si>
  <si>
    <t>@w1nklerr</t>
  </si>
  <si>
    <t>마지막 글 2026-09-25</t>
  </si>
  <si>
    <t>후니방</t>
  </si>
  <si>
    <t>https://t.me/kepochnikalpha</t>
  </si>
  <si>
    <t>WB-C080</t>
  </si>
  <si>
    <t>WB-K128</t>
  </si>
  <si>
    <t>최근 롱폼 285일 전</t>
  </si>
  <si>
    <t>https://t.me/hooniebang</t>
  </si>
  <si>
    <t>30일은 9/11 이후만 수집 · 유료 파트너십 게시 있음</t>
  </si>
  <si>
    <t>https://x.com/w1nklerr</t>
  </si>
  <si>
    <t>WB-C022</t>
  </si>
  <si>
    <t>미리보기 비공개</t>
  </si>
  <si>
    <t>WB-K079</t>
  </si>
  <si>
    <t>https://www.youtube.com/@IncomeSharks</t>
  </si>
  <si>
    <t>WB-C162</t>
  </si>
  <si>
    <t>WB-C068</t>
  </si>
  <si>
    <t>Crypto SENA</t>
  </si>
  <si>
    <t>@evancrypt</t>
  </si>
  <si>
    <t>https://t.me/CryptoSenaNotice</t>
  </si>
  <si>
    <t>WB-K080</t>
  </si>
  <si>
    <t>WB-C163</t>
  </si>
  <si>
    <t>https://x.com/evancrypt</t>
  </si>
  <si>
    <t>WB-C023</t>
  </si>
  <si>
    <t>기분좋은 마곤</t>
  </si>
  <si>
    <t>nazzacrypto</t>
  </si>
  <si>
    <t>2026-09-23</t>
  </si>
  <si>
    <t>@WhaleNoName</t>
  </si>
  <si>
    <t>https://t.me/magoniabbb</t>
  </si>
  <si>
    <t>WB-K081</t>
  </si>
  <si>
    <t>WB-C164</t>
  </si>
  <si>
    <t>마지막 글 2026-09-23</t>
  </si>
  <si>
    <t>https://t.me/nazzacrypto</t>
  </si>
  <si>
    <t>WB-C081</t>
  </si>
  <si>
    <t>Global</t>
  </si>
  <si>
    <t>Daan Crypto</t>
  </si>
  <si>
    <t>게시량 과다 · 30일은 9/21 이후만 수집</t>
  </si>
  <si>
    <t>Crypto Trader / DeFi</t>
  </si>
  <si>
    <t>@daancrypto</t>
  </si>
  <si>
    <t>https://x.com/WhaleNoName</t>
  </si>
  <si>
    <t>WB-C024</t>
  </si>
  <si>
    <t>WB-K103</t>
  </si>
  <si>
    <t>https://www.youtube.com/@daancrypto</t>
  </si>
  <si>
    <t>WB-C069</t>
  </si>
  <si>
    <t>@spacexbt</t>
  </si>
  <si>
    <t>Klarck Alpha</t>
  </si>
  <si>
    <t>klarck_alpha</t>
  </si>
  <si>
    <t>2026-04-07</t>
  </si>
  <si>
    <t>Crypto Trader, Macro, Youtube / PrimeXBT, OKX, Saros</t>
  </si>
  <si>
    <t>마지막 글 2026-04-07</t>
  </si>
  <si>
    <t>https://t.me/klarck_alpha</t>
  </si>
  <si>
    <t>WB-C082</t>
  </si>
  <si>
    <t>https://x.com/spacexbt</t>
  </si>
  <si>
    <t>WB-C025</t>
  </si>
  <si>
    <t>WB-K105</t>
  </si>
  <si>
    <t>https://www.youtube.com/@TraderXO/streams</t>
  </si>
  <si>
    <t>Chad Crypto</t>
  </si>
  <si>
    <t>Crypto Trader, Investor / Bybit</t>
  </si>
  <si>
    <t>Chad_Crypto</t>
  </si>
  <si>
    <t>2026-07-30</t>
  </si>
  <si>
    <t>마지막 글 2026-07-30</t>
  </si>
  <si>
    <t>https://t.me/Chad_Crypto</t>
  </si>
  <si>
    <t>WB-C083</t>
  </si>
  <si>
    <t>WB-K116</t>
  </si>
  <si>
    <t>@0xjayn3</t>
  </si>
  <si>
    <t>Crypto Trader / NON</t>
  </si>
  <si>
    <t>Money Land</t>
  </si>
  <si>
    <t>deronin_alpha</t>
  </si>
  <si>
    <t>2026-08-11</t>
  </si>
  <si>
    <t>마지막 글 2026-08-11</t>
  </si>
  <si>
    <t>https://t.me/deronin_alpha</t>
  </si>
  <si>
    <t>WB-C084</t>
  </si>
  <si>
    <t>게시량 과다 · 30일은 9/22 이후만 수집</t>
  </si>
  <si>
    <t>https://x.com/0xjayn3</t>
  </si>
  <si>
    <t>WB-C026</t>
  </si>
  <si>
    <t>Crypto, Forex Trader / Solana</t>
  </si>
  <si>
    <t>Plutos</t>
  </si>
  <si>
    <t>plutos_research</t>
  </si>
  <si>
    <t>2025-11-03</t>
  </si>
  <si>
    <t>https://t.me/OfficialSabiigal</t>
  </si>
  <si>
    <t>마지막 글 2025-11-03</t>
  </si>
  <si>
    <t>https://t.me/plutos_research</t>
  </si>
  <si>
    <t>WB-C085</t>
  </si>
  <si>
    <t>WB-K121</t>
  </si>
  <si>
    <t>PH</t>
  </si>
  <si>
    <t>Gatzkiee</t>
  </si>
  <si>
    <t>@ChadCaff</t>
  </si>
  <si>
    <t>Crypto, Meme Trader / Blofin, Pionex</t>
  </si>
  <si>
    <t>Kitchen of Sully</t>
  </si>
  <si>
    <t>kitchenofsully</t>
  </si>
  <si>
    <t>2026-07-31</t>
  </si>
  <si>
    <t>마지막 글 2026-07-31</t>
  </si>
  <si>
    <t>https://t.me/kitchenofsully</t>
  </si>
  <si>
    <t>WB-C086</t>
  </si>
  <si>
    <t>점수 대비 약함</t>
  </si>
  <si>
    <t>https://x.com/ChadCaff</t>
  </si>
  <si>
    <t>WB-C027</t>
  </si>
  <si>
    <t>InsaneonCrypto</t>
  </si>
  <si>
    <t>Fried Dev</t>
  </si>
  <si>
    <t>FriedDev</t>
  </si>
  <si>
    <t>2026-07-10</t>
  </si>
  <si>
    <t>마지막 글 2026-07-10</t>
  </si>
  <si>
    <t>https://t.me/FriedDev</t>
  </si>
  <si>
    <t>WB-C087</t>
  </si>
  <si>
    <t>WB-K131</t>
  </si>
  <si>
    <t>Crypto Trader / Bitunix</t>
  </si>
  <si>
    <t>@0xFrogify</t>
  </si>
  <si>
    <t>CryptoDarya</t>
  </si>
  <si>
    <t>Daryacrypto</t>
  </si>
  <si>
    <t>Crypto research, DeFi / GMGN, Axiom , DeFi</t>
  </si>
  <si>
    <t>2025-06-25</t>
  </si>
  <si>
    <t>마지막 글 2025-06-25</t>
  </si>
  <si>
    <t>Crypto, Meme Trader / Blofin, The Haven</t>
  </si>
  <si>
    <t>https://t.me/Daryacrypto</t>
  </si>
  <si>
    <t>WB-C088</t>
  </si>
  <si>
    <t>https://x.com/0xFrogify</t>
  </si>
  <si>
    <t>WB-K132</t>
  </si>
  <si>
    <t>WB-C028</t>
  </si>
  <si>
    <t>Crypto, Meme Trader / Bybit, $PENGU</t>
  </si>
  <si>
    <t>ZEU$</t>
  </si>
  <si>
    <t>zeuusss_01</t>
  </si>
  <si>
    <t>2026-07-08</t>
  </si>
  <si>
    <t>@0xchromium</t>
  </si>
  <si>
    <t>마지막 글 2026-07-08</t>
  </si>
  <si>
    <t>https://t.me/zeuusss_01</t>
  </si>
  <si>
    <t>WB-C089</t>
  </si>
  <si>
    <t>WB-K117</t>
  </si>
  <si>
    <t>Crypto, Meme Trader / Blofin, Bitunix</t>
  </si>
  <si>
    <t>Crypto Trader / MultiBank, Pro Edgex</t>
  </si>
  <si>
    <t>30일은 9/19 이후만 수집</t>
  </si>
  <si>
    <t>https://x.com/0xchromium</t>
  </si>
  <si>
    <t>WB-C029</t>
  </si>
  <si>
    <t>0xDepressionn</t>
  </si>
  <si>
    <t>xDepressionn</t>
  </si>
  <si>
    <t>2026-08-02</t>
  </si>
  <si>
    <t>Crypto Trader / Defi, Bybit</t>
  </si>
  <si>
    <t>마지막 글 2026-08-02</t>
  </si>
  <si>
    <t>https://t.me/xDepressionn</t>
  </si>
  <si>
    <t>WB-C090</t>
  </si>
  <si>
    <t>WB-K118</t>
  </si>
  <si>
    <t>https://youtube.com/@daancrypto</t>
  </si>
  <si>
    <t>@0xDepressionn</t>
  </si>
  <si>
    <t>Meme Trading Bot Guides / GMGN, BONKbot</t>
  </si>
  <si>
    <t>@ItsRagnarYT</t>
  </si>
  <si>
    <t>Gatsuki Trust Fund</t>
  </si>
  <si>
    <t>gatsuki_fund</t>
  </si>
  <si>
    <t>https://x.com/ItsRagnarYT</t>
  </si>
  <si>
    <t>2025-12-09</t>
  </si>
  <si>
    <t>마지막 글 2025-12-09</t>
  </si>
  <si>
    <t>https://t.me/gatsuki_fund</t>
  </si>
  <si>
    <t>WB-C091</t>
  </si>
  <si>
    <t>WB-K123</t>
  </si>
  <si>
    <t>https://x.com/0xDepressionn</t>
  </si>
  <si>
    <t>DeFi Researcher, Alpha Calls / Bybit, Kucoin, Phantom</t>
  </si>
  <si>
    <t>WB-C030</t>
  </si>
  <si>
    <t>https://t.me/halosden</t>
  </si>
  <si>
    <t>Trader HuB</t>
  </si>
  <si>
    <t>BullX192</t>
  </si>
  <si>
    <t>2025-10-11</t>
  </si>
  <si>
    <t>#1 trader in Bitcoin.com / Binance</t>
  </si>
  <si>
    <t>마지막 글 2025-10-11</t>
  </si>
  <si>
    <t>https://t.me/BullX192</t>
  </si>
  <si>
    <t>@woody_research</t>
  </si>
  <si>
    <t>WB-C092</t>
  </si>
  <si>
    <t>WB-K135</t>
  </si>
  <si>
    <t>https://x.com/woody_research</t>
  </si>
  <si>
    <t>Crypto, Meme Trader / Pro Edgex, Mexc</t>
  </si>
  <si>
    <t>WB-C031</t>
  </si>
  <si>
    <t>NoName gateway</t>
  </si>
  <si>
    <t>whalenoname</t>
  </si>
  <si>
    <t>2025-09-26</t>
  </si>
  <si>
    <t>마지막 글 2025-09-26</t>
  </si>
  <si>
    <t>https://t.me/whalenoname</t>
  </si>
  <si>
    <t>WB-C093</t>
  </si>
  <si>
    <t>@zeuuss_01</t>
  </si>
  <si>
    <t>Crypto, Meme Trader / $STBL $HEMI</t>
  </si>
  <si>
    <t>https://x.com/zeuuss_01</t>
  </si>
  <si>
    <t>WB-C032</t>
  </si>
  <si>
    <t>OfficialSabiigal</t>
  </si>
  <si>
    <t>미측정</t>
  </si>
  <si>
    <t>DeFi strategist / GMGN, Axiom , DeFi</t>
  </si>
  <si>
    <t>웹 미리보기 비공개 (구독자·조회 확인 불가)</t>
  </si>
  <si>
    <t>@terra_gatsuki</t>
  </si>
  <si>
    <t>WB-C094</t>
  </si>
  <si>
    <t>https://x.com/terra_gatsuki</t>
  </si>
  <si>
    <t>WB-C033</t>
  </si>
  <si>
    <t>On-chain analysis</t>
  </si>
  <si>
    <t>certifiedchads</t>
  </si>
  <si>
    <t>https://t.me/certifiedchads</t>
  </si>
  <si>
    <t>WB-C095</t>
  </si>
  <si>
    <t>WB-K126</t>
  </si>
  <si>
    <t>Crypto Trader / Monad, Defi</t>
  </si>
  <si>
    <t>@plutos_eth</t>
  </si>
  <si>
    <t>halosden</t>
  </si>
  <si>
    <t>WB-C096</t>
  </si>
  <si>
    <t>Meme Trader / Axiom, Pump</t>
  </si>
  <si>
    <t>AI 에이전트 콘텐츠 위주 · 반응 매우 낮음</t>
  </si>
  <si>
    <t>https://x.com/plutos_eth</t>
  </si>
  <si>
    <t>WB-C034</t>
  </si>
  <si>
    <t>http://t.me/kitchenofsully</t>
  </si>
  <si>
    <t>DeFiImmortal</t>
  </si>
  <si>
    <t>Defi Researcher / Camp Network, Astralabs_Inc</t>
  </si>
  <si>
    <t>https://t.me/DeFiImmortal</t>
  </si>
  <si>
    <t>WB-C097</t>
  </si>
  <si>
    <t>WB-K134</t>
  </si>
  <si>
    <t>@LookForEntries</t>
  </si>
  <si>
    <t>Airdrop, Defi / $MITO, defi.app</t>
  </si>
  <si>
    <t>게시량 과다(24h 23건) · 24h만 수집</t>
  </si>
  <si>
    <t>https://x.com/LookForEntries</t>
  </si>
  <si>
    <t>WB-C035</t>
  </si>
  <si>
    <t>Meme Trader, DeFi Researcher / OKX, Roar, Defi</t>
  </si>
  <si>
    <t>@onlineboss_</t>
  </si>
  <si>
    <t>Crypto Trader, Airdrop / Phemex</t>
  </si>
  <si>
    <t>마지막 글 9/9 · 거의 비활동</t>
  </si>
  <si>
    <t>https://x.com/onlineboss_</t>
  </si>
  <si>
    <t>WB-C036</t>
  </si>
  <si>
    <t>MrCryptoPH</t>
  </si>
  <si>
    <t>DalarinTV</t>
  </si>
  <si>
    <t>마지막 글 9/14</t>
  </si>
  <si>
    <t>WB-C037</t>
  </si>
  <si>
    <t>Token Creation, Snipers / Solana meme tokens</t>
  </si>
  <si>
    <t>@fried_dev</t>
  </si>
  <si>
    <t>마지막 글 7/10 · 비활동</t>
  </si>
  <si>
    <t>https://x.com/fried_dev</t>
  </si>
  <si>
    <t>WB-C038</t>
  </si>
  <si>
    <t>Bot Tutorials / Axiom Pro</t>
  </si>
  <si>
    <t>Riko Nazza</t>
  </si>
  <si>
    <t>https://www.youtube.com/@nazzacrypto/videos</t>
  </si>
  <si>
    <t>@0xDarya_</t>
  </si>
  <si>
    <t>Crypto bot developer, Meme  / Defiapp, GMGN, Axiom pro</t>
  </si>
  <si>
    <t>마지막 글 6/10 · 비활동</t>
  </si>
  <si>
    <t>https://x.com/0xDarya_</t>
  </si>
  <si>
    <t>WB-C039</t>
  </si>
  <si>
    <t>Crypto, Meme Trader / Banana Gun, Bitget</t>
  </si>
  <si>
    <t>@0xCryptoAmbush</t>
  </si>
  <si>
    <t>Crypto commentary / GMGN, DeFi</t>
  </si>
  <si>
    <t>마지막 글 2/25 · 비활동</t>
  </si>
  <si>
    <t>https://x.com/0xCryptoAmbush</t>
  </si>
  <si>
    <t>Crypto dev/insight defi / GMGN, Waves</t>
  </si>
  <si>
    <t>WB-C040</t>
  </si>
  <si>
    <t>WB-K133</t>
  </si>
  <si>
    <t>Crypto research / GMGN, Axiom pro</t>
  </si>
  <si>
    <t>@0xImmortal_</t>
  </si>
  <si>
    <t>DeFi tools &amp; bots / GMGN, Axiom pro</t>
  </si>
  <si>
    <t>마지막 글 6/24 · 비활동</t>
  </si>
  <si>
    <t>https://x.com/0xImmortal_</t>
  </si>
  <si>
    <t>WB-C041</t>
  </si>
  <si>
    <t>Ethereum insights, Alpha Hunter / Axiom pro, GMGN</t>
  </si>
  <si>
    <t>BuhokGaming</t>
  </si>
  <si>
    <t>@kepochnik_</t>
  </si>
  <si>
    <t>없음</t>
  </si>
  <si>
    <t>Terra ecosystem,memetrader / GMGN</t>
  </si>
  <si>
    <t>X 계정 없음 (삭제·변경) · TG kepochnikalpha는 7일 1건</t>
  </si>
  <si>
    <t>https://x.com/kepochnik_</t>
  </si>
  <si>
    <t>WB-C042</t>
  </si>
  <si>
    <t>Bot Educator / Trojan, Copy Trades</t>
  </si>
  <si>
    <t>@BULLX132</t>
  </si>
  <si>
    <t>DeFi builder, MEME, Gem Insight / GMGN</t>
  </si>
  <si>
    <t>X 계정 없음 (삭제·변경)</t>
  </si>
  <si>
    <t>https://x.com/BULLX132</t>
  </si>
  <si>
    <t>WB-C043</t>
  </si>
  <si>
    <t>Bot Aggregator / UniversalX, GMGN, BONKbot</t>
  </si>
  <si>
    <t>LookForEntries</t>
  </si>
  <si>
    <t>Meme Trader, Content Creator / Axiom, DeFi</t>
  </si>
  <si>
    <t>Crypto analytics, DeFi  / Axiom pro, GMGN, DeFi</t>
  </si>
  <si>
    <t>WhoCares</t>
  </si>
  <si>
    <t>BossJapz</t>
  </si>
  <si>
    <t>Developer / Setup Threads / Axiom, Combo bots</t>
  </si>
  <si>
    <t>Crypto Trader,  DeFi / GMGN, Infinit labs, HOME, Defi</t>
  </si>
  <si>
    <t>Bot Guide, Wallet Tracker / Axiom</t>
  </si>
  <si>
    <t>https://t.me/+3IrXv5LUXuMwMmM0</t>
  </si>
  <si>
    <t>마지막 글 2/25 · 비활동 · TG 비공개 초대 링크</t>
  </si>
  <si>
    <t>DeFi/user strategies / GMGN, DeFi</t>
  </si>
  <si>
    <t>Crypto Trader, Content Creator / GMGN, Axiom , DeFi</t>
  </si>
  <si>
    <t>한국 Telegram — 67개 채널</t>
  </si>
  <si>
    <t>■ '8/25 시트 평균' = 원본 시트 기재값 (실측과 비교용)</t>
  </si>
  <si>
    <t>한국 YouTube — 23개 채널 (롱폼)</t>
  </si>
  <si>
    <t>■ 퍼포먼스 = 30일 롱폼 중앙 조회 P1 10,000+ · P2 3,000+ · P3 1,000+ · 비활동 = 30일 0개</t>
  </si>
  <si>
    <t>■ 한국 YT는 24시간 단위 수집을 하지 않아 '최근 영상'(경과일)으로 대체 · 쇼츠는 별도 칸 (최근 N개 평균)</t>
  </si>
  <si>
    <t>■ 30일 안에 롱폼을 올린 채널은 23곳 중 소수 — 한국은 TG 중심으로 볼 것</t>
  </si>
  <si>
    <t>최근 영상</t>
  </si>
  <si>
    <t>8/25 시트
평균</t>
  </si>
  <si>
    <t>쇼츠 평균
(최근 N개)</t>
  </si>
  <si>
    <t>CoinFluencer P2E&amp;NFT</t>
  </si>
  <si>
    <t>hjwnews</t>
  </si>
  <si>
    <t>@pluman</t>
  </si>
  <si>
    <t>3일 전</t>
  </si>
  <si>
    <t>저빈도 (마지막 9/17)</t>
  </si>
  <si>
    <t>@cobacknam</t>
  </si>
  <si>
    <t>14일 전</t>
  </si>
  <si>
    <t>2,595 (10개)</t>
  </si>
  <si>
    <t>seaotterbtc</t>
  </si>
  <si>
    <t>coinfluencer</t>
  </si>
  <si>
    <t>@CoinFluencer</t>
  </si>
  <si>
    <t>4일 전</t>
  </si>
  <si>
    <t>2,395 (4개)</t>
  </si>
  <si>
    <t>TG hjwnews 병행</t>
  </si>
  <si>
    <t>WB-C167</t>
  </si>
  <si>
    <t>enjoymyhobby</t>
  </si>
  <si>
    <t>@naback222</t>
  </si>
  <si>
    <t>21일 전</t>
  </si>
  <si>
    <t>Jobless_investor</t>
  </si>
  <si>
    <t>2026-09-03</t>
  </si>
  <si>
    <t>@coinboys</t>
  </si>
  <si>
    <t>저빈도 (마지막 9/3)</t>
  </si>
  <si>
    <t>2일 전</t>
  </si>
  <si>
    <t>2,800 (9개)</t>
  </si>
  <si>
    <t>@TA_crypto</t>
  </si>
  <si>
    <t>10일 전</t>
  </si>
  <si>
    <t>cryptomacase</t>
  </si>
  <si>
    <t>1,142 (10개)</t>
  </si>
  <si>
    <t>@cryptocurrencymage</t>
  </si>
  <si>
    <t>1일 전</t>
  </si>
  <si>
    <t>Raoni1</t>
  </si>
  <si>
    <t>한국 X — 13개 계정</t>
  </si>
  <si>
    <t>■ 퍼포먼스 = 게시물당 평균 반응 (평균 조회 × ER) · 한국 KOL은 X 비중이 낮아 대부분 P3 이하</t>
  </si>
  <si>
    <t>@airdropatm</t>
  </si>
  <si>
    <t>■ 30일을 못 불러온 계정은 7일 기준으로 등급 산정 (메모 표기)</t>
  </si>
  <si>
    <t>조회 실패</t>
  </si>
  <si>
    <t>TwitterScore — 56개 X 계정</t>
  </si>
  <si>
    <t>lovejudylee</t>
  </si>
  <si>
    <t>■ TwitterScore = twitterscore.io 공개 점수 (영향력 계정 팔로워 기반) · S 200+ · A 100–199 · B 40–99 · C 15–39 · D 15 미만</t>
  </si>
  <si>
    <t>■ 스마트 팔로워 = 영향력 있는 계정 중 팔로워 수 · 스마트 비율 = 스마트 ÷ 전체 팔로워</t>
  </si>
  <si>
    <t>■ 오른쪽 '30일 퍼포먼스'는 X 실측 (글로벌 X·한국 X 탭) — 점수가 높아도 실제 반응이 낮은 계정을 구분하기 위함</t>
  </si>
  <si>
    <t>하루 28건+ · 30일 일부만 수집</t>
  </si>
  <si>
    <t>@donkkul</t>
  </si>
  <si>
    <t>약 2년 전</t>
  </si>
  <si>
    <t>28,983 (6개, 27,000 1건 포함)</t>
  </si>
  <si>
    <t>X 실측 · 30일</t>
  </si>
  <si>
    <t>officialunivercityofcrypto</t>
  </si>
  <si>
    <t>X 계정</t>
  </si>
  <si>
    <t>점수</t>
  </si>
  <si>
    <t>원 표기</t>
  </si>
  <si>
    <t>스마트
비율</t>
  </si>
  <si>
    <t>@jammin2</t>
  </si>
  <si>
    <t>@heedan123</t>
  </si>
  <si>
    <t>105일 전</t>
  </si>
  <si>
    <t>8/25 시트
팔로워</t>
  </si>
  <si>
    <t>TwitterScore 링크</t>
  </si>
  <si>
    <t>5,800 (1개)</t>
  </si>
  <si>
    <t>killberosDAO</t>
  </si>
  <si>
    <t>WB-C174</t>
  </si>
  <si>
    <t>https://twitterscore.io/twitter/ColdBloodShill/overview/</t>
  </si>
  <si>
    <t>마지막 9/16</t>
  </si>
  <si>
    <t>WB-C188</t>
  </si>
  <si>
    <t>https://twitterscore.io/twitter/AltcoinSherpa/overview/</t>
  </si>
  <si>
    <t>@02HAN</t>
  </si>
  <si>
    <t>https://twitterscore.io/twitter/Trader_XO/overview/</t>
  </si>
  <si>
    <t>45일 전</t>
  </si>
  <si>
    <t>tlsrltnf</t>
  </si>
  <si>
    <t>https://twitterscore.io/twitter/IncomeSharks/overview/</t>
  </si>
  <si>
    <t>4,600 (1개)</t>
  </si>
  <si>
    <t>https://twitterscore.io/twitter/EricCryptoman/overview/</t>
  </si>
  <si>
    <t>https://twitterscore.io/twitter/rektcapital/overview/</t>
  </si>
  <si>
    <t>https://twitterscore.io/twitter/DaanCrypto/overview/</t>
  </si>
  <si>
    <t>marshallog</t>
  </si>
  <si>
    <t>https://twitterscore.io/twitter/KoroushAK/overview/</t>
  </si>
  <si>
    <t>@Wangbei__</t>
  </si>
  <si>
    <t>https://twitterscore.io/twitter/nobrainflip/overview/</t>
  </si>
  <si>
    <t>https://twitterscore.io/twitter/DeRonin_/overview/</t>
  </si>
  <si>
    <t>75일 전</t>
  </si>
  <si>
    <t>https://twitterscore.io/twitter/inmortalcrypto/overview/</t>
  </si>
  <si>
    <t>@AlphaSchool77</t>
  </si>
  <si>
    <t>1,920 (5개)</t>
  </si>
  <si>
    <t>mujammin123</t>
  </si>
  <si>
    <t>WB-C176</t>
  </si>
  <si>
    <t>https://twitterscore.io/twitter/MuroCrypto/overview/</t>
  </si>
  <si>
    <t>https://twitterscore.io/twitter/eliz883/overview/</t>
  </si>
  <si>
    <t>@doosinnft</t>
  </si>
  <si>
    <t>165일 전</t>
  </si>
  <si>
    <t>aispersons</t>
  </si>
  <si>
    <t>https://twitterscore.io/twitter/ChadCaff/overview/</t>
  </si>
  <si>
    <t>9/16 이후만 수집 · WL 기브어웨이 위주 → ER 부풀려짐</t>
  </si>
  <si>
    <t>1,296 (10개)</t>
  </si>
  <si>
    <t>WB-C189</t>
  </si>
  <si>
    <t>WB-C177</t>
  </si>
  <si>
    <t>https://twitterscore.io/twitter/CryptoPoseidonn/overview/</t>
  </si>
  <si>
    <t>https://twitterscore.io/twitter/follis_/overview/</t>
  </si>
  <si>
    <t>https://twitterscore.io/twitter/spacexbt/overview/</t>
  </si>
  <si>
    <t>HeadingtoRome</t>
  </si>
  <si>
    <t>https://twitterscore.io/twitter/zeuuss_01/overview/</t>
  </si>
  <si>
    <t>@CENTWT</t>
  </si>
  <si>
    <t>@honeyoftoday</t>
  </si>
  <si>
    <t>255일 전</t>
  </si>
  <si>
    <t>https://twitterscore.io/twitter/FefeDemeny/overview/</t>
  </si>
  <si>
    <t>534 (10개)</t>
  </si>
  <si>
    <t>https://twitterscore.io/twitter/0xDepressionn/overview/</t>
  </si>
  <si>
    <t>Trader Hyun's channel</t>
  </si>
  <si>
    <t>TraderHyun</t>
  </si>
  <si>
    <t>https://twitterscore.io/twitter/PhilakoneCrypto/overview/</t>
  </si>
  <si>
    <t>https://twitterscore.io/twitter/haloETH/overview/</t>
  </si>
  <si>
    <t>https://twitterscore.io/twitter/DeFiOracle_/overview/</t>
  </si>
  <si>
    <t>yul_papa</t>
  </si>
  <si>
    <t>@jerryalphanft</t>
  </si>
  <si>
    <t>225일 전</t>
  </si>
  <si>
    <t>https://twitterscore.io/twitter/evancrypt/overview/</t>
  </si>
  <si>
    <t>@p2ecoin91</t>
  </si>
  <si>
    <t>WB-C113</t>
  </si>
  <si>
    <t>478 (3개)</t>
  </si>
  <si>
    <t>https://twitterscore.io/twitter/ItsRagnarYT/overview/</t>
  </si>
  <si>
    <t>https://twitterscore.io/twitter/terra_gatsuki/overview/</t>
  </si>
  <si>
    <t>AlphaSchool77</t>
  </si>
  <si>
    <t>WB-C191</t>
  </si>
  <si>
    <t>https://twitterscore.io/twitter/0xjayn3/overview/</t>
  </si>
  <si>
    <t>https://twitterscore.io/twitter/plutos_eth/overview/</t>
  </si>
  <si>
    <t>@CEN_CRYPTO</t>
  </si>
  <si>
    <t>https://twitterscore.io/twitter/0xchromium/overview/</t>
  </si>
  <si>
    <t>CoinWiki_MMWW</t>
  </si>
  <si>
    <t>https://twitterscore.io/twitter/LookForEntries/overview/</t>
  </si>
  <si>
    <t>157 (10개)</t>
  </si>
  <si>
    <t>@cryptoyobeul</t>
  </si>
  <si>
    <t>WB-C180</t>
  </si>
  <si>
    <t>https://twitterscore.io/twitter/0xDarya_/overview/</t>
  </si>
  <si>
    <t>https://twitterscore.io/twitter/WhaleNoName/overview/</t>
  </si>
  <si>
    <t>vc_21m</t>
  </si>
  <si>
    <t>2026-09-22</t>
  </si>
  <si>
    <t>https://twitterscore.io/twitter/cryptoyobeul/overview/</t>
  </si>
  <si>
    <t>마지막 9/17</t>
  </si>
  <si>
    <t>@Naback222</t>
  </si>
  <si>
    <t>WB-C192</t>
  </si>
  <si>
    <t>https://twitterscore.io/twitter/Naback222/overview/</t>
  </si>
  <si>
    <t>channel/UCKsMT8_jAvNWtOOS6Lo23EQ</t>
  </si>
  <si>
    <t>195일 전</t>
  </si>
  <si>
    <t>https://twitterscore.io/twitter/onlineboss_/overview/</t>
  </si>
  <si>
    <t>https://twitterscore.io/twitter/0xklarck/overview/</t>
  </si>
  <si>
    <t>@coinboy717</t>
  </si>
  <si>
    <t>Bananamilkrich</t>
  </si>
  <si>
    <t>https://twitterscore.io/twitter/coinboy717/overview/</t>
  </si>
  <si>
    <t>보류</t>
  </si>
  <si>
    <t>https://twitterscore.io/twitter/w1nklerr/overview/</t>
  </si>
  <si>
    <t>https://twitterscore.io/twitter/0xImmortal_/overview/</t>
  </si>
  <si>
    <t>크립토 청춘 (돈버는청춘)</t>
  </si>
  <si>
    <t>@CheongChun</t>
  </si>
  <si>
    <t>WB-C193</t>
  </si>
  <si>
    <t>https://twitterscore.io/twitter/CENTWT/overview/</t>
  </si>
  <si>
    <t>cryptoforu12</t>
  </si>
  <si>
    <t>https://twitterscore.io/twitter/0xFrogify/overview/</t>
  </si>
  <si>
    <t>https://twitterscore.io/twitter/AlphaSchool77/overview/</t>
  </si>
  <si>
    <t>@log_yun</t>
  </si>
  <si>
    <t>https://twitterscore.io/twitter/log_yun/overview/</t>
  </si>
  <si>
    <t>https://twitterscore.io/twitter/p2ecoin91/overview/</t>
  </si>
  <si>
    <t>@sangptube</t>
  </si>
  <si>
    <t>https://twitterscore.io/twitter/heedan123/overview/</t>
  </si>
  <si>
    <t>https://twitterscore.io/twitter/woody_research/overview/</t>
  </si>
  <si>
    <t>https://x.com/log_yun</t>
  </si>
  <si>
    <t>@TheP2E_NFT</t>
  </si>
  <si>
    <t>WB-C194</t>
  </si>
  <si>
    <t/>
  </si>
  <si>
    <t>LEEHEESANGDYOR</t>
  </si>
  <si>
    <t>https://twitterscore.io/twitter/TheP2E_NFT/overview/</t>
  </si>
  <si>
    <t>@nftroro</t>
  </si>
  <si>
    <t>https://twitterscore.io/twitter/nftroro/overview/</t>
  </si>
  <si>
    <t>@Stay1104</t>
  </si>
  <si>
    <t>https://twitterscore.io/twitter/Stay1104/overview/</t>
  </si>
  <si>
    <t>@0xsangp</t>
  </si>
  <si>
    <t>폐지줍는 츄카피</t>
  </si>
  <si>
    <t>https://twitterscore.io/twitter/0xsangp/overview/</t>
  </si>
  <si>
    <t>@chukapika</t>
  </si>
  <si>
    <t>365일 전</t>
  </si>
  <si>
    <t>https://twitterscore.io/twitter/midrizzy1/overview/</t>
  </si>
  <si>
    <t>https://twitterscore.io/twitter/fried_dev/overview/</t>
  </si>
  <si>
    <t>BMTube</t>
  </si>
  <si>
    <t>https://twitterscore.io/twitter/0xCryptoAmbush/overview/</t>
  </si>
  <si>
    <t>@Xrtrashbin</t>
  </si>
  <si>
    <t>@leedogin</t>
  </si>
  <si>
    <t>조회불가</t>
  </si>
  <si>
    <t>https://twitterscore.io/twitter/Xrtrashbin/overview/</t>
  </si>
  <si>
    <t>WB-C185</t>
  </si>
  <si>
    <t>https://twitterscore.io/twitter/kepochnik_/overview/</t>
  </si>
  <si>
    <t>https://twitterscore.io/twitter/BULLX132/overview/</t>
  </si>
  <si>
    <t>BQTelegram</t>
  </si>
  <si>
    <t>@COINRORO</t>
  </si>
  <si>
    <t>9/21 이후만 수집 (하루 4건) · 30일 미수집 → 7일 기준</t>
  </si>
  <si>
    <t>공개 영상 0개 → 보류</t>
  </si>
  <si>
    <t>WB-C196</t>
  </si>
  <si>
    <t>WB-C186</t>
  </si>
  <si>
    <t>@CoinStay</t>
  </si>
  <si>
    <t>나백이의코인라이프</t>
  </si>
  <si>
    <t>ysytop2</t>
  </si>
  <si>
    <t>404 (채널 없음) → 보류</t>
  </si>
  <si>
    <t>WB-C187</t>
  </si>
  <si>
    <t>WB-C122</t>
  </si>
  <si>
    <t>WB-C197</t>
  </si>
  <si>
    <t>cobacknamannounce</t>
  </si>
  <si>
    <t>시트 팔로워는 TG+YT 합산으로 보임</t>
  </si>
  <si>
    <t>WB-C123</t>
  </si>
  <si>
    <t>보류 · 시트 100,000 ≠ 실제 7,219 · 마지막 7/14 · 30일 미수집 → 7일 기준</t>
  </si>
  <si>
    <t>WB-C198</t>
  </si>
  <si>
    <t>큐브의 유기농 크립토 쌀농장</t>
  </si>
  <si>
    <t>cubestudy1557</t>
  </si>
  <si>
    <t>보류 · 시트 11,500 · 전체 게시물 77개 · 30일 미수집 → 7일 기준</t>
  </si>
  <si>
    <t>coinboys</t>
  </si>
  <si>
    <t>WB-C125</t>
  </si>
  <si>
    <t>보류 · 계정 불일치 (시트 12,800) · 30일 미수집 → 7일 기준</t>
  </si>
  <si>
    <t>yobeullyANN</t>
  </si>
  <si>
    <t>Honeyofwhitesocks_2</t>
  </si>
  <si>
    <t>Jenti_DeFi</t>
  </si>
  <si>
    <t>CRYPTOSCH00L</t>
  </si>
  <si>
    <t>airdrop_kor</t>
  </si>
  <si>
    <t>centurywhale</t>
  </si>
  <si>
    <t>donbug8282</t>
  </si>
  <si>
    <t>naverblog30</t>
  </si>
  <si>
    <t>sangp_airdrop</t>
  </si>
  <si>
    <t>doosin_nft</t>
  </si>
  <si>
    <t>2026-09-26</t>
  </si>
  <si>
    <t>평균은 바이럴 1건으로 부풀려짐</t>
  </si>
  <si>
    <t>KOL Rounds 선정 · 선정 이유 (v0.2 · 2026-09-28)</t>
  </si>
  <si>
    <t>■ KOL 라운드 = 노드 판매 엔진 (로드맵 v0.1 베팅 ②): KOL이 노드를 구매하고 레퍼럴·할인으로 자기 커뮤니티에 판매 → 조회 규모보다 '팔로워가 실제로 반응하는가'를 우선</t>
  </si>
  <si>
    <t>■ 선정 규칙 [제안] ① 퍼포먼스 P1–P2 ② 전환 신호: X ER 0.6%+ / TG 도달률 8%+ / YT 롱폼 도달률 5%+ ③ 30일 게시 충분 (X 10·TG 8·YT 3건+) ④ 리스크 없음</t>
  </si>
  <si>
    <t>30대에 퇴학당했다 살아돌아온 불불</t>
  </si>
  <si>
    <t>■ 분류: ①②③④ 충족 = 1차 · ③ 미달 = 예비(활동 재확인) · P3지만 ②③ 충족 = 예비(2차 충원) · ② 미달 = 런칭 홍보용 · ④ 해당 = 보류</t>
  </si>
  <si>
    <t>bulbul2cryptoDAO</t>
  </si>
  <si>
    <t>■ 결과: 1차 · 한국 8 · 1차 · 글로벌 12 · 예비 (활동 재확인) 4 · 예비 (2차 충원) 18 · 런칭 홍보용 7 · 보류 3 (나머지 P3·P4·비활동은 제외 — 각 채널 탭에서 확인)</t>
  </si>
  <si>
    <t>■ ⚠️ 적합성(홍보 이력)·노드 구매 의향은 미측정 → '접촉 전 확인' 칸 · 라운드 조건(할인·레퍼럴·수량)은 미정 (Open Decisions D3)</t>
  </si>
  <si>
    <t>근거 (9/28 실측)</t>
  </si>
  <si>
    <t>구분</t>
  </si>
  <si>
    <t>#</t>
  </si>
  <si>
    <t>선정 채널</t>
  </si>
  <si>
    <t>핵심 KPI (30일)</t>
  </si>
  <si>
    <t>선정 이유</t>
  </si>
  <si>
    <t>접촉 전 확인</t>
  </si>
  <si>
    <t>1차 · 한국</t>
  </si>
  <si>
    <t>Signal_Quant</t>
  </si>
  <si>
    <t>TG 30일 133건 · 중앙 조회 5,000 · 구독 30,100 · 도달률 16.6%</t>
  </si>
  <si>
    <t>P1 · 매 글 구독자 17%가 조회 — 결속 강한 TG 커뮤니티라 노드 레퍼럴 판매에 적합</t>
  </si>
  <si>
    <t>적합성(DePIN·노드·XRP 홍보 이력, 스캠 홍보 이력) · 연락 창구 · 노드 구매 의향 · 유료 표기 수용</t>
  </si>
  <si>
    <t>TG 30일 157건 · 중앙 조회 2,830 · 구독 23,000 · 도달률 12.3%</t>
  </si>
  <si>
    <t>P2 · 매 글 구독자 12%가 조회 — 결속 강한 TG 커뮤니티라 노드 레퍼럴 판매에 적합</t>
  </si>
  <si>
    <t>TG 30일 137건 · 중앙 조회 1,840 · 구독 22,900 · 도달률 8.0%</t>
  </si>
  <si>
    <t>P2 · 매 글 구독자 8%가 조회 — 결속 강한 TG 커뮤니티라 노드 레퍼럴 판매에 적합</t>
  </si>
  <si>
    <t>TG 30일 839건 · 중앙 조회 2,210 · 구독 17,400 · 도달률 12.7%</t>
  </si>
  <si>
    <t>P2 · 매 글 구독자 13%가 조회 — 결속 강한 TG 커뮤니티라 노드 레퍼럴 판매에 적합</t>
  </si>
  <si>
    <t>danielsocialclub</t>
  </si>
  <si>
    <t>TG 30일 38건 · 중앙 조회 1,650 · 구독 15,100 · 도달률 10.9%</t>
  </si>
  <si>
    <t>P2 · 매 글 구독자 11%가 조회 — 결속 강한 TG 커뮤니티라 노드 레퍼럴 판매에 적합</t>
  </si>
  <si>
    <t>TG 30일 329건 · 중앙 조회 2,200 · 구독 14,900 · 도달률 14.8%</t>
  </si>
  <si>
    <t>P2 · 매 글 구독자 15%가 조회 — 결속 강한 TG 커뮤니티라 노드 레퍼럴 판매에 적합</t>
  </si>
  <si>
    <t>TG 30일 25건 · 중앙 조회 1,830 · 구독 11,000 · 도달률 16.6%</t>
  </si>
  <si>
    <t>P2 · 매 글 구독자 17%가 조회 — 결속 강한 TG 커뮤니티라 노드 레퍼럴 판매에 적합</t>
  </si>
  <si>
    <t>안성국밥 크립토 맛집 (구 에어드랍 포워딩 국밥집)</t>
  </si>
  <si>
    <t>coinkookbob</t>
  </si>
  <si>
    <t>YT 롱폼 30일 3건 · 중앙 조회 6,200 · 구독 10,200 · 도달률 60.8%</t>
  </si>
  <si>
    <t>P2 · 롱폼 중앙 조회가 구독자의 61% — 설명형 콘텐츠로 노드 구조 전달에 적합</t>
  </si>
  <si>
    <t>1차 · 글로벌</t>
  </si>
  <si>
    <t>채널명 변경</t>
  </si>
  <si>
    <t>YT 롱폼 30일 18건 · 중앙 조회 13,000 · 구독 42,500 · 도달률 30.6%</t>
  </si>
  <si>
    <t>59 (B)</t>
  </si>
  <si>
    <t>P1 · 롱폼 중앙 조회가 구독자의 31% — 설명형 콘텐츠로 노드 구조 전달에 적합</t>
  </si>
  <si>
    <t>다른 채널: X P2</t>
  </si>
  <si>
    <t>YT 롱폼 30일 12건 · 중앙 조회 14,000 · 구독 35,200 · 도달률 39.8%</t>
  </si>
  <si>
    <t>P1 · 롱폼 중앙 조회가 구독자의 40% — 설명형 콘텐츠로 노드 구조 전달에 적합</t>
  </si>
  <si>
    <t>선정 기준 및 지표 정의</t>
  </si>
  <si>
    <t>X 30일 304건 · 평균 조회 85,107 · ER 0.66% · 반응 562/건</t>
  </si>
  <si>
    <t>133 (A)</t>
  </si>
  <si>
    <t>기존 기준을 편집 가능한 입력값으로 분리. 경계 구간은 임시 검토 규칙이며 성과로 보정 필요.</t>
  </si>
  <si>
    <t>P1 퍼포먼스 + ER 0.66% (기준 0.6%+) — 팔로워가 실제로 반응하는 채널이라 레퍼럴 판매 전환 기대</t>
  </si>
  <si>
    <t>다른 채널: YT 비활동</t>
  </si>
  <si>
    <t>비율은 고유 도달률·구매전환율이 아님. 숫자를 바꾸면 연결된 등급·후보 분류가 갱신됩니다.</t>
  </si>
  <si>
    <t>P1 최소</t>
  </si>
  <si>
    <t>P2 최소</t>
  </si>
  <si>
    <t>X 30일 11건 · 평균 조회 74,045 · ER 0.89% · 반응 659/건</t>
  </si>
  <si>
    <t>P3 최소</t>
  </si>
  <si>
    <t>128 (A)</t>
  </si>
  <si>
    <t>최소 표본</t>
  </si>
  <si>
    <t>P1 퍼포먼스 + ER 0.89% (기준 0.6%+) — 팔로워가 실제로 반응하는 채널이라 레퍼럴 판매 전환 기대</t>
  </si>
  <si>
    <t>다른 채널: TG P3 · 도달률 42% · 효율 최상</t>
  </si>
  <si>
    <t>검토 비율 기준</t>
  </si>
  <si>
    <t>부자가 되고 싶은 춘식이</t>
  </si>
  <si>
    <t>경계 폭 ±</t>
  </si>
  <si>
    <t>choonsik</t>
  </si>
  <si>
    <t>기준 지표</t>
  </si>
  <si>
    <t>비율 정의</t>
  </si>
  <si>
    <t>X 30일 40건 · 평균 조회 89,477 · ER 0.78% · 반응 698/건</t>
  </si>
  <si>
    <t>235 (S)</t>
  </si>
  <si>
    <t>P1 퍼포먼스 + ER 0.78% (기준 0.6%+) — 팔로워가 실제로 반응하는 채널이라 레퍼럴 판매 전환 기대</t>
  </si>
  <si>
    <t>게시물당 공개 반응 수</t>
  </si>
  <si>
    <t>(좋아요+답글+리포스트)÷조회</t>
  </si>
  <si>
    <t>표본 게시물 중앙 조회</t>
  </si>
  <si>
    <t>YT 롱폼 30일 3건 · 중앙 조회 5,300 · 구독 85,700 · 도달률 6.2%</t>
  </si>
  <si>
    <t>52 (B)</t>
  </si>
  <si>
    <t>중앙 조회÷구독자</t>
  </si>
  <si>
    <t>P2 · 롱폼 중앙 조회가 구독자의 6% — 설명형 콘텐츠로 노드 구조 전달에 적합</t>
  </si>
  <si>
    <t>다른 채널: X P3</t>
  </si>
  <si>
    <t>표본 롱폼 중앙 조회</t>
  </si>
  <si>
    <t>YT 롱폼 30일 5건 · 중앙 조회 5,600 · 구독 35,900 · 도달률 15.6%</t>
  </si>
  <si>
    <t>39 (C)</t>
  </si>
  <si>
    <t>P2 · 롱폼 중앙 조회가 구독자의 16% — 설명형 콘텐츠로 노드 구조 전달에 적합</t>
  </si>
  <si>
    <t>다른 채널: X 비활동</t>
  </si>
  <si>
    <t>항목</t>
  </si>
  <si>
    <t>정의</t>
  </si>
  <si>
    <t>cryptowangbei</t>
  </si>
  <si>
    <t>24시간·7일·30일</t>
  </si>
  <si>
    <t>TG 30일 105건 · 중앙 조회 2,710 · 구독 31,300 · 도달률 8.7%</t>
  </si>
  <si>
    <t>227 (S)</t>
  </si>
  <si>
    <t>해당 기간에 게시된 콘텐츠의 수집 시점 누적 조회. 기간 중 발생한 조회 증가량이 아님.</t>
  </si>
  <si>
    <t>P2 · 매 글 구독자 9%가 조회 — 결속 강한 TG 커뮤니티라 노드 레퍼럴 판매에 적합</t>
  </si>
  <si>
    <t>기간 확인 필요</t>
  </si>
  <si>
    <t>기존 집계 수치는 존재하지만 게시물별 원자료·수집 시작/종료시각으로 전체 기간을 검증하지 못함.</t>
  </si>
  <si>
    <t>일부 수집</t>
  </si>
  <si>
    <t>X 30일 146건 · 평균 조회 38,127 · ER 0.68% · 반응 259/건</t>
  </si>
  <si>
    <t>원본 메모에 30일 미수집 또는 일부 기간만 수집이라고 기록된 표본.</t>
  </si>
  <si>
    <t>423 (S)</t>
  </si>
  <si>
    <t>P2 퍼포먼스 + ER 0.68% (기준 0.6%+) — 팔로워가 실제로 반응하는 채널이라 레퍼럴 판매 전환 기대</t>
  </si>
  <si>
    <t>조회 불가</t>
  </si>
  <si>
    <t>비공개·미리보기 제한·공개 수치 미확보. 조회수 0이나 비활동을 의미하지 않음.</t>
  </si>
  <si>
    <t>계정 확인 필요</t>
  </si>
  <si>
    <t>404 또는 계정 불일치. 동일 KOL 계정 여부 확인 필요.</t>
  </si>
  <si>
    <t>측정 완료</t>
  </si>
  <si>
    <t>X 30일 48건 · 평균 조회 39,946 · ER 0.96% · 반응 383/건</t>
  </si>
  <si>
    <t>153 (A)</t>
  </si>
  <si>
    <t>게시물 원자료와 수집 시각으로 기간·계정이 확인된 경우에만 수동 선택.</t>
  </si>
  <si>
    <t>P2 퍼포먼스 + ER 0.96% (기준 0.6%+) — 팔로워가 실제로 반응하는 채널이라 레퍼럴 판매 전환 기대</t>
  </si>
  <si>
    <t>다른 채널: TG 비활동 · 가성비 후보</t>
  </si>
  <si>
    <t>표본 부족</t>
  </si>
  <si>
    <t>노출 규모 등급은 계산하되, 최소 게시 수 미달 시 우선 접촉 후보로 확정하지 않음.</t>
  </si>
  <si>
    <t>경계값 검토</t>
  </si>
  <si>
    <t>X 30일 42건 · 평균 조회 25,898 · ER 1.13% · 반응 293/건</t>
  </si>
  <si>
    <t>비율 기준의 ±경계 폭 안은 양쪽 모두 같은 검토 그룹. 성과 차이로 단정하지 않음.</t>
  </si>
  <si>
    <t>145 (A)</t>
  </si>
  <si>
    <t>P2 퍼포먼스 + ER 1.13% (기준 0.6%+) — 팔로워가 실제로 반응하는 채널이라 레퍼럴 판매 전환 기대</t>
  </si>
  <si>
    <t>봇 비율</t>
  </si>
  <si>
    <t>미측정. TwitterScore·스마트 팔로워 비율·높은 ER로 봇 비율을 대체하지 않음.</t>
  </si>
  <si>
    <t>게시 시점 보정</t>
  </si>
  <si>
    <t>24시간·7일·30일 누적값은 노출 경과시간이 다름. 차이를 성장률로 확정하지 않음.</t>
  </si>
  <si>
    <t>견적·성과</t>
  </si>
  <si>
    <t>미입력은 공란. 0원·0건이 확인된 경우에만 0 입력. 통화별 합계만 계산.</t>
  </si>
  <si>
    <t>X 30일 145건 · 평균 조회 26,419 · ER 1.09% · 반응 288/건</t>
  </si>
  <si>
    <t>121 (A)</t>
  </si>
  <si>
    <t>캠페인 구매전환</t>
  </si>
  <si>
    <t>P2 퍼포먼스 + ER 1.09% (기준 0.6%+) — 팔로워가 실제로 반응하는 채널이라 레퍼럴 판매 전환 기대</t>
  </si>
  <si>
    <t>코드/링크로 귀속된 구매자·실판매 노드로 검증. 조회·ER만으로 전환력 단정 금지.</t>
  </si>
  <si>
    <t>다른 채널: YT P3</t>
  </si>
  <si>
    <t>Telegram 조회 설명</t>
  </si>
  <si>
    <t>WEB 2.5를 꿈꾸는 JackpotDAO</t>
  </si>
  <si>
    <t>https://www.telegram.org/faq_channels#q-what-does-the-eye-icon-mean</t>
  </si>
  <si>
    <t>예비 (활동 재확인)</t>
  </si>
  <si>
    <t>jackpot777DAO</t>
  </si>
  <si>
    <t>YT 롱폼 30일 2건 · 중앙 조회 10,000 · 구독 21,600 · 도달률 46.3%</t>
  </si>
  <si>
    <t>P1 · 도달률 46.3%로 조건은 충족하나 30일 게시 2건으로 표본이 작음 → 활동 재확인 후 1차 편입</t>
  </si>
  <si>
    <t>최근 2주 게시 재측정 → 기준 충족 시 1차 편입</t>
  </si>
  <si>
    <t>TG 30일 4건 · 중앙 조회 3,290 · 구독 6,630 · 도달률 49.6%</t>
  </si>
  <si>
    <t>2 (D)</t>
  </si>
  <si>
    <t>P1 · 도달률 49.6%로 조건은 충족하나 30일 게시 4건으로 표본이 작음 → 활동 재확인 후 1차 편입</t>
  </si>
  <si>
    <t>다른 채널: X 비활동, YT P2 · 저빈도 (마지막 9/17)</t>
  </si>
  <si>
    <t>YT 롱폼 30일 1건 · 중앙 조회 4,300 · 구독 57,900 · 도달률 7.4%</t>
  </si>
  <si>
    <t>P2 · 도달률 7.4%로 조건은 충족하나 30일 게시 1건으로 표본이 작음 → 활동 재확인 후 1차 편입</t>
  </si>
  <si>
    <t>다른 채널: TG P3 · TG 채널 병행</t>
  </si>
  <si>
    <t>yeolchoongNotice</t>
  </si>
  <si>
    <t>TG 30일 6건 · 중앙 조회 1,750 · 구독 6,050 · 도달률 28.9%</t>
  </si>
  <si>
    <t>P2 · 도달률 28.9%로 조건은 충족하나 30일 게시 6건으로 표본이 작음 → 활동 재확인 후 1차 편입</t>
  </si>
  <si>
    <t>예비 (2차 충원)</t>
  </si>
  <si>
    <t>YouTube 고유 시청자</t>
  </si>
  <si>
    <t>https://support.google.com/youtube/answer/7577916</t>
  </si>
  <si>
    <t>X 30일 56건 · 평균 조회 5,937 · ER 0.98% · 반응 58/건</t>
  </si>
  <si>
    <t>26 (C)</t>
  </si>
  <si>
    <t>P3 규모지만 ER 0.98%로 전환 신호 강함 → 1차 레퍼럴 성과 리뷰 후 2차 충원</t>
  </si>
  <si>
    <t>아크의 프리미엄 코인정보방</t>
  </si>
  <si>
    <t>다른 채널: TG P4 · 게시량 과다 · 30일은 9/22 이후만 수집</t>
  </si>
  <si>
    <t>Board_the_Ark</t>
  </si>
  <si>
    <t>YT 롱폼 30일 5건 · 중앙 조회 1,400 · 구독 14,500 · 도달률 9.7%</t>
  </si>
  <si>
    <t>P3 규모지만 도달률 9.7%로 전환 신호 강함 → 1차 레퍼럴 성과 리뷰 후 2차 충원</t>
  </si>
  <si>
    <t>X 30일 530건 · 평균 조회 14,357 · ER 0.83% · 반응 119/건</t>
  </si>
  <si>
    <t>280 (S)</t>
  </si>
  <si>
    <t>P3 규모지만 ER 0.83%로 전환 신호 강함 → 1차 레퍼럴 성과 리뷰 후 2차 충원</t>
  </si>
  <si>
    <t>다른 채널: YT 비활동 · 30일 530건 → 스폰서 글 묻힘 위험</t>
  </si>
  <si>
    <t>개정</t>
  </si>
  <si>
    <t>2026-09-28: 검증 상태 분리 / 비율 명칭 수정 / 경계값 검토 / 단가·성과 관리 추가</t>
  </si>
  <si>
    <t>X 30일 31건 · 평균 조회 10,491 · ER 0.62% · 반응 65/건</t>
  </si>
  <si>
    <t>91 (B)</t>
  </si>
  <si>
    <t>P3 규모지만 ER 0.62%로 전환 신호 강함 → 1차 레퍼럴 성과 리뷰 후 2차 충원</t>
  </si>
  <si>
    <t>다른 채널: TG 비활동</t>
  </si>
  <si>
    <t>Ugh_HH</t>
  </si>
  <si>
    <t>X 30일 39건 · 평균 조회 12,384 · ER 0.68% · 반응 84/건</t>
  </si>
  <si>
    <t>8 (D)</t>
  </si>
  <si>
    <t>P3 규모지만 ER 0.68%로 전환 신호 강함 → 1차 레퍼럴 성과 리뷰 후 2차 충원</t>
  </si>
  <si>
    <t>다른 채널: TG P3 · 30일은 9/11 이후만 수집 · 유료 파트너십 게시 있음</t>
  </si>
  <si>
    <t>하루 29건+ · 30일 일부만 수집</t>
  </si>
  <si>
    <t>X 30일 18건 · 평균 조회 7,805 · ER 1.48% · 반응 116/건</t>
  </si>
  <si>
    <t>46 (B)</t>
  </si>
  <si>
    <t>P3 규모지만 ER 1.48%로 전환 신호 강함 → 1차 레퍼럴 성과 리뷰 후 2차 충원</t>
  </si>
  <si>
    <t>X 30일 31건 · 평균 조회 5,881 · ER 1.35% · 반응 79/건</t>
  </si>
  <si>
    <t>P3 규모지만 ER 1.35%로 전환 신호 강함 → 1차 레퍼럴 성과 리뷰 후 2차 충원</t>
  </si>
  <si>
    <t>다른 채널: TG P4</t>
  </si>
  <si>
    <t>OngsalYee</t>
  </si>
  <si>
    <t>TG 30일 256건 · 중앙 조회 1,010 · 구독 8,060 · 도달률 12.5%</t>
  </si>
  <si>
    <t>P3 규모지만 도달률 12.5%로 전환 신호 강함 → 1차 레퍼럴 성과 리뷰 후 2차 충원</t>
  </si>
  <si>
    <t>TG 30일 84건 · 중앙 조회 1,200 · 구독 13,700 · 도달률 8.8%</t>
  </si>
  <si>
    <t>P3 규모지만 도달률 8.8%로 전환 신호 강함 → 1차 레퍼럴 성과 리뷰 후 2차 충원</t>
  </si>
  <si>
    <t>TG 30일 101건 · 중앙 조회 1,300 · 구독 10,800 · 도달률 12.0%</t>
  </si>
  <si>
    <t>4 (D)</t>
  </si>
  <si>
    <t>P3 규모지만 도달률 12.0%로 전환 신호 강함 → 1차 레퍼럴 성과 리뷰 후 2차 충원</t>
  </si>
  <si>
    <t>다른 채널: X P4, X P4</t>
  </si>
  <si>
    <t>TG 30일 98건 · 중앙 조회 821 · 구독 9,600 · 도달률 8.6%</t>
  </si>
  <si>
    <t>P3 규모지만 도달률 8.6%로 전환 신호 강함 → 1차 레퍼럴 성과 리뷰 후 2차 충원</t>
  </si>
  <si>
    <t>희단이의 Web3 꿀정보 공지방</t>
  </si>
  <si>
    <t>heedan22</t>
  </si>
  <si>
    <t>TG 30일 10건 · 중앙 조회 892 · 구독 8,760 · 도달률 10.2%</t>
  </si>
  <si>
    <t>P3 규모지만 도달률 10.2%로 전환 신호 강함 → 1차 레퍼럴 성과 리뷰 후 2차 충원</t>
  </si>
  <si>
    <t>TG 30일 67건 · 중앙 조회 976 · 구독 9,730 · 도달률 10.0%</t>
  </si>
  <si>
    <t>P3 규모지만 도달률 10.0%로 전환 신호 강함 → 1차 레퍼럴 성과 리뷰 후 2차 충원</t>
  </si>
  <si>
    <t>TG 30일 35건 · 중앙 조회 766 · 구독 7,620 · 도달률 10.1%</t>
  </si>
  <si>
    <t>P3 규모지만 도달률 10.1%로 전환 신호 강함 → 1차 레퍼럴 성과 리뷰 후 2차 충원</t>
  </si>
  <si>
    <t>TG 30일 14건 · 중앙 조회 880 · 구독 6,530 · 도달률 13.5%</t>
  </si>
  <si>
    <t>P3 규모지만 도달률 13.5%로 전환 신호 강함 → 1차 레퍼럴 성과 리뷰 후 2차 충원</t>
  </si>
  <si>
    <t>코인한나의 Honeybag</t>
  </si>
  <si>
    <t>coinhanna_honeybag</t>
  </si>
  <si>
    <t>TG 30일 8건 · 중앙 조회 567 · 구독 5,540 · 도달률 10.2%</t>
  </si>
  <si>
    <t>TG 30일 82건 · 중앙 조회 615 · 구독 5,910 · 도달률 10.4%</t>
  </si>
  <si>
    <t>P3 규모지만 도달률 10.4%로 전환 신호 강함 → 1차 레퍼럴 성과 리뷰 후 2차 충원</t>
  </si>
  <si>
    <t>TG 30일 18건 · 중앙 조회 707 · 구독 3,920 · 도달률 18.0%</t>
  </si>
  <si>
    <t>P3 규모지만 도달률 18.0%로 전환 신호 강함 → 1차 레퍼럴 성과 리뷰 후 2차 충원</t>
  </si>
  <si>
    <t>런칭 홍보용</t>
  </si>
  <si>
    <t>stay_news</t>
  </si>
  <si>
    <t>X 30일 59건 · 평균 조회 85,386 · ER 0.48% · 반응 410/건</t>
  </si>
  <si>
    <t>270 (S)</t>
  </si>
  <si>
    <t>P1 도달은 크지만 ER 0.48% (기준 0.6% 미만) → 판매 전환보다 런칭 노출용으로 활용</t>
  </si>
  <si>
    <t>런칭 게시 단가 · 유료 표기 수용 · 게시 일정</t>
  </si>
  <si>
    <t>TG 30일 431건 · 중앙 조회 3,010 · 구독 49,700 · 도달률 6.1%</t>
  </si>
  <si>
    <t>P1 도달은 크지만 도달률 6.1% (기준 8% 미만) → 판매 전환보다 런칭 노출용으로 활용</t>
  </si>
  <si>
    <t>X 30일 81건 · 평균 조회 65,242 · ER 0.53% · 반응 346/건</t>
  </si>
  <si>
    <t>193 (A)</t>
  </si>
  <si>
    <t>P2 도달은 크지만 ER 0.53% (기준 0.6% 미만) → 판매 전환보다 런칭 노출용으로 활용</t>
  </si>
  <si>
    <t>CryptoOwlNotice</t>
  </si>
  <si>
    <t>X 30일 71건 · 평균 조회 80,343 · ER 0.41% · 반응 329/건</t>
  </si>
  <si>
    <t>163 (A)</t>
  </si>
  <si>
    <t>P2 도달은 크지만 ER 0.41% (기준 0.6% 미만) → 판매 전환보다 런칭 노출용으로 활용</t>
  </si>
  <si>
    <t>다른 채널: TG P2</t>
  </si>
  <si>
    <t>X 30일 147건 · 평균 조회 35,672 · ER 0.48% · 반응 171/건</t>
  </si>
  <si>
    <t>143 (A)</t>
  </si>
  <si>
    <t>P2 도달은 크지만 ER 0.48% (기준 0.6% 미만) → 판매 전환보다 런칭 노출용으로 활용</t>
  </si>
  <si>
    <t>다른 채널: YT P4</t>
  </si>
  <si>
    <t>TG 30일 430건 · 중앙 조회 1,690 · 구독 26,200 · 도달률 6.5%</t>
  </si>
  <si>
    <t>P2 도달은 크지만 도달률 6.5% (기준 8% 미만) → 판매 전환보다 런칭 노출용으로 활용</t>
  </si>
  <si>
    <t>legoleecm777</t>
  </si>
  <si>
    <t>측정 관리</t>
  </si>
  <si>
    <t>200개 채널의 기존 집계와 수집 범위를 관리합니다. 빈 날짜·원자료 링크는 미확인입니다.</t>
  </si>
  <si>
    <t>TG 30일 154건 · 중앙 조회 1,730 · 구독 21,700 · 도달률 8.0%</t>
  </si>
  <si>
    <t>P2 도달은 크지만 도달률 7.97% (기준 8% 미만) → 판매 전환보다 런칭 노출용으로 활용</t>
  </si>
  <si>
    <t>수집 시점 누적 조회 기준. 노란 칸은 확인 후 입력하며, 기존 조회·게시·ER 수치는 채널 탭에서 연결됩니다.</t>
  </si>
  <si>
    <t>플랫폼</t>
  </si>
  <si>
    <t>채널 URL</t>
  </si>
  <si>
    <t>집계 원본 탭</t>
  </si>
  <si>
    <t>기존 측정일</t>
  </si>
  <si>
    <t>수집 시작일</t>
  </si>
  <si>
    <t>수집 종료시각</t>
  </si>
  <si>
    <t>X 30일 11건 · 평균 조회 62,411 · ER 2.80% · 반응 1,748/건</t>
  </si>
  <si>
    <t>1 (D)</t>
  </si>
  <si>
    <t>수집 한계·메모</t>
  </si>
  <si>
    <t>Kindibearbtc</t>
  </si>
  <si>
    <t>포렉스·라이프스타일 게시 비중 높음 · TwitterScore 1 → 크립토 노드 구매층과 오디언스 불일치 가능</t>
  </si>
  <si>
    <t>게시물 원자료 URL</t>
  </si>
  <si>
    <t>사유 해소 여부 확인 후 재검토</t>
  </si>
  <si>
    <t>표본 게시 수</t>
  </si>
  <si>
    <t>2026-09-02</t>
  </si>
  <si>
    <t>공개 ER (X)</t>
  </si>
  <si>
    <t>X 30일 7건 · 평균 조회 20,832 · ER 0.82% · 반응 171/건</t>
  </si>
  <si>
    <t>192 (A)</t>
  </si>
  <si>
    <t>구독·팔로워</t>
  </si>
  <si>
    <t>8/30 이후 X 게시 없음 → 라운드 기간 활동 불확실</t>
  </si>
  <si>
    <t>다른 채널: YT 비활동 · 8/30 이후 게시 없음</t>
  </si>
  <si>
    <t>조회÷구독·팔로워</t>
  </si>
  <si>
    <t>등급 기준값</t>
  </si>
  <si>
    <t>선별 비율</t>
  </si>
  <si>
    <t>비율 기준</t>
  </si>
  <si>
    <t>기존 등급</t>
  </si>
  <si>
    <t>X 30일 16건 · 평균 조회 5,438 · ER 3.71% · 반응 202/건</t>
  </si>
  <si>
    <t>KDegengirl</t>
  </si>
  <si>
    <t>47 (B)</t>
  </si>
  <si>
    <t>ER 3.71%가 답글 비중으로 부풀려짐 (참여 품앗이 의심) → 실제 전환력 판단 불가</t>
  </si>
  <si>
    <t>글로벌 X</t>
  </si>
  <si>
    <t>orcaalpha</t>
  </si>
  <si>
    <t>COMADAO</t>
  </si>
  <si>
    <t>2026-05-30</t>
  </si>
  <si>
    <t>조회수 있는 게시물 없음</t>
  </si>
  <si>
    <t>WB-C156</t>
  </si>
  <si>
    <t>코선생의 코인교실</t>
  </si>
  <si>
    <t>crypto_class_ann</t>
  </si>
  <si>
    <t>2024-07-15</t>
  </si>
  <si>
    <t>0xEdenity / Web3</t>
  </si>
  <si>
    <t>Edenitywl</t>
  </si>
  <si>
    <t>2026-08-21</t>
  </si>
  <si>
    <t>NFTForumKR</t>
  </si>
  <si>
    <t>kol_scan</t>
  </si>
  <si>
    <t>2025-02-03</t>
  </si>
  <si>
    <t>letsjolup</t>
  </si>
  <si>
    <t>2026-05-20</t>
  </si>
  <si>
    <t>hooniebang</t>
  </si>
  <si>
    <t>CryptoSenaNotice</t>
  </si>
  <si>
    <t>2023-11-01</t>
  </si>
  <si>
    <t>magoniabbb</t>
  </si>
  <si>
    <t>2026-05-31</t>
  </si>
  <si>
    <t>글로벌 TG</t>
  </si>
  <si>
    <t>한국 TG</t>
  </si>
  <si>
    <t>한국 YT</t>
  </si>
  <si>
    <t>한국 X</t>
  </si>
  <si>
    <t>9/16 이후만 수집 · WL 기브어웨이 위주 → 이벤트 포함 ER; 일반 게시물과 분리 필요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</si>
</sst>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+0%;-0%;0%"/>
  </numFmts>
  <fonts count="14">
    <font>
      <sz val="11.0"/>
      <color theme="1"/>
      <name val="Calibri"/>
      <scheme val="minor"/>
    </font>
    <font>
      <b/>
      <sz val="16.0"/>
      <color rgb="FF3D458D"/>
      <name val="Calibri"/>
      <scheme val="minor"/>
    </font>
    <font>
      <b/>
      <sz val="14.0"/>
      <color rgb="FF3D458D"/>
      <name val="Calibri"/>
      <scheme val="minor"/>
    </font>
    <font>
      <sz val="10.0"/>
      <color rgb="FF7F7F7F"/>
      <name val="Calibri"/>
      <scheme val="minor"/>
    </font>
    <font>
      <sz val="9.0"/>
      <color rgb="FF7F7F7F"/>
      <name val="Calibri"/>
      <scheme val="minor"/>
    </font>
    <font>
      <b/>
      <sz val="12.0"/>
      <color rgb="FF3D458D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3D458D"/>
      <name val="Calibri"/>
      <scheme val="minor"/>
    </font>
    <font/>
    <font>
      <sz val="11.0"/>
      <color theme="1"/>
      <name val="Calibri"/>
    </font>
    <font>
      <b/>
      <sz val="10.0"/>
      <color rgb="FFFFFFFF"/>
      <name val="Calibri"/>
      <scheme val="minor"/>
    </font>
    <font>
      <u/>
      <color rgb="FF1155CC"/>
      <name val="Calibri"/>
      <scheme val="minor"/>
    </font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3BE7B"/>
        <bgColor rgb="FF63BE7B"/>
      </patternFill>
    </fill>
    <fill>
      <patternFill patternType="solid">
        <fgColor rgb="FFDCE0F2"/>
        <bgColor rgb="FFDCE0F2"/>
      </patternFill>
    </fill>
    <fill>
      <patternFill patternType="solid">
        <fgColor rgb="FFB5DDA0"/>
        <bgColor rgb="FFB5DDA0"/>
      </patternFill>
    </fill>
    <fill>
      <patternFill patternType="solid">
        <fgColor rgb="FFFDE9D9"/>
        <bgColor rgb="FFFDE9D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EDEDED"/>
        <bgColor rgb="FFEDEDED"/>
      </patternFill>
    </fill>
    <fill>
      <patternFill patternType="solid">
        <fgColor rgb="FF3D458D"/>
        <bgColor rgb="FF3D458D"/>
      </patternFill>
    </fill>
    <fill>
      <patternFill patternType="solid">
        <fgColor rgb="FFF8CBAD"/>
        <bgColor rgb="FFF8CBAD"/>
      </patternFill>
    </fill>
    <fill>
      <patternFill patternType="solid">
        <fgColor rgb="FFDDEBF7"/>
        <bgColor rgb="FFDDEBF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E0E0E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2" fontId="8" numFmtId="0" xfId="0" applyAlignment="1" applyBorder="1" applyFill="1" applyFont="1">
      <alignment horizontal="center"/>
    </xf>
    <xf borderId="2" fillId="0" fontId="9" numFmtId="0" xfId="0" applyBorder="1" applyFont="1"/>
    <xf borderId="3" fillId="0" fontId="9" numFmtId="0" xfId="0" applyBorder="1" applyFont="1"/>
    <xf borderId="4" fillId="3" fontId="10" numFmtId="0" xfId="0" applyBorder="1" applyFill="1" applyFont="1"/>
    <xf borderId="1" fillId="4" fontId="8" numFmtId="0" xfId="0" applyAlignment="1" applyBorder="1" applyFill="1" applyFont="1">
      <alignment horizontal="center"/>
    </xf>
    <xf borderId="4" fillId="5" fontId="10" numFmtId="0" xfId="0" applyBorder="1" applyFill="1" applyFont="1"/>
    <xf borderId="1" fillId="6" fontId="8" numFmtId="0" xfId="0" applyAlignment="1" applyBorder="1" applyFill="1" applyFont="1">
      <alignment horizontal="center"/>
    </xf>
    <xf borderId="4" fillId="7" fontId="10" numFmtId="0" xfId="0" applyBorder="1" applyFill="1" applyFont="1"/>
    <xf borderId="1" fillId="8" fontId="8" numFmtId="0" xfId="0" applyAlignment="1" applyBorder="1" applyFill="1" applyFont="1">
      <alignment horizontal="center"/>
    </xf>
    <xf borderId="4" fillId="9" fontId="10" numFmtId="0" xfId="0" applyBorder="1" applyFill="1" applyFont="1"/>
    <xf borderId="4" fillId="10" fontId="11" numFmtId="0" xfId="0" applyAlignment="1" applyBorder="1" applyFill="1" applyFont="1">
      <alignment horizontal="center" shrinkToFit="0" vertical="center" wrapText="1"/>
    </xf>
    <xf borderId="4" fillId="11" fontId="10" numFmtId="0" xfId="0" applyBorder="1" applyFill="1" applyFont="1"/>
    <xf borderId="1" fillId="12" fontId="8" numFmtId="0" xfId="0" applyAlignment="1" applyBorder="1" applyFill="1" applyFont="1">
      <alignment horizontal="center"/>
    </xf>
    <xf borderId="0" fillId="0" fontId="7" numFmtId="0" xfId="0" applyAlignment="1" applyFont="1">
      <alignment readingOrder="0"/>
    </xf>
    <xf borderId="5" fillId="0" fontId="10" numFmtId="0" xfId="0" applyBorder="1" applyFont="1"/>
    <xf borderId="5" fillId="3" fontId="6" numFmtId="0" xfId="0" applyAlignment="1" applyBorder="1" applyFill="1" applyFont="1">
      <alignment horizontal="center"/>
    </xf>
    <xf borderId="5" fillId="0" fontId="10" numFmtId="3" xfId="0" applyBorder="1" applyFont="1" applyNumberFormat="1"/>
    <xf borderId="5" fillId="0" fontId="10" numFmtId="164" xfId="0" applyBorder="1" applyFont="1" applyNumberFormat="1"/>
    <xf borderId="5" fillId="0" fontId="12" numFmtId="0" xfId="0" applyBorder="1" applyFont="1"/>
    <xf borderId="5" fillId="0" fontId="10" numFmtId="1" xfId="0" applyBorder="1" applyFont="1" applyNumberFormat="1"/>
    <xf borderId="5" fillId="9" fontId="10" numFmtId="0" xfId="0" applyAlignment="1" applyBorder="1" applyFill="1" applyFont="1">
      <alignment horizontal="center"/>
    </xf>
    <xf borderId="5" fillId="5" fontId="6" numFmtId="0" xfId="0" applyAlignment="1" applyBorder="1" applyFill="1" applyFont="1">
      <alignment horizontal="center"/>
    </xf>
    <xf borderId="5" fillId="0" fontId="10" numFmtId="10" xfId="0" applyBorder="1" applyFont="1" applyNumberFormat="1"/>
    <xf borderId="5" fillId="0" fontId="10" numFmtId="165" xfId="0" applyBorder="1" applyFont="1" applyNumberFormat="1"/>
    <xf borderId="5" fillId="3" fontId="10" numFmtId="0" xfId="0" applyAlignment="1" applyBorder="1" applyFill="1" applyFont="1">
      <alignment horizontal="center"/>
    </xf>
    <xf borderId="5" fillId="5" fontId="10" numFmtId="0" xfId="0" applyAlignment="1" applyBorder="1" applyFill="1" applyFont="1">
      <alignment horizontal="center"/>
    </xf>
    <xf borderId="5" fillId="7" fontId="6" numFmtId="0" xfId="0" applyAlignment="1" applyBorder="1" applyFill="1" applyFont="1">
      <alignment horizontal="center"/>
    </xf>
    <xf borderId="5" fillId="7" fontId="10" numFmtId="0" xfId="0" applyAlignment="1" applyBorder="1" applyFill="1" applyFont="1">
      <alignment horizontal="center"/>
    </xf>
    <xf borderId="5" fillId="12" fontId="10" numFmtId="0" xfId="0" applyAlignment="1" applyBorder="1" applyFill="1" applyFont="1">
      <alignment horizontal="center"/>
    </xf>
    <xf borderId="5" fillId="9" fontId="6" numFmtId="0" xfId="0" applyAlignment="1" applyBorder="1" applyFill="1" applyFont="1">
      <alignment horizontal="center"/>
    </xf>
    <xf borderId="5" fillId="11" fontId="6" numFmtId="0" xfId="0" applyAlignment="1" applyBorder="1" applyFill="1" applyFont="1">
      <alignment horizontal="center"/>
    </xf>
    <xf borderId="5" fillId="2" fontId="6" numFmtId="0" xfId="0" applyAlignment="1" applyBorder="1" applyFill="1" applyFont="1">
      <alignment horizontal="center"/>
    </xf>
    <xf borderId="5" fillId="8" fontId="6" numFmtId="0" xfId="0" applyBorder="1" applyFill="1" applyFont="1"/>
    <xf borderId="5" fillId="0" fontId="10" numFmtId="0" xfId="0" applyAlignment="1" applyBorder="1" applyFont="1">
      <alignment shrinkToFit="0" vertical="top" wrapText="1"/>
    </xf>
    <xf borderId="5" fillId="7" fontId="6" numFmtId="0" xfId="0" applyBorder="1" applyFill="1" applyFont="1"/>
    <xf borderId="0" fillId="0" fontId="13" numFmtId="0" xfId="0" applyAlignment="1" applyFont="1">
      <alignment readingOrder="0"/>
    </xf>
    <xf borderId="5" fillId="12" fontId="6" numFmtId="0" xfId="0" applyBorder="1" applyFill="1" applyFont="1"/>
    <xf borderId="5" fillId="11" fontId="6" numFmtId="0" xfId="0" applyBorder="1" applyFill="1" applyFont="1"/>
    <xf borderId="0" fillId="0" fontId="7" numFmtId="3" xfId="0" applyFont="1" applyNumberFormat="1"/>
    <xf borderId="0" fillId="0" fontId="7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elegram.org/faq_channels" TargetMode="External"/><Relationship Id="rId2" Type="http://schemas.openxmlformats.org/officeDocument/2006/relationships/hyperlink" Target="https://support.google.com/youtube/answer/7577916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midrizzy1" TargetMode="External"/><Relationship Id="rId2" Type="http://schemas.openxmlformats.org/officeDocument/2006/relationships/hyperlink" Target="https://x.com/rektcapital" TargetMode="External"/><Relationship Id="rId3" Type="http://schemas.openxmlformats.org/officeDocument/2006/relationships/hyperlink" Target="https://x.com/LookForEntries" TargetMode="External"/><Relationship Id="rId4" Type="http://schemas.openxmlformats.org/officeDocument/2006/relationships/hyperlink" Target="https://t.me/DeFiImmortal" TargetMode="External"/><Relationship Id="rId10" Type="http://schemas.openxmlformats.org/officeDocument/2006/relationships/drawing" Target="../drawings/drawing12.xml"/><Relationship Id="rId9" Type="http://schemas.openxmlformats.org/officeDocument/2006/relationships/hyperlink" Target="https://x.com/log_yun" TargetMode="External"/><Relationship Id="rId5" Type="http://schemas.openxmlformats.org/officeDocument/2006/relationships/hyperlink" Target="https://t.me/lovejudylee" TargetMode="External"/><Relationship Id="rId6" Type="http://schemas.openxmlformats.org/officeDocument/2006/relationships/hyperlink" Target="https://t.me/hooniebang" TargetMode="External"/><Relationship Id="rId7" Type="http://schemas.openxmlformats.org/officeDocument/2006/relationships/hyperlink" Target="https://www.youtube.com/@CoinStay" TargetMode="External"/><Relationship Id="rId8" Type="http://schemas.openxmlformats.org/officeDocument/2006/relationships/hyperlink" Target="https://x.com/AlphaSchool77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4.0"/>
    <col customWidth="1" min="3" max="7" width="26.0"/>
    <col customWidth="1" min="8" max="26" width="8.71"/>
  </cols>
  <sheetData>
    <row r="1">
      <c r="A1" s="1" t="s">
        <v>0</v>
      </c>
    </row>
    <row r="2">
      <c r="A2" s="3" t="s">
        <v>2</v>
      </c>
    </row>
    <row r="4">
      <c r="A4" s="5" t="s">
        <v>6</v>
      </c>
    </row>
    <row r="5">
      <c r="A5" s="6" t="s">
        <v>10</v>
      </c>
      <c r="B5" s="7" t="s">
        <v>14</v>
      </c>
    </row>
    <row r="6">
      <c r="A6" s="6" t="s">
        <v>16</v>
      </c>
      <c r="B6" s="7" t="s">
        <v>18</v>
      </c>
    </row>
    <row r="7">
      <c r="A7" s="6" t="s">
        <v>20</v>
      </c>
      <c r="B7" s="7" t="s">
        <v>21</v>
      </c>
    </row>
    <row r="8">
      <c r="A8" s="6" t="s">
        <v>22</v>
      </c>
      <c r="B8" s="7" t="s">
        <v>23</v>
      </c>
    </row>
    <row r="9">
      <c r="A9" s="6" t="s">
        <v>24</v>
      </c>
      <c r="B9" s="7" t="s">
        <v>25</v>
      </c>
    </row>
    <row r="11">
      <c r="A11" s="5" t="s">
        <v>26</v>
      </c>
    </row>
    <row r="12">
      <c r="A12" s="6" t="s">
        <v>27</v>
      </c>
      <c r="B12" s="6" t="s">
        <v>28</v>
      </c>
      <c r="C12" s="6" t="s">
        <v>29</v>
      </c>
      <c r="D12" s="6" t="s">
        <v>30</v>
      </c>
    </row>
    <row r="13">
      <c r="A13" s="11" t="s">
        <v>31</v>
      </c>
      <c r="B13" s="7" t="s">
        <v>34</v>
      </c>
      <c r="C13" s="7" t="s">
        <v>35</v>
      </c>
      <c r="D13" s="7" t="s">
        <v>36</v>
      </c>
    </row>
    <row r="14">
      <c r="A14" s="13" t="s">
        <v>38</v>
      </c>
      <c r="B14" s="7" t="s">
        <v>39</v>
      </c>
      <c r="C14" s="7" t="s">
        <v>40</v>
      </c>
      <c r="D14" s="7" t="s">
        <v>41</v>
      </c>
    </row>
    <row r="15">
      <c r="A15" s="15" t="s">
        <v>42</v>
      </c>
      <c r="B15" s="7" t="s">
        <v>43</v>
      </c>
      <c r="C15" s="7" t="s">
        <v>44</v>
      </c>
      <c r="D15" s="7" t="s">
        <v>46</v>
      </c>
    </row>
    <row r="16">
      <c r="A16" s="17" t="s">
        <v>48</v>
      </c>
      <c r="B16" s="7" t="s">
        <v>49</v>
      </c>
      <c r="C16" s="7" t="s">
        <v>50</v>
      </c>
      <c r="D16" s="7" t="s">
        <v>51</v>
      </c>
    </row>
    <row r="17">
      <c r="A17" s="19" t="s">
        <v>54</v>
      </c>
      <c r="B17" s="7" t="s">
        <v>58</v>
      </c>
      <c r="C17" s="7" t="s">
        <v>58</v>
      </c>
      <c r="D17" s="7" t="s">
        <v>61</v>
      </c>
    </row>
    <row r="19">
      <c r="A19" s="5" t="s">
        <v>65</v>
      </c>
    </row>
    <row r="20">
      <c r="A20" s="6" t="s">
        <v>68</v>
      </c>
      <c r="B20" s="7" t="s">
        <v>71</v>
      </c>
    </row>
    <row r="21" ht="15.75" customHeight="1">
      <c r="A21" s="6" t="s">
        <v>74</v>
      </c>
      <c r="B21" s="7" t="s">
        <v>76</v>
      </c>
    </row>
    <row r="22" ht="15.75" customHeight="1">
      <c r="A22" s="6" t="s">
        <v>79</v>
      </c>
      <c r="B22" s="7" t="s">
        <v>81</v>
      </c>
    </row>
    <row r="23" ht="15.75" customHeight="1">
      <c r="A23" s="6" t="s">
        <v>67</v>
      </c>
      <c r="B23" s="7" t="s">
        <v>85</v>
      </c>
    </row>
    <row r="24" ht="15.75" customHeight="1">
      <c r="A24" s="6" t="s">
        <v>87</v>
      </c>
      <c r="B24" s="7" t="s">
        <v>91</v>
      </c>
    </row>
    <row r="25" ht="15.75" customHeight="1">
      <c r="A25" s="6" t="s">
        <v>22</v>
      </c>
      <c r="B25" s="7" t="s">
        <v>96</v>
      </c>
    </row>
    <row r="26" ht="15.75" customHeight="1"/>
    <row r="27" ht="15.75" customHeight="1">
      <c r="A27" s="5" t="s">
        <v>100</v>
      </c>
    </row>
    <row r="28" ht="15.75" customHeight="1">
      <c r="A28" s="6" t="s">
        <v>53</v>
      </c>
      <c r="B28" s="6" t="s">
        <v>31</v>
      </c>
      <c r="C28" s="6" t="s">
        <v>38</v>
      </c>
      <c r="D28" s="6" t="s">
        <v>42</v>
      </c>
      <c r="E28" s="6" t="s">
        <v>48</v>
      </c>
      <c r="F28" s="6" t="s">
        <v>108</v>
      </c>
      <c r="G28" s="6" t="s">
        <v>109</v>
      </c>
    </row>
    <row r="29" ht="15.75" customHeight="1">
      <c r="A29" s="7" t="s">
        <v>110</v>
      </c>
      <c r="B29" s="7">
        <v>3.0</v>
      </c>
      <c r="C29" s="7">
        <v>11.0</v>
      </c>
      <c r="D29" s="7">
        <v>21.0</v>
      </c>
      <c r="E29" s="7">
        <v>24.0</v>
      </c>
      <c r="F29" s="7">
        <v>22.0</v>
      </c>
      <c r="G29" s="7">
        <v>81.0</v>
      </c>
    </row>
    <row r="30" ht="15.75" customHeight="1">
      <c r="A30" s="7" t="s">
        <v>114</v>
      </c>
      <c r="B30" s="7">
        <v>8.0</v>
      </c>
      <c r="C30" s="7">
        <v>12.0</v>
      </c>
      <c r="D30" s="7">
        <v>14.0</v>
      </c>
      <c r="E30" s="7">
        <v>11.0</v>
      </c>
      <c r="F30" s="7">
        <v>9.0</v>
      </c>
      <c r="G30" s="7">
        <v>54.0</v>
      </c>
    </row>
    <row r="31" ht="15.75" customHeight="1"/>
    <row r="32" ht="15.75" customHeight="1">
      <c r="A32" s="5" t="s">
        <v>117</v>
      </c>
    </row>
    <row r="33" ht="15.75" customHeight="1">
      <c r="A33" s="7" t="s">
        <v>119</v>
      </c>
    </row>
    <row r="34" ht="15.75" customHeight="1">
      <c r="A34" s="7" t="s">
        <v>123</v>
      </c>
    </row>
    <row r="35" ht="15.75" customHeight="1">
      <c r="A35" s="7" t="s">
        <v>124</v>
      </c>
    </row>
    <row r="36" ht="15.75" customHeight="1">
      <c r="A36" s="7" t="s">
        <v>127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22.0"/>
    <col customWidth="1" min="4" max="6" width="9.0"/>
    <col customWidth="1" min="7" max="7" width="11.0"/>
    <col customWidth="1" min="8" max="8" width="8.0"/>
    <col customWidth="1" min="9" max="9" width="10.0"/>
    <col customWidth="1" min="10" max="12" width="8.0"/>
    <col customWidth="1" min="13" max="13" width="6.0"/>
    <col customWidth="1" min="14" max="14" width="9.0"/>
    <col customWidth="1" min="15" max="16" width="26.0"/>
    <col customWidth="1" min="17" max="17" width="30.0"/>
    <col customWidth="1" min="18" max="18" width="9.0"/>
    <col customWidth="1" min="19" max="19" width="11.0"/>
    <col customWidth="1" min="20" max="20" width="44.0"/>
    <col customWidth="1" min="21" max="21" width="30.0"/>
    <col customWidth="1" min="22" max="26" width="8.71"/>
  </cols>
  <sheetData>
    <row r="1">
      <c r="A1" s="2" t="s">
        <v>1</v>
      </c>
    </row>
    <row r="2">
      <c r="A2" s="4" t="s">
        <v>5</v>
      </c>
    </row>
    <row r="3">
      <c r="A3" s="4" t="s">
        <v>9</v>
      </c>
    </row>
    <row r="4">
      <c r="A4" s="4" t="s">
        <v>11</v>
      </c>
    </row>
    <row r="5">
      <c r="A5" s="4" t="s">
        <v>15</v>
      </c>
    </row>
    <row r="7">
      <c r="A7" s="8"/>
      <c r="B7" s="9"/>
      <c r="C7" s="9"/>
      <c r="D7" s="9"/>
      <c r="E7" s="10"/>
      <c r="F7" s="12" t="s">
        <v>33</v>
      </c>
      <c r="G7" s="9"/>
      <c r="H7" s="9"/>
      <c r="I7" s="9"/>
      <c r="J7" s="9"/>
      <c r="K7" s="10"/>
      <c r="L7" s="12" t="s">
        <v>22</v>
      </c>
      <c r="M7" s="9"/>
      <c r="N7" s="10"/>
      <c r="O7" s="12" t="s">
        <v>47</v>
      </c>
      <c r="P7" s="9"/>
      <c r="Q7" s="10"/>
      <c r="R7" s="8"/>
      <c r="S7" s="9"/>
      <c r="T7" s="9"/>
      <c r="U7" s="10"/>
    </row>
    <row r="8" ht="31.5" customHeight="1">
      <c r="A8" s="18" t="s">
        <v>53</v>
      </c>
      <c r="B8" s="18" t="s">
        <v>55</v>
      </c>
      <c r="C8" s="18" t="s">
        <v>56</v>
      </c>
      <c r="D8" s="18" t="s">
        <v>57</v>
      </c>
      <c r="E8" s="18" t="s">
        <v>59</v>
      </c>
      <c r="F8" s="18" t="s">
        <v>60</v>
      </c>
      <c r="G8" s="18" t="s">
        <v>62</v>
      </c>
      <c r="H8" s="18" t="s">
        <v>63</v>
      </c>
      <c r="I8" s="18" t="s">
        <v>64</v>
      </c>
      <c r="J8" s="18" t="s">
        <v>66</v>
      </c>
      <c r="K8" s="18" t="s">
        <v>67</v>
      </c>
      <c r="L8" s="18" t="s">
        <v>69</v>
      </c>
      <c r="M8" s="18" t="s">
        <v>70</v>
      </c>
      <c r="N8" s="18" t="s">
        <v>72</v>
      </c>
      <c r="O8" s="18" t="s">
        <v>73</v>
      </c>
      <c r="P8" s="18" t="s">
        <v>75</v>
      </c>
      <c r="Q8" s="18" t="s">
        <v>77</v>
      </c>
      <c r="R8" s="18" t="s">
        <v>78</v>
      </c>
      <c r="S8" s="18" t="s">
        <v>80</v>
      </c>
      <c r="T8" s="18" t="s">
        <v>82</v>
      </c>
      <c r="U8" s="18" t="s">
        <v>83</v>
      </c>
      <c r="V8" s="21" t="s">
        <v>86</v>
      </c>
      <c r="W8" s="21" t="s">
        <v>90</v>
      </c>
      <c r="X8" s="21" t="s">
        <v>92</v>
      </c>
      <c r="Y8" s="21" t="s">
        <v>94</v>
      </c>
      <c r="Z8" s="21" t="s">
        <v>95</v>
      </c>
    </row>
    <row r="9">
      <c r="A9" s="22" t="s">
        <v>98</v>
      </c>
      <c r="B9" s="22"/>
      <c r="C9" s="22" t="s">
        <v>103</v>
      </c>
      <c r="D9" s="22" t="s">
        <v>105</v>
      </c>
      <c r="E9" s="22" t="s">
        <v>106</v>
      </c>
      <c r="F9" s="23" t="s">
        <v>31</v>
      </c>
      <c r="G9" s="24">
        <v>30100.0</v>
      </c>
      <c r="H9" s="24">
        <v>133.0</v>
      </c>
      <c r="I9" s="24">
        <v>5000.0</v>
      </c>
      <c r="J9" s="22"/>
      <c r="K9" s="25">
        <v>0.1661129568106312</v>
      </c>
      <c r="L9" s="22"/>
      <c r="M9" s="22"/>
      <c r="N9" s="22"/>
      <c r="O9" s="22"/>
      <c r="P9" s="26" t="s">
        <v>122</v>
      </c>
      <c r="Q9" s="22"/>
      <c r="R9" s="22" t="s">
        <v>125</v>
      </c>
      <c r="S9" s="22" t="s">
        <v>126</v>
      </c>
      <c r="T9" s="22" t="s">
        <v>128</v>
      </c>
      <c r="U9" s="22" t="s">
        <v>129</v>
      </c>
      <c r="V9" s="21" t="s">
        <v>130</v>
      </c>
      <c r="W9" s="21" t="s">
        <v>131</v>
      </c>
      <c r="X9" s="21" t="s">
        <v>132</v>
      </c>
      <c r="Y9" s="21">
        <v>46293.0</v>
      </c>
      <c r="Z9" s="21" t="s">
        <v>133</v>
      </c>
    </row>
    <row r="10">
      <c r="A10" s="22" t="s">
        <v>98</v>
      </c>
      <c r="B10" s="22"/>
      <c r="C10" s="22" t="s">
        <v>135</v>
      </c>
      <c r="D10" s="22" t="s">
        <v>105</v>
      </c>
      <c r="E10" s="22" t="s">
        <v>136</v>
      </c>
      <c r="F10" s="23" t="s">
        <v>31</v>
      </c>
      <c r="G10" s="24">
        <v>6630.0</v>
      </c>
      <c r="H10" s="24">
        <v>4.0</v>
      </c>
      <c r="I10" s="24">
        <v>3290.0</v>
      </c>
      <c r="J10" s="22"/>
      <c r="K10" s="25">
        <v>0.4962292609351433</v>
      </c>
      <c r="L10" s="22">
        <v>2.0</v>
      </c>
      <c r="M10" s="28" t="s">
        <v>137</v>
      </c>
      <c r="N10" s="24">
        <v>6.0</v>
      </c>
      <c r="O10" s="26" t="s">
        <v>139</v>
      </c>
      <c r="P10" s="26" t="s">
        <v>140</v>
      </c>
      <c r="Q10" s="26" t="s">
        <v>142</v>
      </c>
      <c r="R10" s="22" t="s">
        <v>125</v>
      </c>
      <c r="S10" s="22" t="s">
        <v>126</v>
      </c>
      <c r="T10" s="22" t="s">
        <v>144</v>
      </c>
      <c r="U10" s="22" t="s">
        <v>129</v>
      </c>
      <c r="V10" s="21" t="s">
        <v>145</v>
      </c>
      <c r="W10" s="21" t="s">
        <v>146</v>
      </c>
      <c r="X10" s="21" t="s">
        <v>147</v>
      </c>
      <c r="Y10" s="21">
        <v>46293.0</v>
      </c>
      <c r="Z10" s="21" t="s">
        <v>133</v>
      </c>
    </row>
    <row r="11">
      <c r="A11" s="22" t="s">
        <v>98</v>
      </c>
      <c r="B11" s="22"/>
      <c r="C11" s="22" t="s">
        <v>148</v>
      </c>
      <c r="D11" s="22" t="s">
        <v>105</v>
      </c>
      <c r="E11" s="22" t="s">
        <v>106</v>
      </c>
      <c r="F11" s="23" t="s">
        <v>31</v>
      </c>
      <c r="G11" s="24">
        <v>49700.0</v>
      </c>
      <c r="H11" s="24">
        <v>431.0</v>
      </c>
      <c r="I11" s="24">
        <v>3010.0</v>
      </c>
      <c r="J11" s="22"/>
      <c r="K11" s="25">
        <v>0.06056338028169014</v>
      </c>
      <c r="L11" s="22"/>
      <c r="M11" s="22"/>
      <c r="N11" s="22"/>
      <c r="O11" s="22"/>
      <c r="P11" s="26" t="s">
        <v>149</v>
      </c>
      <c r="Q11" s="22"/>
      <c r="R11" s="22" t="s">
        <v>125</v>
      </c>
      <c r="S11" s="22" t="s">
        <v>126</v>
      </c>
      <c r="T11" s="22" t="s">
        <v>150</v>
      </c>
      <c r="U11" s="22" t="s">
        <v>129</v>
      </c>
      <c r="V11" s="21" t="s">
        <v>151</v>
      </c>
      <c r="W11" s="21" t="s">
        <v>152</v>
      </c>
      <c r="X11" s="21" t="s">
        <v>132</v>
      </c>
      <c r="Y11" s="21">
        <v>46293.0</v>
      </c>
      <c r="Z11" s="21" t="s">
        <v>133</v>
      </c>
    </row>
    <row r="12">
      <c r="A12" s="22" t="s">
        <v>98</v>
      </c>
      <c r="B12" s="22"/>
      <c r="C12" s="22" t="s">
        <v>153</v>
      </c>
      <c r="D12" s="22" t="s">
        <v>154</v>
      </c>
      <c r="E12" s="22" t="s">
        <v>155</v>
      </c>
      <c r="F12" s="29" t="s">
        <v>38</v>
      </c>
      <c r="G12" s="24">
        <v>10200.0</v>
      </c>
      <c r="H12" s="24">
        <v>3.0</v>
      </c>
      <c r="I12" s="24">
        <v>6200.0</v>
      </c>
      <c r="J12" s="22"/>
      <c r="K12" s="25">
        <v>0.6078431372549019</v>
      </c>
      <c r="L12" s="22"/>
      <c r="M12" s="22"/>
      <c r="N12" s="22"/>
      <c r="O12" s="22"/>
      <c r="P12" s="22"/>
      <c r="Q12" s="26" t="s">
        <v>156</v>
      </c>
      <c r="R12" s="22" t="s">
        <v>125</v>
      </c>
      <c r="S12" s="22" t="s">
        <v>126</v>
      </c>
      <c r="T12" s="22"/>
      <c r="U12" s="22" t="s">
        <v>129</v>
      </c>
      <c r="V12" s="21" t="s">
        <v>157</v>
      </c>
      <c r="W12" s="21" t="s">
        <v>158</v>
      </c>
      <c r="X12" s="21" t="s">
        <v>132</v>
      </c>
      <c r="Y12" s="21">
        <v>46293.0</v>
      </c>
      <c r="Z12" s="21" t="s">
        <v>133</v>
      </c>
    </row>
    <row r="13">
      <c r="A13" s="22" t="s">
        <v>98</v>
      </c>
      <c r="B13" s="22"/>
      <c r="C13" s="22" t="s">
        <v>159</v>
      </c>
      <c r="D13" s="22" t="s">
        <v>154</v>
      </c>
      <c r="E13" s="22" t="s">
        <v>160</v>
      </c>
      <c r="F13" s="29" t="s">
        <v>38</v>
      </c>
      <c r="G13" s="24">
        <v>57900.0</v>
      </c>
      <c r="H13" s="24">
        <v>1.0</v>
      </c>
      <c r="I13" s="24">
        <v>4300.0</v>
      </c>
      <c r="J13" s="22"/>
      <c r="K13" s="25">
        <v>0.07426597582037997</v>
      </c>
      <c r="L13" s="22"/>
      <c r="M13" s="22"/>
      <c r="N13" s="22"/>
      <c r="O13" s="22"/>
      <c r="P13" s="26" t="s">
        <v>161</v>
      </c>
      <c r="Q13" s="26" t="s">
        <v>162</v>
      </c>
      <c r="R13" s="22" t="s">
        <v>125</v>
      </c>
      <c r="S13" s="22" t="s">
        <v>126</v>
      </c>
      <c r="T13" s="22" t="s">
        <v>163</v>
      </c>
      <c r="U13" s="22" t="s">
        <v>129</v>
      </c>
      <c r="V13" s="21" t="s">
        <v>164</v>
      </c>
      <c r="W13" s="21" t="s">
        <v>165</v>
      </c>
      <c r="X13" s="21" t="s">
        <v>132</v>
      </c>
      <c r="Y13" s="21">
        <v>46293.0</v>
      </c>
      <c r="Z13" s="21" t="s">
        <v>133</v>
      </c>
    </row>
    <row r="14">
      <c r="A14" s="22" t="s">
        <v>98</v>
      </c>
      <c r="B14" s="22"/>
      <c r="C14" s="22" t="s">
        <v>167</v>
      </c>
      <c r="D14" s="22" t="s">
        <v>105</v>
      </c>
      <c r="E14" s="22" t="s">
        <v>106</v>
      </c>
      <c r="F14" s="29" t="s">
        <v>38</v>
      </c>
      <c r="G14" s="24">
        <v>23000.0</v>
      </c>
      <c r="H14" s="24">
        <v>157.0</v>
      </c>
      <c r="I14" s="24">
        <v>2830.0</v>
      </c>
      <c r="J14" s="22"/>
      <c r="K14" s="25">
        <v>0.1230434782608696</v>
      </c>
      <c r="L14" s="22"/>
      <c r="M14" s="22"/>
      <c r="N14" s="22"/>
      <c r="O14" s="22"/>
      <c r="P14" s="26" t="s">
        <v>171</v>
      </c>
      <c r="Q14" s="22"/>
      <c r="R14" s="22" t="s">
        <v>125</v>
      </c>
      <c r="S14" s="22" t="s">
        <v>126</v>
      </c>
      <c r="T14" s="22"/>
      <c r="U14" s="22" t="s">
        <v>129</v>
      </c>
      <c r="V14" s="21" t="s">
        <v>172</v>
      </c>
      <c r="W14" s="21" t="s">
        <v>173</v>
      </c>
      <c r="X14" s="21" t="s">
        <v>132</v>
      </c>
      <c r="Y14" s="21">
        <v>46293.0</v>
      </c>
      <c r="Z14" s="21" t="s">
        <v>133</v>
      </c>
    </row>
    <row r="15">
      <c r="A15" s="22" t="s">
        <v>98</v>
      </c>
      <c r="B15" s="22"/>
      <c r="C15" s="22" t="s">
        <v>174</v>
      </c>
      <c r="D15" s="22" t="s">
        <v>105</v>
      </c>
      <c r="E15" s="22" t="s">
        <v>106</v>
      </c>
      <c r="F15" s="29" t="s">
        <v>38</v>
      </c>
      <c r="G15" s="24">
        <v>17400.0</v>
      </c>
      <c r="H15" s="24">
        <v>839.0</v>
      </c>
      <c r="I15" s="24">
        <v>2210.0</v>
      </c>
      <c r="J15" s="22"/>
      <c r="K15" s="25">
        <v>0.1270114942528736</v>
      </c>
      <c r="L15" s="22"/>
      <c r="M15" s="22"/>
      <c r="N15" s="22"/>
      <c r="O15" s="22"/>
      <c r="P15" s="26" t="s">
        <v>175</v>
      </c>
      <c r="Q15" s="22"/>
      <c r="R15" s="22" t="s">
        <v>125</v>
      </c>
      <c r="S15" s="22" t="s">
        <v>126</v>
      </c>
      <c r="T15" s="22" t="s">
        <v>176</v>
      </c>
      <c r="U15" s="22" t="s">
        <v>129</v>
      </c>
      <c r="V15" s="21" t="s">
        <v>177</v>
      </c>
      <c r="W15" s="21" t="s">
        <v>178</v>
      </c>
      <c r="X15" s="21" t="s">
        <v>132</v>
      </c>
      <c r="Y15" s="21">
        <v>46293.0</v>
      </c>
      <c r="Z15" s="21" t="s">
        <v>133</v>
      </c>
    </row>
    <row r="16">
      <c r="A16" s="22" t="s">
        <v>98</v>
      </c>
      <c r="B16" s="22"/>
      <c r="C16" s="22" t="s">
        <v>179</v>
      </c>
      <c r="D16" s="22" t="s">
        <v>105</v>
      </c>
      <c r="E16" s="22" t="s">
        <v>106</v>
      </c>
      <c r="F16" s="29" t="s">
        <v>38</v>
      </c>
      <c r="G16" s="24">
        <v>14900.0</v>
      </c>
      <c r="H16" s="24">
        <v>329.0</v>
      </c>
      <c r="I16" s="24">
        <v>2200.0</v>
      </c>
      <c r="J16" s="22"/>
      <c r="K16" s="25">
        <v>0.1476510067114094</v>
      </c>
      <c r="L16" s="22"/>
      <c r="M16" s="22"/>
      <c r="N16" s="22"/>
      <c r="O16" s="22"/>
      <c r="P16" s="26" t="s">
        <v>180</v>
      </c>
      <c r="Q16" s="22"/>
      <c r="R16" s="22" t="s">
        <v>125</v>
      </c>
      <c r="S16" s="22" t="s">
        <v>126</v>
      </c>
      <c r="T16" s="22"/>
      <c r="U16" s="22" t="s">
        <v>129</v>
      </c>
      <c r="V16" s="21" t="s">
        <v>181</v>
      </c>
      <c r="W16" s="21" t="s">
        <v>182</v>
      </c>
      <c r="X16" s="21" t="s">
        <v>132</v>
      </c>
      <c r="Y16" s="21">
        <v>46293.0</v>
      </c>
      <c r="Z16" s="21" t="s">
        <v>133</v>
      </c>
    </row>
    <row r="17">
      <c r="A17" s="22" t="s">
        <v>98</v>
      </c>
      <c r="B17" s="22"/>
      <c r="C17" s="22" t="s">
        <v>184</v>
      </c>
      <c r="D17" s="22" t="s">
        <v>105</v>
      </c>
      <c r="E17" s="22" t="s">
        <v>106</v>
      </c>
      <c r="F17" s="29" t="s">
        <v>38</v>
      </c>
      <c r="G17" s="24">
        <v>22900.0</v>
      </c>
      <c r="H17" s="24">
        <v>137.0</v>
      </c>
      <c r="I17" s="24">
        <v>1840.0</v>
      </c>
      <c r="J17" s="22"/>
      <c r="K17" s="25">
        <v>0.08034934497816594</v>
      </c>
      <c r="L17" s="22"/>
      <c r="M17" s="22"/>
      <c r="N17" s="22"/>
      <c r="O17" s="22"/>
      <c r="P17" s="26" t="s">
        <v>187</v>
      </c>
      <c r="Q17" s="22"/>
      <c r="R17" s="22" t="s">
        <v>125</v>
      </c>
      <c r="S17" s="22" t="s">
        <v>126</v>
      </c>
      <c r="T17" s="22"/>
      <c r="U17" s="22" t="s">
        <v>129</v>
      </c>
      <c r="V17" s="21" t="s">
        <v>188</v>
      </c>
      <c r="W17" s="21" t="s">
        <v>189</v>
      </c>
      <c r="X17" s="21" t="s">
        <v>132</v>
      </c>
      <c r="Y17" s="21">
        <v>46293.0</v>
      </c>
      <c r="Z17" s="21" t="s">
        <v>133</v>
      </c>
    </row>
    <row r="18">
      <c r="A18" s="22" t="s">
        <v>98</v>
      </c>
      <c r="B18" s="22"/>
      <c r="C18" s="22" t="s">
        <v>191</v>
      </c>
      <c r="D18" s="22" t="s">
        <v>105</v>
      </c>
      <c r="E18" s="22" t="s">
        <v>106</v>
      </c>
      <c r="F18" s="29" t="s">
        <v>38</v>
      </c>
      <c r="G18" s="24">
        <v>11000.0</v>
      </c>
      <c r="H18" s="24">
        <v>25.0</v>
      </c>
      <c r="I18" s="24">
        <v>1830.0</v>
      </c>
      <c r="J18" s="22"/>
      <c r="K18" s="25">
        <v>0.1663636363636364</v>
      </c>
      <c r="L18" s="22"/>
      <c r="M18" s="22"/>
      <c r="N18" s="22"/>
      <c r="O18" s="22"/>
      <c r="P18" s="26" t="s">
        <v>193</v>
      </c>
      <c r="Q18" s="22"/>
      <c r="R18" s="22" t="s">
        <v>125</v>
      </c>
      <c r="S18" s="22" t="s">
        <v>126</v>
      </c>
      <c r="T18" s="22" t="s">
        <v>195</v>
      </c>
      <c r="U18" s="22" t="s">
        <v>129</v>
      </c>
      <c r="V18" s="21" t="s">
        <v>197</v>
      </c>
      <c r="W18" s="21" t="s">
        <v>198</v>
      </c>
      <c r="X18" s="21" t="s">
        <v>132</v>
      </c>
      <c r="Y18" s="21">
        <v>46293.0</v>
      </c>
      <c r="Z18" s="21" t="s">
        <v>133</v>
      </c>
    </row>
    <row r="19">
      <c r="A19" s="22" t="s">
        <v>98</v>
      </c>
      <c r="B19" s="22"/>
      <c r="C19" s="22" t="s">
        <v>199</v>
      </c>
      <c r="D19" s="22" t="s">
        <v>105</v>
      </c>
      <c r="E19" s="22" t="s">
        <v>106</v>
      </c>
      <c r="F19" s="29" t="s">
        <v>38</v>
      </c>
      <c r="G19" s="24">
        <v>6050.0</v>
      </c>
      <c r="H19" s="24">
        <v>6.0</v>
      </c>
      <c r="I19" s="24">
        <v>1750.0</v>
      </c>
      <c r="J19" s="22"/>
      <c r="K19" s="25">
        <v>0.2892561983471074</v>
      </c>
      <c r="L19" s="22"/>
      <c r="M19" s="22"/>
      <c r="N19" s="22"/>
      <c r="O19" s="22"/>
      <c r="P19" s="26" t="s">
        <v>203</v>
      </c>
      <c r="Q19" s="22"/>
      <c r="R19" s="22" t="s">
        <v>125</v>
      </c>
      <c r="S19" s="22" t="s">
        <v>126</v>
      </c>
      <c r="T19" s="22" t="s">
        <v>204</v>
      </c>
      <c r="U19" s="22" t="s">
        <v>129</v>
      </c>
      <c r="V19" s="21" t="s">
        <v>205</v>
      </c>
      <c r="W19" s="21" t="s">
        <v>206</v>
      </c>
      <c r="X19" s="21" t="s">
        <v>132</v>
      </c>
      <c r="Y19" s="21">
        <v>46293.0</v>
      </c>
      <c r="Z19" s="21" t="s">
        <v>133</v>
      </c>
    </row>
    <row r="20">
      <c r="A20" s="22" t="s">
        <v>98</v>
      </c>
      <c r="B20" s="22"/>
      <c r="C20" s="22" t="s">
        <v>207</v>
      </c>
      <c r="D20" s="22" t="s">
        <v>105</v>
      </c>
      <c r="E20" s="22" t="s">
        <v>106</v>
      </c>
      <c r="F20" s="29" t="s">
        <v>38</v>
      </c>
      <c r="G20" s="24">
        <v>21700.0</v>
      </c>
      <c r="H20" s="24">
        <v>154.0</v>
      </c>
      <c r="I20" s="24">
        <v>1730.0</v>
      </c>
      <c r="J20" s="22"/>
      <c r="K20" s="25">
        <v>0.07972350230414746</v>
      </c>
      <c r="L20" s="22"/>
      <c r="M20" s="22"/>
      <c r="N20" s="22"/>
      <c r="O20" s="22"/>
      <c r="P20" s="26" t="s">
        <v>210</v>
      </c>
      <c r="Q20" s="22"/>
      <c r="R20" s="22" t="s">
        <v>125</v>
      </c>
      <c r="S20" s="22" t="s">
        <v>126</v>
      </c>
      <c r="T20" s="22"/>
      <c r="U20" s="22" t="s">
        <v>129</v>
      </c>
      <c r="V20" s="21" t="s">
        <v>212</v>
      </c>
      <c r="W20" s="21" t="s">
        <v>213</v>
      </c>
      <c r="X20" s="21" t="s">
        <v>132</v>
      </c>
      <c r="Y20" s="21">
        <v>46293.0</v>
      </c>
      <c r="Z20" s="21" t="s">
        <v>133</v>
      </c>
    </row>
    <row r="21" ht="15.75" customHeight="1">
      <c r="A21" s="22" t="s">
        <v>98</v>
      </c>
      <c r="B21" s="22"/>
      <c r="C21" s="22" t="s">
        <v>215</v>
      </c>
      <c r="D21" s="22" t="s">
        <v>105</v>
      </c>
      <c r="E21" s="22" t="s">
        <v>160</v>
      </c>
      <c r="F21" s="29" t="s">
        <v>38</v>
      </c>
      <c r="G21" s="24">
        <v>26200.0</v>
      </c>
      <c r="H21" s="24">
        <v>430.0</v>
      </c>
      <c r="I21" s="24">
        <v>1690.0</v>
      </c>
      <c r="J21" s="22"/>
      <c r="K21" s="25">
        <v>0.06450381679389312</v>
      </c>
      <c r="L21" s="22"/>
      <c r="M21" s="22"/>
      <c r="N21" s="22"/>
      <c r="O21" s="22"/>
      <c r="P21" s="26" t="s">
        <v>218</v>
      </c>
      <c r="Q21" s="26" t="s">
        <v>220</v>
      </c>
      <c r="R21" s="22" t="s">
        <v>125</v>
      </c>
      <c r="S21" s="22" t="s">
        <v>126</v>
      </c>
      <c r="T21" s="22"/>
      <c r="U21" s="22" t="s">
        <v>129</v>
      </c>
      <c r="V21" s="21" t="s">
        <v>221</v>
      </c>
      <c r="W21" s="21" t="s">
        <v>222</v>
      </c>
      <c r="X21" s="21" t="s">
        <v>132</v>
      </c>
      <c r="Y21" s="21">
        <v>46293.0</v>
      </c>
      <c r="Z21" s="21" t="s">
        <v>133</v>
      </c>
    </row>
    <row r="22" ht="15.75" customHeight="1">
      <c r="A22" s="22" t="s">
        <v>98</v>
      </c>
      <c r="B22" s="22"/>
      <c r="C22" s="22" t="s">
        <v>223</v>
      </c>
      <c r="D22" s="22" t="s">
        <v>105</v>
      </c>
      <c r="E22" s="22" t="s">
        <v>106</v>
      </c>
      <c r="F22" s="29" t="s">
        <v>38</v>
      </c>
      <c r="G22" s="24">
        <v>15100.0</v>
      </c>
      <c r="H22" s="24">
        <v>38.0</v>
      </c>
      <c r="I22" s="24">
        <v>1650.0</v>
      </c>
      <c r="J22" s="22"/>
      <c r="K22" s="25">
        <v>0.1092715231788079</v>
      </c>
      <c r="L22" s="22"/>
      <c r="M22" s="22"/>
      <c r="N22" s="22"/>
      <c r="O22" s="22"/>
      <c r="P22" s="26" t="s">
        <v>228</v>
      </c>
      <c r="Q22" s="22"/>
      <c r="R22" s="22" t="s">
        <v>125</v>
      </c>
      <c r="S22" s="22" t="s">
        <v>126</v>
      </c>
      <c r="T22" s="22" t="s">
        <v>229</v>
      </c>
      <c r="U22" s="22" t="s">
        <v>129</v>
      </c>
      <c r="V22" s="21" t="s">
        <v>230</v>
      </c>
      <c r="W22" s="21" t="s">
        <v>231</v>
      </c>
      <c r="X22" s="21" t="s">
        <v>132</v>
      </c>
      <c r="Y22" s="21">
        <v>46293.0</v>
      </c>
      <c r="Z22" s="21" t="s">
        <v>133</v>
      </c>
    </row>
    <row r="23" ht="15.75" customHeight="1">
      <c r="A23" s="22" t="s">
        <v>98</v>
      </c>
      <c r="B23" s="22"/>
      <c r="C23" s="22" t="s">
        <v>232</v>
      </c>
      <c r="D23" s="22" t="s">
        <v>154</v>
      </c>
      <c r="E23" s="22" t="s">
        <v>136</v>
      </c>
      <c r="F23" s="34" t="s">
        <v>42</v>
      </c>
      <c r="G23" s="24">
        <v>16700.0</v>
      </c>
      <c r="H23" s="24">
        <v>1.0</v>
      </c>
      <c r="I23" s="24">
        <v>2900.0</v>
      </c>
      <c r="J23" s="30">
        <v>0.0054</v>
      </c>
      <c r="K23" s="25">
        <v>0.1736526946107785</v>
      </c>
      <c r="L23" s="22">
        <v>17.0</v>
      </c>
      <c r="M23" s="35" t="s">
        <v>239</v>
      </c>
      <c r="N23" s="24">
        <v>164.0</v>
      </c>
      <c r="O23" s="26" t="s">
        <v>240</v>
      </c>
      <c r="P23" s="26" t="s">
        <v>241</v>
      </c>
      <c r="Q23" s="26" t="s">
        <v>244</v>
      </c>
      <c r="R23" s="22" t="s">
        <v>125</v>
      </c>
      <c r="S23" s="22" t="s">
        <v>126</v>
      </c>
      <c r="T23" s="22" t="s">
        <v>246</v>
      </c>
      <c r="U23" s="22" t="s">
        <v>129</v>
      </c>
      <c r="V23" s="21" t="s">
        <v>247</v>
      </c>
      <c r="W23" s="21" t="s">
        <v>248</v>
      </c>
      <c r="X23" s="21" t="s">
        <v>147</v>
      </c>
      <c r="Y23" s="21">
        <v>46293.0</v>
      </c>
      <c r="Z23" s="21" t="s">
        <v>133</v>
      </c>
    </row>
    <row r="24" ht="15.75" customHeight="1">
      <c r="A24" s="22" t="s">
        <v>98</v>
      </c>
      <c r="B24" s="22"/>
      <c r="C24" s="22" t="s">
        <v>249</v>
      </c>
      <c r="D24" s="22" t="s">
        <v>154</v>
      </c>
      <c r="E24" s="22" t="s">
        <v>136</v>
      </c>
      <c r="F24" s="34" t="s">
        <v>42</v>
      </c>
      <c r="G24" s="24">
        <v>53200.0</v>
      </c>
      <c r="H24" s="24">
        <v>6.0</v>
      </c>
      <c r="I24" s="24">
        <v>2200.0</v>
      </c>
      <c r="J24" s="30">
        <v>0.0172</v>
      </c>
      <c r="K24" s="25">
        <v>0.04135338345864661</v>
      </c>
      <c r="L24" s="22">
        <v>11.0</v>
      </c>
      <c r="M24" s="28" t="s">
        <v>137</v>
      </c>
      <c r="N24" s="24">
        <v>82.0</v>
      </c>
      <c r="O24" s="26" t="s">
        <v>250</v>
      </c>
      <c r="P24" s="26" t="s">
        <v>251</v>
      </c>
      <c r="Q24" s="26" t="s">
        <v>252</v>
      </c>
      <c r="R24" s="22" t="s">
        <v>125</v>
      </c>
      <c r="S24" s="22" t="s">
        <v>126</v>
      </c>
      <c r="T24" s="22" t="s">
        <v>254</v>
      </c>
      <c r="U24" s="22" t="s">
        <v>129</v>
      </c>
      <c r="V24" s="21" t="s">
        <v>255</v>
      </c>
      <c r="W24" s="21" t="s">
        <v>256</v>
      </c>
      <c r="X24" s="21" t="s">
        <v>147</v>
      </c>
      <c r="Y24" s="21">
        <v>46293.0</v>
      </c>
      <c r="Z24" s="21" t="s">
        <v>133</v>
      </c>
    </row>
    <row r="25" ht="15.75" customHeight="1">
      <c r="A25" s="22" t="s">
        <v>98</v>
      </c>
      <c r="B25" s="22"/>
      <c r="C25" s="22" t="s">
        <v>257</v>
      </c>
      <c r="D25" s="22" t="s">
        <v>105</v>
      </c>
      <c r="E25" s="22" t="s">
        <v>106</v>
      </c>
      <c r="F25" s="34" t="s">
        <v>42</v>
      </c>
      <c r="G25" s="24">
        <v>22700.0</v>
      </c>
      <c r="H25" s="24">
        <v>185.0</v>
      </c>
      <c r="I25" s="24">
        <v>1480.0</v>
      </c>
      <c r="J25" s="22"/>
      <c r="K25" s="25">
        <v>0.06519823788546256</v>
      </c>
      <c r="L25" s="22"/>
      <c r="M25" s="22"/>
      <c r="N25" s="22"/>
      <c r="O25" s="22"/>
      <c r="P25" s="26" t="s">
        <v>260</v>
      </c>
      <c r="Q25" s="22"/>
      <c r="R25" s="22" t="s">
        <v>125</v>
      </c>
      <c r="S25" s="22" t="s">
        <v>126</v>
      </c>
      <c r="T25" s="22"/>
      <c r="U25" s="22" t="s">
        <v>129</v>
      </c>
      <c r="V25" s="21" t="s">
        <v>261</v>
      </c>
      <c r="W25" s="21" t="s">
        <v>263</v>
      </c>
      <c r="X25" s="21" t="s">
        <v>132</v>
      </c>
      <c r="Y25" s="21">
        <v>46293.0</v>
      </c>
      <c r="Z25" s="21" t="s">
        <v>133</v>
      </c>
    </row>
    <row r="26" ht="15.75" customHeight="1">
      <c r="A26" s="22" t="s">
        <v>98</v>
      </c>
      <c r="B26" s="22"/>
      <c r="C26" s="22" t="s">
        <v>266</v>
      </c>
      <c r="D26" s="22" t="s">
        <v>105</v>
      </c>
      <c r="E26" s="22" t="s">
        <v>268</v>
      </c>
      <c r="F26" s="34" t="s">
        <v>42</v>
      </c>
      <c r="G26" s="24">
        <v>10800.0</v>
      </c>
      <c r="H26" s="24">
        <v>101.0</v>
      </c>
      <c r="I26" s="24">
        <v>1300.0</v>
      </c>
      <c r="J26" s="30">
        <v>0.0292</v>
      </c>
      <c r="K26" s="25">
        <v>0.1203703703703704</v>
      </c>
      <c r="L26" s="22">
        <v>4.0</v>
      </c>
      <c r="M26" s="28" t="s">
        <v>137</v>
      </c>
      <c r="N26" s="24">
        <v>51.0</v>
      </c>
      <c r="O26" s="26" t="s">
        <v>271</v>
      </c>
      <c r="P26" s="26" t="s">
        <v>272</v>
      </c>
      <c r="Q26" s="22"/>
      <c r="R26" s="22" t="s">
        <v>125</v>
      </c>
      <c r="S26" s="22" t="s">
        <v>126</v>
      </c>
      <c r="T26" s="22" t="s">
        <v>273</v>
      </c>
      <c r="U26" s="22" t="s">
        <v>129</v>
      </c>
      <c r="V26" s="21" t="s">
        <v>274</v>
      </c>
      <c r="W26" s="21" t="s">
        <v>275</v>
      </c>
      <c r="X26" s="21" t="s">
        <v>147</v>
      </c>
      <c r="Y26" s="21">
        <v>46293.0</v>
      </c>
      <c r="Z26" s="21" t="s">
        <v>133</v>
      </c>
    </row>
    <row r="27" ht="15.75" customHeight="1">
      <c r="A27" s="22" t="s">
        <v>98</v>
      </c>
      <c r="B27" s="22"/>
      <c r="C27" s="22" t="s">
        <v>276</v>
      </c>
      <c r="D27" s="22" t="s">
        <v>154</v>
      </c>
      <c r="E27" s="22" t="s">
        <v>160</v>
      </c>
      <c r="F27" s="34" t="s">
        <v>42</v>
      </c>
      <c r="G27" s="24">
        <v>7410.0</v>
      </c>
      <c r="H27" s="24">
        <v>1.0</v>
      </c>
      <c r="I27" s="24">
        <v>1200.0</v>
      </c>
      <c r="J27" s="22"/>
      <c r="K27" s="25">
        <v>0.1619433198380567</v>
      </c>
      <c r="L27" s="22"/>
      <c r="M27" s="22"/>
      <c r="N27" s="22"/>
      <c r="O27" s="22"/>
      <c r="P27" s="26" t="s">
        <v>280</v>
      </c>
      <c r="Q27" s="26" t="s">
        <v>281</v>
      </c>
      <c r="R27" s="22" t="s">
        <v>125</v>
      </c>
      <c r="S27" s="22" t="s">
        <v>126</v>
      </c>
      <c r="T27" s="22" t="s">
        <v>282</v>
      </c>
      <c r="U27" s="22" t="s">
        <v>129</v>
      </c>
      <c r="V27" s="21" t="s">
        <v>283</v>
      </c>
      <c r="W27" s="21" t="s">
        <v>284</v>
      </c>
      <c r="X27" s="21" t="s">
        <v>132</v>
      </c>
      <c r="Y27" s="21">
        <v>46293.0</v>
      </c>
      <c r="Z27" s="21" t="s">
        <v>133</v>
      </c>
    </row>
    <row r="28" ht="15.75" customHeight="1">
      <c r="A28" s="22" t="s">
        <v>98</v>
      </c>
      <c r="B28" s="22"/>
      <c r="C28" s="22" t="s">
        <v>285</v>
      </c>
      <c r="D28" s="22" t="s">
        <v>105</v>
      </c>
      <c r="E28" s="22" t="s">
        <v>106</v>
      </c>
      <c r="F28" s="34" t="s">
        <v>42</v>
      </c>
      <c r="G28" s="24">
        <v>13700.0</v>
      </c>
      <c r="H28" s="24">
        <v>84.0</v>
      </c>
      <c r="I28" s="24">
        <v>1200.0</v>
      </c>
      <c r="J28" s="22"/>
      <c r="K28" s="25">
        <v>0.08759124087591241</v>
      </c>
      <c r="L28" s="22"/>
      <c r="M28" s="22"/>
      <c r="N28" s="22"/>
      <c r="O28" s="22"/>
      <c r="P28" s="26" t="s">
        <v>291</v>
      </c>
      <c r="Q28" s="22"/>
      <c r="R28" s="22" t="s">
        <v>125</v>
      </c>
      <c r="S28" s="22" t="s">
        <v>126</v>
      </c>
      <c r="T28" s="22"/>
      <c r="U28" s="22" t="s">
        <v>129</v>
      </c>
      <c r="V28" s="21" t="s">
        <v>294</v>
      </c>
      <c r="W28" s="21" t="s">
        <v>295</v>
      </c>
      <c r="X28" s="21" t="s">
        <v>132</v>
      </c>
      <c r="Y28" s="21">
        <v>46293.0</v>
      </c>
      <c r="Z28" s="21" t="s">
        <v>133</v>
      </c>
    </row>
    <row r="29" ht="15.75" customHeight="1">
      <c r="A29" s="22" t="s">
        <v>98</v>
      </c>
      <c r="B29" s="22"/>
      <c r="C29" s="22" t="s">
        <v>296</v>
      </c>
      <c r="D29" s="22" t="s">
        <v>105</v>
      </c>
      <c r="E29" s="22" t="s">
        <v>106</v>
      </c>
      <c r="F29" s="34" t="s">
        <v>42</v>
      </c>
      <c r="G29" s="24">
        <v>9730.0</v>
      </c>
      <c r="H29" s="24">
        <v>67.0</v>
      </c>
      <c r="I29" s="24">
        <v>976.0</v>
      </c>
      <c r="J29" s="22"/>
      <c r="K29" s="25">
        <v>0.1003083247687564</v>
      </c>
      <c r="L29" s="22"/>
      <c r="M29" s="22"/>
      <c r="N29" s="22"/>
      <c r="O29" s="22"/>
      <c r="P29" s="26" t="s">
        <v>297</v>
      </c>
      <c r="Q29" s="22"/>
      <c r="R29" s="22" t="s">
        <v>125</v>
      </c>
      <c r="S29" s="22" t="s">
        <v>126</v>
      </c>
      <c r="T29" s="22"/>
      <c r="U29" s="22" t="s">
        <v>129</v>
      </c>
      <c r="V29" s="21" t="s">
        <v>298</v>
      </c>
      <c r="W29" s="21" t="s">
        <v>299</v>
      </c>
      <c r="X29" s="21" t="s">
        <v>132</v>
      </c>
      <c r="Y29" s="21">
        <v>46293.0</v>
      </c>
      <c r="Z29" s="21" t="s">
        <v>133</v>
      </c>
    </row>
    <row r="30" ht="15.75" customHeight="1">
      <c r="A30" s="22" t="s">
        <v>98</v>
      </c>
      <c r="B30" s="22"/>
      <c r="C30" s="22" t="s">
        <v>302</v>
      </c>
      <c r="D30" s="22" t="s">
        <v>105</v>
      </c>
      <c r="E30" s="22" t="s">
        <v>106</v>
      </c>
      <c r="F30" s="34" t="s">
        <v>42</v>
      </c>
      <c r="G30" s="24">
        <v>8760.0</v>
      </c>
      <c r="H30" s="24">
        <v>10.0</v>
      </c>
      <c r="I30" s="24">
        <v>892.0</v>
      </c>
      <c r="J30" s="22"/>
      <c r="K30" s="25">
        <v>0.1018264840182648</v>
      </c>
      <c r="L30" s="22"/>
      <c r="M30" s="22"/>
      <c r="N30" s="22"/>
      <c r="O30" s="22"/>
      <c r="P30" s="26" t="s">
        <v>304</v>
      </c>
      <c r="Q30" s="22"/>
      <c r="R30" s="22" t="s">
        <v>125</v>
      </c>
      <c r="S30" s="22" t="s">
        <v>126</v>
      </c>
      <c r="T30" s="22"/>
      <c r="U30" s="22" t="s">
        <v>129</v>
      </c>
      <c r="V30" s="21" t="s">
        <v>305</v>
      </c>
      <c r="W30" s="21" t="s">
        <v>306</v>
      </c>
      <c r="X30" s="21" t="s">
        <v>132</v>
      </c>
      <c r="Y30" s="21">
        <v>46293.0</v>
      </c>
      <c r="Z30" s="21" t="s">
        <v>133</v>
      </c>
    </row>
    <row r="31" ht="15.75" customHeight="1">
      <c r="A31" s="22" t="s">
        <v>98</v>
      </c>
      <c r="B31" s="22"/>
      <c r="C31" s="22" t="s">
        <v>310</v>
      </c>
      <c r="D31" s="22" t="s">
        <v>105</v>
      </c>
      <c r="E31" s="22" t="s">
        <v>106</v>
      </c>
      <c r="F31" s="34" t="s">
        <v>42</v>
      </c>
      <c r="G31" s="24">
        <v>6530.0</v>
      </c>
      <c r="H31" s="24">
        <v>14.0</v>
      </c>
      <c r="I31" s="24">
        <v>880.0</v>
      </c>
      <c r="J31" s="22"/>
      <c r="K31" s="25">
        <v>0.1347626339969372</v>
      </c>
      <c r="L31" s="22"/>
      <c r="M31" s="22"/>
      <c r="N31" s="22"/>
      <c r="O31" s="22"/>
      <c r="P31" s="26" t="s">
        <v>312</v>
      </c>
      <c r="Q31" s="22"/>
      <c r="R31" s="22" t="s">
        <v>125</v>
      </c>
      <c r="S31" s="22" t="s">
        <v>126</v>
      </c>
      <c r="T31" s="22"/>
      <c r="U31" s="22" t="s">
        <v>129</v>
      </c>
      <c r="V31" s="21" t="s">
        <v>313</v>
      </c>
      <c r="W31" s="21" t="s">
        <v>314</v>
      </c>
      <c r="X31" s="21" t="s">
        <v>132</v>
      </c>
      <c r="Y31" s="21">
        <v>46293.0</v>
      </c>
      <c r="Z31" s="21" t="s">
        <v>133</v>
      </c>
    </row>
    <row r="32" ht="15.75" customHeight="1">
      <c r="A32" s="22" t="s">
        <v>98</v>
      </c>
      <c r="B32" s="22"/>
      <c r="C32" s="22" t="s">
        <v>317</v>
      </c>
      <c r="D32" s="22" t="s">
        <v>105</v>
      </c>
      <c r="E32" s="22" t="s">
        <v>106</v>
      </c>
      <c r="F32" s="34" t="s">
        <v>42</v>
      </c>
      <c r="G32" s="24">
        <v>21900.0</v>
      </c>
      <c r="H32" s="24">
        <v>131.0</v>
      </c>
      <c r="I32" s="24">
        <v>844.0</v>
      </c>
      <c r="J32" s="22"/>
      <c r="K32" s="25">
        <v>0.03853881278538813</v>
      </c>
      <c r="L32" s="22"/>
      <c r="M32" s="22"/>
      <c r="N32" s="22"/>
      <c r="O32" s="22"/>
      <c r="P32" s="26" t="s">
        <v>318</v>
      </c>
      <c r="Q32" s="22"/>
      <c r="R32" s="22" t="s">
        <v>125</v>
      </c>
      <c r="S32" s="22" t="s">
        <v>126</v>
      </c>
      <c r="T32" s="22" t="s">
        <v>319</v>
      </c>
      <c r="U32" s="22" t="s">
        <v>129</v>
      </c>
      <c r="V32" s="21" t="s">
        <v>320</v>
      </c>
      <c r="W32" s="21" t="s">
        <v>322</v>
      </c>
      <c r="X32" s="21" t="s">
        <v>132</v>
      </c>
      <c r="Y32" s="21">
        <v>46293.0</v>
      </c>
      <c r="Z32" s="21" t="s">
        <v>133</v>
      </c>
    </row>
    <row r="33" ht="15.75" customHeight="1">
      <c r="A33" s="22" t="s">
        <v>98</v>
      </c>
      <c r="B33" s="22"/>
      <c r="C33" s="22" t="s">
        <v>324</v>
      </c>
      <c r="D33" s="22" t="s">
        <v>105</v>
      </c>
      <c r="E33" s="22" t="s">
        <v>106</v>
      </c>
      <c r="F33" s="34" t="s">
        <v>42</v>
      </c>
      <c r="G33" s="24">
        <v>9600.0</v>
      </c>
      <c r="H33" s="24">
        <v>98.0</v>
      </c>
      <c r="I33" s="24">
        <v>821.0</v>
      </c>
      <c r="J33" s="22"/>
      <c r="K33" s="25">
        <v>0.08552083333333334</v>
      </c>
      <c r="L33" s="22"/>
      <c r="M33" s="22"/>
      <c r="N33" s="22"/>
      <c r="O33" s="22"/>
      <c r="P33" s="26" t="s">
        <v>326</v>
      </c>
      <c r="Q33" s="22"/>
      <c r="R33" s="22" t="s">
        <v>125</v>
      </c>
      <c r="S33" s="22" t="s">
        <v>126</v>
      </c>
      <c r="T33" s="22"/>
      <c r="U33" s="22" t="s">
        <v>129</v>
      </c>
      <c r="V33" s="21" t="s">
        <v>328</v>
      </c>
      <c r="W33" s="21" t="s">
        <v>329</v>
      </c>
      <c r="X33" s="21" t="s">
        <v>132</v>
      </c>
      <c r="Y33" s="21">
        <v>46293.0</v>
      </c>
      <c r="Z33" s="21" t="s">
        <v>133</v>
      </c>
    </row>
    <row r="34" ht="15.75" customHeight="1">
      <c r="A34" s="22" t="s">
        <v>98</v>
      </c>
      <c r="B34" s="22"/>
      <c r="C34" s="22" t="s">
        <v>332</v>
      </c>
      <c r="D34" s="22" t="s">
        <v>105</v>
      </c>
      <c r="E34" s="22" t="s">
        <v>106</v>
      </c>
      <c r="F34" s="34" t="s">
        <v>42</v>
      </c>
      <c r="G34" s="24">
        <v>14400.0</v>
      </c>
      <c r="H34" s="24">
        <v>94.0</v>
      </c>
      <c r="I34" s="24">
        <v>772.0</v>
      </c>
      <c r="J34" s="22"/>
      <c r="K34" s="25">
        <v>0.05361111111111111</v>
      </c>
      <c r="L34" s="22"/>
      <c r="M34" s="22"/>
      <c r="N34" s="22"/>
      <c r="O34" s="22"/>
      <c r="P34" s="26" t="s">
        <v>333</v>
      </c>
      <c r="Q34" s="22"/>
      <c r="R34" s="22" t="s">
        <v>125</v>
      </c>
      <c r="S34" s="22" t="s">
        <v>126</v>
      </c>
      <c r="T34" s="22"/>
      <c r="U34" s="22" t="s">
        <v>129</v>
      </c>
      <c r="V34" s="21" t="s">
        <v>334</v>
      </c>
      <c r="W34" s="21" t="s">
        <v>335</v>
      </c>
      <c r="X34" s="21" t="s">
        <v>132</v>
      </c>
      <c r="Y34" s="21">
        <v>46293.0</v>
      </c>
      <c r="Z34" s="21" t="s">
        <v>133</v>
      </c>
    </row>
    <row r="35" ht="15.75" customHeight="1">
      <c r="A35" s="22" t="s">
        <v>98</v>
      </c>
      <c r="B35" s="22"/>
      <c r="C35" s="22" t="s">
        <v>339</v>
      </c>
      <c r="D35" s="22" t="s">
        <v>105</v>
      </c>
      <c r="E35" s="22" t="s">
        <v>106</v>
      </c>
      <c r="F35" s="34" t="s">
        <v>42</v>
      </c>
      <c r="G35" s="24">
        <v>7620.0</v>
      </c>
      <c r="H35" s="24">
        <v>35.0</v>
      </c>
      <c r="I35" s="24">
        <v>766.0</v>
      </c>
      <c r="J35" s="22"/>
      <c r="K35" s="25">
        <v>0.1005249343832021</v>
      </c>
      <c r="L35" s="22"/>
      <c r="M35" s="22"/>
      <c r="N35" s="22"/>
      <c r="O35" s="22"/>
      <c r="P35" s="26" t="s">
        <v>340</v>
      </c>
      <c r="Q35" s="22"/>
      <c r="R35" s="22" t="s">
        <v>125</v>
      </c>
      <c r="S35" s="22" t="s">
        <v>126</v>
      </c>
      <c r="T35" s="22"/>
      <c r="U35" s="22" t="s">
        <v>129</v>
      </c>
      <c r="V35" s="21" t="s">
        <v>343</v>
      </c>
      <c r="W35" s="21" t="s">
        <v>344</v>
      </c>
      <c r="X35" s="21" t="s">
        <v>132</v>
      </c>
      <c r="Y35" s="21">
        <v>46293.0</v>
      </c>
      <c r="Z35" s="21" t="s">
        <v>133</v>
      </c>
    </row>
    <row r="36" ht="15.75" customHeight="1">
      <c r="A36" s="22" t="s">
        <v>98</v>
      </c>
      <c r="B36" s="22"/>
      <c r="C36" s="22" t="s">
        <v>346</v>
      </c>
      <c r="D36" s="22" t="s">
        <v>105</v>
      </c>
      <c r="E36" s="22" t="s">
        <v>106</v>
      </c>
      <c r="F36" s="34" t="s">
        <v>42</v>
      </c>
      <c r="G36" s="24">
        <v>4840.0</v>
      </c>
      <c r="H36" s="24">
        <v>6.0</v>
      </c>
      <c r="I36" s="24">
        <v>718.0</v>
      </c>
      <c r="J36" s="22"/>
      <c r="K36" s="25">
        <v>0.1483471074380165</v>
      </c>
      <c r="L36" s="22"/>
      <c r="M36" s="22"/>
      <c r="N36" s="22"/>
      <c r="O36" s="22"/>
      <c r="P36" s="26" t="s">
        <v>347</v>
      </c>
      <c r="Q36" s="22"/>
      <c r="R36" s="22" t="s">
        <v>125</v>
      </c>
      <c r="S36" s="22" t="s">
        <v>126</v>
      </c>
      <c r="T36" s="22"/>
      <c r="U36" s="22" t="s">
        <v>129</v>
      </c>
      <c r="V36" s="21" t="s">
        <v>351</v>
      </c>
      <c r="W36" s="21" t="s">
        <v>352</v>
      </c>
      <c r="X36" s="21" t="s">
        <v>132</v>
      </c>
      <c r="Y36" s="21">
        <v>46293.0</v>
      </c>
      <c r="Z36" s="21" t="s">
        <v>133</v>
      </c>
    </row>
    <row r="37" ht="15.75" customHeight="1">
      <c r="A37" s="22" t="s">
        <v>98</v>
      </c>
      <c r="B37" s="22"/>
      <c r="C37" s="22" t="s">
        <v>353</v>
      </c>
      <c r="D37" s="22" t="s">
        <v>105</v>
      </c>
      <c r="E37" s="22" t="s">
        <v>106</v>
      </c>
      <c r="F37" s="34" t="s">
        <v>42</v>
      </c>
      <c r="G37" s="24">
        <v>3920.0</v>
      </c>
      <c r="H37" s="24">
        <v>18.0</v>
      </c>
      <c r="I37" s="24">
        <v>707.0</v>
      </c>
      <c r="J37" s="22"/>
      <c r="K37" s="25">
        <v>0.1803571428571429</v>
      </c>
      <c r="L37" s="22"/>
      <c r="M37" s="22"/>
      <c r="N37" s="22"/>
      <c r="O37" s="22"/>
      <c r="P37" s="26" t="s">
        <v>358</v>
      </c>
      <c r="Q37" s="22"/>
      <c r="R37" s="22" t="s">
        <v>125</v>
      </c>
      <c r="S37" s="22" t="s">
        <v>126</v>
      </c>
      <c r="T37" s="22" t="s">
        <v>229</v>
      </c>
      <c r="U37" s="22" t="s">
        <v>129</v>
      </c>
      <c r="V37" s="21" t="s">
        <v>359</v>
      </c>
      <c r="W37" s="21" t="s">
        <v>360</v>
      </c>
      <c r="X37" s="21" t="s">
        <v>132</v>
      </c>
      <c r="Y37" s="21">
        <v>46293.0</v>
      </c>
      <c r="Z37" s="21" t="s">
        <v>133</v>
      </c>
    </row>
    <row r="38" ht="15.75" customHeight="1">
      <c r="A38" s="22" t="s">
        <v>98</v>
      </c>
      <c r="B38" s="22"/>
      <c r="C38" s="22" t="s">
        <v>362</v>
      </c>
      <c r="D38" s="22" t="s">
        <v>105</v>
      </c>
      <c r="E38" s="22" t="s">
        <v>106</v>
      </c>
      <c r="F38" s="34" t="s">
        <v>42</v>
      </c>
      <c r="G38" s="24">
        <v>11400.0</v>
      </c>
      <c r="H38" s="24">
        <v>460.0</v>
      </c>
      <c r="I38" s="24">
        <v>628.0</v>
      </c>
      <c r="J38" s="22"/>
      <c r="K38" s="25">
        <v>0.05508771929824562</v>
      </c>
      <c r="L38" s="22"/>
      <c r="M38" s="22"/>
      <c r="N38" s="22"/>
      <c r="O38" s="22"/>
      <c r="P38" s="26" t="s">
        <v>367</v>
      </c>
      <c r="Q38" s="22"/>
      <c r="R38" s="22" t="s">
        <v>125</v>
      </c>
      <c r="S38" s="22" t="s">
        <v>126</v>
      </c>
      <c r="T38" s="22"/>
      <c r="U38" s="22" t="s">
        <v>129</v>
      </c>
      <c r="V38" s="21" t="s">
        <v>369</v>
      </c>
      <c r="W38" s="21" t="s">
        <v>370</v>
      </c>
      <c r="X38" s="21" t="s">
        <v>132</v>
      </c>
      <c r="Y38" s="21">
        <v>46293.0</v>
      </c>
      <c r="Z38" s="21" t="s">
        <v>133</v>
      </c>
    </row>
    <row r="39" ht="15.75" customHeight="1">
      <c r="A39" s="22" t="s">
        <v>98</v>
      </c>
      <c r="B39" s="22"/>
      <c r="C39" s="22" t="s">
        <v>374</v>
      </c>
      <c r="D39" s="22" t="s">
        <v>105</v>
      </c>
      <c r="E39" s="22" t="s">
        <v>106</v>
      </c>
      <c r="F39" s="34" t="s">
        <v>42</v>
      </c>
      <c r="G39" s="24">
        <v>9320.0</v>
      </c>
      <c r="H39" s="24">
        <v>38.0</v>
      </c>
      <c r="I39" s="24">
        <v>624.0</v>
      </c>
      <c r="J39" s="22"/>
      <c r="K39" s="25">
        <v>0.06695278969957082</v>
      </c>
      <c r="L39" s="22"/>
      <c r="M39" s="22"/>
      <c r="N39" s="22"/>
      <c r="O39" s="22"/>
      <c r="P39" s="26" t="s">
        <v>375</v>
      </c>
      <c r="Q39" s="22"/>
      <c r="R39" s="22" t="s">
        <v>125</v>
      </c>
      <c r="S39" s="22" t="s">
        <v>126</v>
      </c>
      <c r="T39" s="22"/>
      <c r="U39" s="22" t="s">
        <v>129</v>
      </c>
      <c r="V39" s="21" t="s">
        <v>376</v>
      </c>
      <c r="W39" s="21" t="s">
        <v>377</v>
      </c>
      <c r="X39" s="21" t="s">
        <v>132</v>
      </c>
      <c r="Y39" s="21">
        <v>46293.0</v>
      </c>
      <c r="Z39" s="21" t="s">
        <v>133</v>
      </c>
    </row>
    <row r="40" ht="15.75" customHeight="1">
      <c r="A40" s="22" t="s">
        <v>98</v>
      </c>
      <c r="B40" s="22"/>
      <c r="C40" s="22" t="s">
        <v>381</v>
      </c>
      <c r="D40" s="22" t="s">
        <v>105</v>
      </c>
      <c r="E40" s="22" t="s">
        <v>106</v>
      </c>
      <c r="F40" s="34" t="s">
        <v>42</v>
      </c>
      <c r="G40" s="24">
        <v>16700.0</v>
      </c>
      <c r="H40" s="24">
        <v>76.0</v>
      </c>
      <c r="I40" s="24">
        <v>617.0</v>
      </c>
      <c r="J40" s="22"/>
      <c r="K40" s="25">
        <v>0.03694610778443114</v>
      </c>
      <c r="L40" s="22"/>
      <c r="M40" s="22"/>
      <c r="N40" s="22"/>
      <c r="O40" s="22"/>
      <c r="P40" s="26" t="s">
        <v>382</v>
      </c>
      <c r="Q40" s="22"/>
      <c r="R40" s="22" t="s">
        <v>125</v>
      </c>
      <c r="S40" s="22" t="s">
        <v>126</v>
      </c>
      <c r="T40" s="22"/>
      <c r="U40" s="22" t="s">
        <v>129</v>
      </c>
      <c r="V40" s="21" t="s">
        <v>383</v>
      </c>
      <c r="W40" s="21" t="s">
        <v>384</v>
      </c>
      <c r="X40" s="21" t="s">
        <v>132</v>
      </c>
      <c r="Y40" s="21">
        <v>46293.0</v>
      </c>
      <c r="Z40" s="21" t="s">
        <v>133</v>
      </c>
    </row>
    <row r="41" ht="15.75" customHeight="1">
      <c r="A41" s="22" t="s">
        <v>98</v>
      </c>
      <c r="B41" s="22"/>
      <c r="C41" s="22" t="s">
        <v>388</v>
      </c>
      <c r="D41" s="22" t="s">
        <v>105</v>
      </c>
      <c r="E41" s="22" t="s">
        <v>106</v>
      </c>
      <c r="F41" s="34" t="s">
        <v>42</v>
      </c>
      <c r="G41" s="24">
        <v>5910.0</v>
      </c>
      <c r="H41" s="24">
        <v>82.0</v>
      </c>
      <c r="I41" s="24">
        <v>615.0</v>
      </c>
      <c r="J41" s="22"/>
      <c r="K41" s="25">
        <v>0.1040609137055838</v>
      </c>
      <c r="L41" s="22"/>
      <c r="M41" s="22"/>
      <c r="N41" s="22"/>
      <c r="O41" s="22"/>
      <c r="P41" s="26" t="s">
        <v>389</v>
      </c>
      <c r="Q41" s="22"/>
      <c r="R41" s="22" t="s">
        <v>125</v>
      </c>
      <c r="S41" s="22" t="s">
        <v>126</v>
      </c>
      <c r="T41" s="22"/>
      <c r="U41" s="22" t="s">
        <v>129</v>
      </c>
      <c r="V41" s="21" t="s">
        <v>390</v>
      </c>
      <c r="W41" s="21" t="s">
        <v>391</v>
      </c>
      <c r="X41" s="21" t="s">
        <v>132</v>
      </c>
      <c r="Y41" s="21">
        <v>46293.0</v>
      </c>
      <c r="Z41" s="21" t="s">
        <v>133</v>
      </c>
    </row>
    <row r="42" ht="15.75" customHeight="1">
      <c r="A42" s="22" t="s">
        <v>98</v>
      </c>
      <c r="B42" s="22"/>
      <c r="C42" s="22" t="s">
        <v>393</v>
      </c>
      <c r="D42" s="22" t="s">
        <v>105</v>
      </c>
      <c r="E42" s="22" t="s">
        <v>106</v>
      </c>
      <c r="F42" s="34" t="s">
        <v>42</v>
      </c>
      <c r="G42" s="24">
        <v>5540.0</v>
      </c>
      <c r="H42" s="24">
        <v>8.0</v>
      </c>
      <c r="I42" s="24">
        <v>567.0</v>
      </c>
      <c r="J42" s="22"/>
      <c r="K42" s="25">
        <v>0.1023465703971119</v>
      </c>
      <c r="L42" s="22"/>
      <c r="M42" s="22"/>
      <c r="N42" s="22"/>
      <c r="O42" s="22"/>
      <c r="P42" s="26" t="s">
        <v>399</v>
      </c>
      <c r="Q42" s="22"/>
      <c r="R42" s="22" t="s">
        <v>125</v>
      </c>
      <c r="S42" s="22" t="s">
        <v>126</v>
      </c>
      <c r="T42" s="22" t="s">
        <v>229</v>
      </c>
      <c r="U42" s="22" t="s">
        <v>129</v>
      </c>
      <c r="V42" s="21" t="s">
        <v>400</v>
      </c>
      <c r="W42" s="21" t="s">
        <v>401</v>
      </c>
      <c r="X42" s="21" t="s">
        <v>132</v>
      </c>
      <c r="Y42" s="21">
        <v>46293.0</v>
      </c>
      <c r="Z42" s="21" t="s">
        <v>133</v>
      </c>
    </row>
    <row r="43" ht="15.75" customHeight="1">
      <c r="A43" s="22" t="s">
        <v>98</v>
      </c>
      <c r="B43" s="22"/>
      <c r="C43" s="22" t="s">
        <v>402</v>
      </c>
      <c r="D43" s="22" t="s">
        <v>105</v>
      </c>
      <c r="E43" s="22" t="s">
        <v>106</v>
      </c>
      <c r="F43" s="34" t="s">
        <v>42</v>
      </c>
      <c r="G43" s="24">
        <v>12600.0</v>
      </c>
      <c r="H43" s="24">
        <v>191.0</v>
      </c>
      <c r="I43" s="24">
        <v>528.0</v>
      </c>
      <c r="J43" s="22"/>
      <c r="K43" s="25">
        <v>0.0419047619047619</v>
      </c>
      <c r="L43" s="22"/>
      <c r="M43" s="22"/>
      <c r="N43" s="22"/>
      <c r="O43" s="22"/>
      <c r="P43" s="26" t="s">
        <v>404</v>
      </c>
      <c r="Q43" s="22"/>
      <c r="R43" s="22" t="s">
        <v>125</v>
      </c>
      <c r="S43" s="22" t="s">
        <v>126</v>
      </c>
      <c r="T43" s="22"/>
      <c r="U43" s="22" t="s">
        <v>129</v>
      </c>
      <c r="V43" s="21" t="s">
        <v>407</v>
      </c>
      <c r="W43" s="21" t="s">
        <v>409</v>
      </c>
      <c r="X43" s="21" t="s">
        <v>132</v>
      </c>
      <c r="Y43" s="21">
        <v>46293.0</v>
      </c>
      <c r="Z43" s="21" t="s">
        <v>133</v>
      </c>
    </row>
    <row r="44" ht="15.75" customHeight="1">
      <c r="A44" s="22" t="s">
        <v>98</v>
      </c>
      <c r="B44" s="22"/>
      <c r="C44" s="22" t="s">
        <v>411</v>
      </c>
      <c r="D44" s="22" t="s">
        <v>412</v>
      </c>
      <c r="E44" s="22" t="s">
        <v>413</v>
      </c>
      <c r="F44" s="37" t="s">
        <v>48</v>
      </c>
      <c r="G44" s="24">
        <v>14000.0</v>
      </c>
      <c r="H44" s="24">
        <v>3.0</v>
      </c>
      <c r="I44" s="24">
        <v>1961.0</v>
      </c>
      <c r="J44" s="30">
        <v>0.0129</v>
      </c>
      <c r="K44" s="25">
        <v>0.1400714285714286</v>
      </c>
      <c r="L44" s="22">
        <v>6.0</v>
      </c>
      <c r="M44" s="28" t="s">
        <v>137</v>
      </c>
      <c r="N44" s="24">
        <v>68.0</v>
      </c>
      <c r="O44" s="26" t="s">
        <v>416</v>
      </c>
      <c r="P44" s="22"/>
      <c r="Q44" s="26" t="s">
        <v>417</v>
      </c>
      <c r="R44" s="22" t="s">
        <v>125</v>
      </c>
      <c r="S44" s="22" t="s">
        <v>126</v>
      </c>
      <c r="T44" s="22" t="s">
        <v>418</v>
      </c>
      <c r="U44" s="22" t="s">
        <v>129</v>
      </c>
      <c r="V44" s="21" t="s">
        <v>419</v>
      </c>
      <c r="W44" s="21" t="s">
        <v>420</v>
      </c>
      <c r="X44" s="21" t="s">
        <v>132</v>
      </c>
      <c r="Y44" s="21">
        <v>46293.0</v>
      </c>
      <c r="Z44" s="21" t="s">
        <v>133</v>
      </c>
    </row>
    <row r="45" ht="15.75" customHeight="1">
      <c r="A45" s="22" t="s">
        <v>98</v>
      </c>
      <c r="B45" s="22"/>
      <c r="C45" s="22" t="s">
        <v>423</v>
      </c>
      <c r="D45" s="22" t="s">
        <v>154</v>
      </c>
      <c r="E45" s="22" t="s">
        <v>413</v>
      </c>
      <c r="F45" s="37" t="s">
        <v>48</v>
      </c>
      <c r="G45" s="24">
        <v>8590.0</v>
      </c>
      <c r="H45" s="24">
        <v>3.0</v>
      </c>
      <c r="I45" s="24">
        <v>570.0</v>
      </c>
      <c r="J45" s="30">
        <v>0.0112</v>
      </c>
      <c r="K45" s="25">
        <v>0.06635622817229336</v>
      </c>
      <c r="L45" s="22">
        <v>3.0</v>
      </c>
      <c r="M45" s="28" t="s">
        <v>137</v>
      </c>
      <c r="N45" s="24">
        <v>28.0</v>
      </c>
      <c r="O45" s="26" t="s">
        <v>426</v>
      </c>
      <c r="P45" s="22"/>
      <c r="Q45" s="26" t="s">
        <v>427</v>
      </c>
      <c r="R45" s="22" t="s">
        <v>125</v>
      </c>
      <c r="S45" s="22" t="s">
        <v>126</v>
      </c>
      <c r="T45" s="22"/>
      <c r="U45" s="22" t="s">
        <v>129</v>
      </c>
      <c r="V45" s="21" t="s">
        <v>428</v>
      </c>
      <c r="W45" s="21" t="s">
        <v>429</v>
      </c>
      <c r="X45" s="21" t="s">
        <v>132</v>
      </c>
      <c r="Y45" s="21">
        <v>46293.0</v>
      </c>
      <c r="Z45" s="21" t="s">
        <v>133</v>
      </c>
    </row>
    <row r="46" ht="15.75" customHeight="1">
      <c r="A46" s="22" t="s">
        <v>98</v>
      </c>
      <c r="B46" s="22"/>
      <c r="C46" s="22" t="s">
        <v>432</v>
      </c>
      <c r="D46" s="22" t="s">
        <v>154</v>
      </c>
      <c r="E46" s="22" t="s">
        <v>155</v>
      </c>
      <c r="F46" s="37" t="s">
        <v>48</v>
      </c>
      <c r="G46" s="24">
        <v>10000.0</v>
      </c>
      <c r="H46" s="24">
        <v>1.0</v>
      </c>
      <c r="I46" s="24">
        <v>476.0</v>
      </c>
      <c r="J46" s="22"/>
      <c r="K46" s="25">
        <v>0.0476</v>
      </c>
      <c r="L46" s="22"/>
      <c r="M46" s="22"/>
      <c r="N46" s="22"/>
      <c r="O46" s="22"/>
      <c r="P46" s="22"/>
      <c r="Q46" s="26" t="s">
        <v>434</v>
      </c>
      <c r="R46" s="22" t="s">
        <v>125</v>
      </c>
      <c r="S46" s="22" t="s">
        <v>126</v>
      </c>
      <c r="T46" s="22" t="s">
        <v>319</v>
      </c>
      <c r="U46" s="22" t="s">
        <v>129</v>
      </c>
      <c r="V46" s="21" t="s">
        <v>435</v>
      </c>
      <c r="W46" s="21" t="s">
        <v>436</v>
      </c>
      <c r="X46" s="21" t="s">
        <v>132</v>
      </c>
      <c r="Y46" s="21">
        <v>46293.0</v>
      </c>
      <c r="Z46" s="21" t="s">
        <v>133</v>
      </c>
    </row>
    <row r="47" ht="15.75" customHeight="1">
      <c r="A47" s="22" t="s">
        <v>98</v>
      </c>
      <c r="B47" s="22"/>
      <c r="C47" s="22" t="s">
        <v>438</v>
      </c>
      <c r="D47" s="22" t="s">
        <v>105</v>
      </c>
      <c r="E47" s="22" t="s">
        <v>106</v>
      </c>
      <c r="F47" s="37" t="s">
        <v>48</v>
      </c>
      <c r="G47" s="24">
        <v>12000.0</v>
      </c>
      <c r="H47" s="24">
        <v>119.0</v>
      </c>
      <c r="I47" s="24">
        <v>448.0</v>
      </c>
      <c r="J47" s="22"/>
      <c r="K47" s="25">
        <v>0.03733333333333334</v>
      </c>
      <c r="L47" s="22"/>
      <c r="M47" s="22"/>
      <c r="N47" s="22"/>
      <c r="O47" s="22"/>
      <c r="P47" s="26" t="s">
        <v>441</v>
      </c>
      <c r="Q47" s="22"/>
      <c r="R47" s="22" t="s">
        <v>125</v>
      </c>
      <c r="S47" s="22" t="s">
        <v>126</v>
      </c>
      <c r="T47" s="22"/>
      <c r="U47" s="22" t="s">
        <v>129</v>
      </c>
      <c r="V47" s="21" t="s">
        <v>443</v>
      </c>
      <c r="W47" s="21" t="s">
        <v>444</v>
      </c>
      <c r="X47" s="21" t="s">
        <v>132</v>
      </c>
      <c r="Y47" s="21">
        <v>46293.0</v>
      </c>
      <c r="Z47" s="21" t="s">
        <v>133</v>
      </c>
    </row>
    <row r="48" ht="15.75" customHeight="1">
      <c r="A48" s="22" t="s">
        <v>98</v>
      </c>
      <c r="B48" s="22"/>
      <c r="C48" s="22" t="s">
        <v>445</v>
      </c>
      <c r="D48" s="22" t="s">
        <v>105</v>
      </c>
      <c r="E48" s="22" t="s">
        <v>160</v>
      </c>
      <c r="F48" s="37" t="s">
        <v>48</v>
      </c>
      <c r="G48" s="24">
        <v>5320.0</v>
      </c>
      <c r="H48" s="24">
        <v>48.0</v>
      </c>
      <c r="I48" s="24">
        <v>416.0</v>
      </c>
      <c r="J48" s="22"/>
      <c r="K48" s="25">
        <v>0.07819548872180451</v>
      </c>
      <c r="L48" s="22"/>
      <c r="M48" s="22"/>
      <c r="N48" s="22"/>
      <c r="O48" s="22"/>
      <c r="P48" s="26" t="s">
        <v>447</v>
      </c>
      <c r="Q48" s="26" t="s">
        <v>448</v>
      </c>
      <c r="R48" s="22" t="s">
        <v>125</v>
      </c>
      <c r="S48" s="22" t="s">
        <v>126</v>
      </c>
      <c r="T48" s="22" t="s">
        <v>450</v>
      </c>
      <c r="U48" s="22" t="s">
        <v>129</v>
      </c>
      <c r="V48" s="21" t="s">
        <v>451</v>
      </c>
      <c r="W48" s="21" t="s">
        <v>452</v>
      </c>
      <c r="X48" s="21" t="s">
        <v>132</v>
      </c>
      <c r="Y48" s="21">
        <v>46293.0</v>
      </c>
      <c r="Z48" s="21" t="s">
        <v>133</v>
      </c>
    </row>
    <row r="49" ht="15.75" customHeight="1">
      <c r="A49" s="22" t="s">
        <v>98</v>
      </c>
      <c r="B49" s="22"/>
      <c r="C49" s="22" t="s">
        <v>454</v>
      </c>
      <c r="D49" s="22" t="s">
        <v>105</v>
      </c>
      <c r="E49" s="22" t="s">
        <v>106</v>
      </c>
      <c r="F49" s="37" t="s">
        <v>48</v>
      </c>
      <c r="G49" s="24">
        <v>9960.0</v>
      </c>
      <c r="H49" s="24">
        <v>869.0</v>
      </c>
      <c r="I49" s="24">
        <v>340.0</v>
      </c>
      <c r="J49" s="22"/>
      <c r="K49" s="25">
        <v>0.03413654618473896</v>
      </c>
      <c r="L49" s="22"/>
      <c r="M49" s="22"/>
      <c r="N49" s="22"/>
      <c r="O49" s="22"/>
      <c r="P49" s="26" t="s">
        <v>457</v>
      </c>
      <c r="Q49" s="22"/>
      <c r="R49" s="22" t="s">
        <v>125</v>
      </c>
      <c r="S49" s="22" t="s">
        <v>126</v>
      </c>
      <c r="T49" s="22" t="s">
        <v>458</v>
      </c>
      <c r="U49" s="22" t="s">
        <v>129</v>
      </c>
      <c r="V49" s="21" t="s">
        <v>459</v>
      </c>
      <c r="W49" s="21" t="s">
        <v>460</v>
      </c>
      <c r="X49" s="21" t="s">
        <v>132</v>
      </c>
      <c r="Y49" s="21">
        <v>46293.0</v>
      </c>
      <c r="Z49" s="21" t="s">
        <v>133</v>
      </c>
    </row>
    <row r="50" ht="15.75" customHeight="1">
      <c r="A50" s="22" t="s">
        <v>98</v>
      </c>
      <c r="B50" s="22"/>
      <c r="C50" s="22" t="s">
        <v>461</v>
      </c>
      <c r="D50" s="22" t="s">
        <v>105</v>
      </c>
      <c r="E50" s="22" t="s">
        <v>106</v>
      </c>
      <c r="F50" s="37" t="s">
        <v>48</v>
      </c>
      <c r="G50" s="24">
        <v>4690.0</v>
      </c>
      <c r="H50" s="24">
        <v>70.0</v>
      </c>
      <c r="I50" s="24">
        <v>318.0</v>
      </c>
      <c r="J50" s="22"/>
      <c r="K50" s="25">
        <v>0.06780383795309168</v>
      </c>
      <c r="L50" s="22"/>
      <c r="M50" s="22"/>
      <c r="N50" s="22"/>
      <c r="O50" s="22"/>
      <c r="P50" s="26" t="s">
        <v>464</v>
      </c>
      <c r="Q50" s="22"/>
      <c r="R50" s="22" t="s">
        <v>125</v>
      </c>
      <c r="S50" s="22" t="s">
        <v>126</v>
      </c>
      <c r="T50" s="22"/>
      <c r="U50" s="22" t="s">
        <v>129</v>
      </c>
      <c r="V50" s="21" t="s">
        <v>465</v>
      </c>
      <c r="W50" s="21" t="s">
        <v>466</v>
      </c>
      <c r="X50" s="21" t="s">
        <v>132</v>
      </c>
      <c r="Y50" s="21">
        <v>46293.0</v>
      </c>
      <c r="Z50" s="21" t="s">
        <v>133</v>
      </c>
    </row>
    <row r="51" ht="15.75" customHeight="1">
      <c r="A51" s="22" t="s">
        <v>98</v>
      </c>
      <c r="B51" s="22"/>
      <c r="C51" s="22" t="s">
        <v>467</v>
      </c>
      <c r="D51" s="22" t="s">
        <v>105</v>
      </c>
      <c r="E51" s="22" t="s">
        <v>106</v>
      </c>
      <c r="F51" s="37" t="s">
        <v>48</v>
      </c>
      <c r="G51" s="24">
        <v>4570.0</v>
      </c>
      <c r="H51" s="24">
        <v>3.0</v>
      </c>
      <c r="I51" s="24">
        <v>297.0</v>
      </c>
      <c r="J51" s="22"/>
      <c r="K51" s="25">
        <v>0.06498905908096281</v>
      </c>
      <c r="L51" s="22"/>
      <c r="M51" s="22"/>
      <c r="N51" s="22"/>
      <c r="O51" s="22"/>
      <c r="P51" s="26" t="s">
        <v>468</v>
      </c>
      <c r="Q51" s="22"/>
      <c r="R51" s="22" t="s">
        <v>125</v>
      </c>
      <c r="S51" s="22" t="s">
        <v>126</v>
      </c>
      <c r="T51" s="22" t="s">
        <v>204</v>
      </c>
      <c r="U51" s="22" t="s">
        <v>129</v>
      </c>
      <c r="V51" s="21" t="s">
        <v>472</v>
      </c>
      <c r="W51" s="21" t="s">
        <v>474</v>
      </c>
      <c r="X51" s="21" t="s">
        <v>132</v>
      </c>
      <c r="Y51" s="21">
        <v>46293.0</v>
      </c>
      <c r="Z51" s="21" t="s">
        <v>133</v>
      </c>
    </row>
    <row r="52" ht="15.75" customHeight="1">
      <c r="A52" s="22" t="s">
        <v>98</v>
      </c>
      <c r="B52" s="22"/>
      <c r="C52" s="22" t="s">
        <v>475</v>
      </c>
      <c r="D52" s="22" t="s">
        <v>105</v>
      </c>
      <c r="E52" s="22" t="s">
        <v>160</v>
      </c>
      <c r="F52" s="37" t="s">
        <v>48</v>
      </c>
      <c r="G52" s="24">
        <v>7210.0</v>
      </c>
      <c r="H52" s="24">
        <v>115.0</v>
      </c>
      <c r="I52" s="24">
        <v>287.0</v>
      </c>
      <c r="J52" s="22"/>
      <c r="K52" s="25">
        <v>0.03980582524271845</v>
      </c>
      <c r="L52" s="22"/>
      <c r="M52" s="22"/>
      <c r="N52" s="22"/>
      <c r="O52" s="22"/>
      <c r="P52" s="26" t="s">
        <v>476</v>
      </c>
      <c r="Q52" s="26" t="s">
        <v>477</v>
      </c>
      <c r="R52" s="22" t="s">
        <v>125</v>
      </c>
      <c r="S52" s="22" t="s">
        <v>126</v>
      </c>
      <c r="T52" s="22"/>
      <c r="U52" s="22" t="s">
        <v>129</v>
      </c>
      <c r="V52" s="21" t="s">
        <v>478</v>
      </c>
      <c r="W52" s="21" t="s">
        <v>479</v>
      </c>
      <c r="X52" s="21" t="s">
        <v>132</v>
      </c>
      <c r="Y52" s="21">
        <v>46293.0</v>
      </c>
      <c r="Z52" s="21" t="s">
        <v>133</v>
      </c>
    </row>
    <row r="53" ht="15.75" customHeight="1">
      <c r="A53" s="22" t="s">
        <v>98</v>
      </c>
      <c r="B53" s="22"/>
      <c r="C53" s="22" t="s">
        <v>480</v>
      </c>
      <c r="D53" s="22" t="s">
        <v>105</v>
      </c>
      <c r="E53" s="22" t="s">
        <v>268</v>
      </c>
      <c r="F53" s="37" t="s">
        <v>48</v>
      </c>
      <c r="G53" s="24">
        <v>7100.0</v>
      </c>
      <c r="H53" s="24">
        <v>364.0</v>
      </c>
      <c r="I53" s="24">
        <v>275.0</v>
      </c>
      <c r="J53" s="30">
        <v>0.0288</v>
      </c>
      <c r="K53" s="25">
        <v>0.03873239436619718</v>
      </c>
      <c r="L53" s="22">
        <v>3.0</v>
      </c>
      <c r="M53" s="28" t="s">
        <v>137</v>
      </c>
      <c r="N53" s="22"/>
      <c r="O53" s="26" t="s">
        <v>482</v>
      </c>
      <c r="P53" s="26" t="s">
        <v>483</v>
      </c>
      <c r="Q53" s="22"/>
      <c r="R53" s="22" t="s">
        <v>125</v>
      </c>
      <c r="S53" s="22" t="s">
        <v>126</v>
      </c>
      <c r="T53" s="22"/>
      <c r="U53" s="22" t="s">
        <v>129</v>
      </c>
      <c r="V53" s="21" t="s">
        <v>488</v>
      </c>
      <c r="W53" s="21" t="s">
        <v>489</v>
      </c>
      <c r="X53" s="21" t="s">
        <v>132</v>
      </c>
      <c r="Y53" s="21">
        <v>46293.0</v>
      </c>
      <c r="Z53" s="21" t="s">
        <v>133</v>
      </c>
    </row>
    <row r="54" ht="15.75" customHeight="1">
      <c r="A54" s="22" t="s">
        <v>98</v>
      </c>
      <c r="B54" s="22"/>
      <c r="C54" s="22" t="s">
        <v>493</v>
      </c>
      <c r="D54" s="22" t="s">
        <v>105</v>
      </c>
      <c r="E54" s="22" t="s">
        <v>106</v>
      </c>
      <c r="F54" s="37" t="s">
        <v>48</v>
      </c>
      <c r="G54" s="24">
        <v>8200.0</v>
      </c>
      <c r="H54" s="24">
        <v>37.0</v>
      </c>
      <c r="I54" s="24">
        <v>264.0</v>
      </c>
      <c r="J54" s="22"/>
      <c r="K54" s="25">
        <v>0.03219512195121951</v>
      </c>
      <c r="L54" s="22"/>
      <c r="M54" s="22"/>
      <c r="N54" s="22"/>
      <c r="O54" s="22"/>
      <c r="P54" s="26" t="s">
        <v>494</v>
      </c>
      <c r="Q54" s="22"/>
      <c r="R54" s="22" t="s">
        <v>125</v>
      </c>
      <c r="S54" s="22" t="s">
        <v>126</v>
      </c>
      <c r="T54" s="22"/>
      <c r="U54" s="22" t="s">
        <v>129</v>
      </c>
      <c r="V54" s="21" t="s">
        <v>495</v>
      </c>
      <c r="W54" s="21" t="s">
        <v>496</v>
      </c>
      <c r="X54" s="21" t="s">
        <v>132</v>
      </c>
      <c r="Y54" s="21">
        <v>46293.0</v>
      </c>
      <c r="Z54" s="21" t="s">
        <v>133</v>
      </c>
    </row>
    <row r="55" ht="15.75" customHeight="1">
      <c r="A55" s="22" t="s">
        <v>98</v>
      </c>
      <c r="B55" s="22"/>
      <c r="C55" s="22" t="s">
        <v>500</v>
      </c>
      <c r="D55" s="22" t="s">
        <v>105</v>
      </c>
      <c r="E55" s="22" t="s">
        <v>106</v>
      </c>
      <c r="F55" s="37" t="s">
        <v>48</v>
      </c>
      <c r="G55" s="24">
        <v>6080.0</v>
      </c>
      <c r="H55" s="24">
        <v>70.0</v>
      </c>
      <c r="I55" s="24">
        <v>257.0</v>
      </c>
      <c r="J55" s="22"/>
      <c r="K55" s="25">
        <v>0.04226973684210526</v>
      </c>
      <c r="L55" s="22"/>
      <c r="M55" s="22"/>
      <c r="N55" s="22"/>
      <c r="O55" s="22"/>
      <c r="P55" s="26" t="s">
        <v>504</v>
      </c>
      <c r="Q55" s="22"/>
      <c r="R55" s="22" t="s">
        <v>125</v>
      </c>
      <c r="S55" s="22" t="s">
        <v>126</v>
      </c>
      <c r="T55" s="22"/>
      <c r="U55" s="22" t="s">
        <v>129</v>
      </c>
      <c r="V55" s="21" t="s">
        <v>505</v>
      </c>
      <c r="W55" s="21" t="s">
        <v>506</v>
      </c>
      <c r="X55" s="21" t="s">
        <v>132</v>
      </c>
      <c r="Y55" s="21">
        <v>46293.0</v>
      </c>
      <c r="Z55" s="21" t="s">
        <v>133</v>
      </c>
    </row>
    <row r="56" ht="15.75" customHeight="1">
      <c r="A56" s="22" t="s">
        <v>98</v>
      </c>
      <c r="B56" s="22"/>
      <c r="C56" s="22" t="s">
        <v>507</v>
      </c>
      <c r="D56" s="22" t="s">
        <v>105</v>
      </c>
      <c r="E56" s="22" t="s">
        <v>160</v>
      </c>
      <c r="F56" s="37" t="s">
        <v>48</v>
      </c>
      <c r="G56" s="24">
        <v>7770.0</v>
      </c>
      <c r="H56" s="24">
        <v>366.0</v>
      </c>
      <c r="I56" s="24">
        <v>227.0</v>
      </c>
      <c r="J56" s="22"/>
      <c r="K56" s="25">
        <v>0.02921492921492921</v>
      </c>
      <c r="L56" s="22"/>
      <c r="M56" s="22"/>
      <c r="N56" s="22"/>
      <c r="O56" s="22"/>
      <c r="P56" s="26" t="s">
        <v>508</v>
      </c>
      <c r="Q56" s="26" t="s">
        <v>509</v>
      </c>
      <c r="R56" s="22" t="s">
        <v>125</v>
      </c>
      <c r="S56" s="22" t="s">
        <v>126</v>
      </c>
      <c r="T56" s="22" t="s">
        <v>511</v>
      </c>
      <c r="U56" s="22" t="s">
        <v>129</v>
      </c>
      <c r="V56" s="21" t="s">
        <v>513</v>
      </c>
      <c r="W56" s="21" t="s">
        <v>514</v>
      </c>
      <c r="X56" s="21" t="s">
        <v>132</v>
      </c>
      <c r="Y56" s="21">
        <v>46293.0</v>
      </c>
      <c r="Z56" s="21" t="s">
        <v>133</v>
      </c>
    </row>
    <row r="57" ht="15.75" customHeight="1">
      <c r="A57" s="22" t="s">
        <v>98</v>
      </c>
      <c r="B57" s="22"/>
      <c r="C57" s="22" t="s">
        <v>519</v>
      </c>
      <c r="D57" s="22" t="s">
        <v>105</v>
      </c>
      <c r="E57" s="22" t="s">
        <v>106</v>
      </c>
      <c r="F57" s="37" t="s">
        <v>48</v>
      </c>
      <c r="G57" s="24">
        <v>6680.0</v>
      </c>
      <c r="H57" s="24">
        <v>240.0</v>
      </c>
      <c r="I57" s="24">
        <v>212.0</v>
      </c>
      <c r="J57" s="22"/>
      <c r="K57" s="25">
        <v>0.03173652694610778</v>
      </c>
      <c r="L57" s="22"/>
      <c r="M57" s="22"/>
      <c r="N57" s="22"/>
      <c r="O57" s="22"/>
      <c r="P57" s="26" t="s">
        <v>521</v>
      </c>
      <c r="Q57" s="22"/>
      <c r="R57" s="22" t="s">
        <v>125</v>
      </c>
      <c r="S57" s="22" t="s">
        <v>126</v>
      </c>
      <c r="T57" s="22"/>
      <c r="U57" s="22" t="s">
        <v>129</v>
      </c>
      <c r="V57" s="21" t="s">
        <v>522</v>
      </c>
      <c r="W57" s="21" t="s">
        <v>523</v>
      </c>
      <c r="X57" s="21" t="s">
        <v>132</v>
      </c>
      <c r="Y57" s="21">
        <v>46293.0</v>
      </c>
      <c r="Z57" s="21" t="s">
        <v>133</v>
      </c>
    </row>
    <row r="58" ht="15.75" customHeight="1">
      <c r="A58" s="22" t="s">
        <v>98</v>
      </c>
      <c r="B58" s="22"/>
      <c r="C58" s="22" t="s">
        <v>527</v>
      </c>
      <c r="D58" s="22" t="s">
        <v>105</v>
      </c>
      <c r="E58" s="22" t="s">
        <v>106</v>
      </c>
      <c r="F58" s="37" t="s">
        <v>48</v>
      </c>
      <c r="G58" s="24">
        <v>6280.0</v>
      </c>
      <c r="H58" s="24">
        <v>4.0</v>
      </c>
      <c r="I58" s="24">
        <v>209.0</v>
      </c>
      <c r="J58" s="22"/>
      <c r="K58" s="25">
        <v>0.03328025477707006</v>
      </c>
      <c r="L58" s="22"/>
      <c r="M58" s="22"/>
      <c r="N58" s="22"/>
      <c r="O58" s="22"/>
      <c r="P58" s="26" t="s">
        <v>531</v>
      </c>
      <c r="Q58" s="22"/>
      <c r="R58" s="22" t="s">
        <v>125</v>
      </c>
      <c r="S58" s="22" t="s">
        <v>126</v>
      </c>
      <c r="T58" s="22"/>
      <c r="U58" s="22" t="s">
        <v>129</v>
      </c>
      <c r="V58" s="21" t="s">
        <v>532</v>
      </c>
      <c r="W58" s="21" t="s">
        <v>533</v>
      </c>
      <c r="X58" s="21" t="s">
        <v>132</v>
      </c>
      <c r="Y58" s="21">
        <v>46293.0</v>
      </c>
      <c r="Z58" s="21" t="s">
        <v>133</v>
      </c>
    </row>
    <row r="59" ht="15.75" customHeight="1">
      <c r="A59" s="22" t="s">
        <v>98</v>
      </c>
      <c r="B59" s="22"/>
      <c r="C59" s="22" t="s">
        <v>534</v>
      </c>
      <c r="D59" s="22" t="s">
        <v>105</v>
      </c>
      <c r="E59" s="22" t="s">
        <v>106</v>
      </c>
      <c r="F59" s="37" t="s">
        <v>48</v>
      </c>
      <c r="G59" s="24">
        <v>7810.0</v>
      </c>
      <c r="H59" s="24">
        <v>115.0</v>
      </c>
      <c r="I59" s="24">
        <v>195.0</v>
      </c>
      <c r="J59" s="22"/>
      <c r="K59" s="25">
        <v>0.02496798975672215</v>
      </c>
      <c r="L59" s="22"/>
      <c r="M59" s="22"/>
      <c r="N59" s="22"/>
      <c r="O59" s="22"/>
      <c r="P59" s="26" t="s">
        <v>535</v>
      </c>
      <c r="Q59" s="22"/>
      <c r="R59" s="22" t="s">
        <v>125</v>
      </c>
      <c r="S59" s="22" t="s">
        <v>126</v>
      </c>
      <c r="T59" s="22"/>
      <c r="U59" s="22" t="s">
        <v>129</v>
      </c>
      <c r="V59" s="21" t="s">
        <v>537</v>
      </c>
      <c r="W59" s="21" t="s">
        <v>538</v>
      </c>
      <c r="X59" s="21" t="s">
        <v>132</v>
      </c>
      <c r="Y59" s="21">
        <v>46293.0</v>
      </c>
      <c r="Z59" s="21" t="s">
        <v>133</v>
      </c>
    </row>
    <row r="60" ht="15.75" customHeight="1">
      <c r="A60" s="22" t="s">
        <v>98</v>
      </c>
      <c r="B60" s="22"/>
      <c r="C60" s="22" t="s">
        <v>540</v>
      </c>
      <c r="D60" s="22" t="s">
        <v>105</v>
      </c>
      <c r="E60" s="22" t="s">
        <v>106</v>
      </c>
      <c r="F60" s="37" t="s">
        <v>48</v>
      </c>
      <c r="G60" s="24">
        <v>4140.0</v>
      </c>
      <c r="H60" s="24">
        <v>146.0</v>
      </c>
      <c r="I60" s="24">
        <v>181.0</v>
      </c>
      <c r="J60" s="22"/>
      <c r="K60" s="25">
        <v>0.04371980676328503</v>
      </c>
      <c r="L60" s="22"/>
      <c r="M60" s="22"/>
      <c r="N60" s="22"/>
      <c r="O60" s="22"/>
      <c r="P60" s="26" t="s">
        <v>547</v>
      </c>
      <c r="Q60" s="22"/>
      <c r="R60" s="22" t="s">
        <v>125</v>
      </c>
      <c r="S60" s="22" t="s">
        <v>126</v>
      </c>
      <c r="T60" s="22" t="s">
        <v>548</v>
      </c>
      <c r="U60" s="22" t="s">
        <v>129</v>
      </c>
      <c r="V60" s="21" t="s">
        <v>549</v>
      </c>
      <c r="W60" s="21" t="s">
        <v>550</v>
      </c>
      <c r="X60" s="21" t="s">
        <v>132</v>
      </c>
      <c r="Y60" s="21">
        <v>46293.0</v>
      </c>
      <c r="Z60" s="21" t="s">
        <v>133</v>
      </c>
    </row>
    <row r="61" ht="15.75" customHeight="1">
      <c r="A61" s="22" t="s">
        <v>98</v>
      </c>
      <c r="B61" s="22"/>
      <c r="C61" s="22" t="s">
        <v>551</v>
      </c>
      <c r="D61" s="22" t="s">
        <v>105</v>
      </c>
      <c r="E61" s="22" t="s">
        <v>268</v>
      </c>
      <c r="F61" s="37" t="s">
        <v>48</v>
      </c>
      <c r="G61" s="24">
        <v>1300.0</v>
      </c>
      <c r="H61" s="24">
        <v>7.0</v>
      </c>
      <c r="I61" s="24">
        <v>166.0</v>
      </c>
      <c r="J61" s="30">
        <v>0.0123</v>
      </c>
      <c r="K61" s="25">
        <v>0.1276923076923077</v>
      </c>
      <c r="L61" s="22">
        <v>18.0</v>
      </c>
      <c r="M61" s="35" t="s">
        <v>239</v>
      </c>
      <c r="N61" s="24">
        <v>149.0</v>
      </c>
      <c r="O61" s="26" t="s">
        <v>557</v>
      </c>
      <c r="P61" s="26" t="s">
        <v>558</v>
      </c>
      <c r="Q61" s="22"/>
      <c r="R61" s="22" t="s">
        <v>125</v>
      </c>
      <c r="S61" s="22" t="s">
        <v>126</v>
      </c>
      <c r="T61" s="22" t="s">
        <v>559</v>
      </c>
      <c r="U61" s="22" t="s">
        <v>129</v>
      </c>
      <c r="V61" s="21" t="s">
        <v>560</v>
      </c>
      <c r="W61" s="21" t="s">
        <v>561</v>
      </c>
      <c r="X61" s="21" t="s">
        <v>132</v>
      </c>
      <c r="Y61" s="21">
        <v>46293.0</v>
      </c>
      <c r="Z61" s="21" t="s">
        <v>133</v>
      </c>
    </row>
    <row r="62" ht="15.75" customHeight="1">
      <c r="A62" s="22" t="s">
        <v>98</v>
      </c>
      <c r="B62" s="22"/>
      <c r="C62" s="22" t="s">
        <v>566</v>
      </c>
      <c r="D62" s="22" t="s">
        <v>105</v>
      </c>
      <c r="E62" s="22" t="s">
        <v>106</v>
      </c>
      <c r="F62" s="37" t="s">
        <v>48</v>
      </c>
      <c r="G62" s="24">
        <v>1900.0</v>
      </c>
      <c r="H62" s="24">
        <v>3.0</v>
      </c>
      <c r="I62" s="24">
        <v>132.0</v>
      </c>
      <c r="J62" s="22"/>
      <c r="K62" s="25">
        <v>0.06947368421052631</v>
      </c>
      <c r="L62" s="22"/>
      <c r="M62" s="22"/>
      <c r="N62" s="22"/>
      <c r="O62" s="22"/>
      <c r="P62" s="26" t="s">
        <v>567</v>
      </c>
      <c r="Q62" s="22"/>
      <c r="R62" s="22" t="s">
        <v>125</v>
      </c>
      <c r="S62" s="22" t="s">
        <v>126</v>
      </c>
      <c r="T62" s="22"/>
      <c r="U62" s="22" t="s">
        <v>129</v>
      </c>
      <c r="V62" s="21" t="s">
        <v>568</v>
      </c>
      <c r="W62" s="21" t="s">
        <v>570</v>
      </c>
      <c r="X62" s="21" t="s">
        <v>132</v>
      </c>
      <c r="Y62" s="21">
        <v>46293.0</v>
      </c>
      <c r="Z62" s="21" t="s">
        <v>133</v>
      </c>
    </row>
    <row r="63" ht="15.75" customHeight="1">
      <c r="A63" s="22" t="s">
        <v>98</v>
      </c>
      <c r="B63" s="22"/>
      <c r="C63" s="22" t="s">
        <v>572</v>
      </c>
      <c r="D63" s="22" t="s">
        <v>105</v>
      </c>
      <c r="E63" s="22" t="s">
        <v>106</v>
      </c>
      <c r="F63" s="37" t="s">
        <v>48</v>
      </c>
      <c r="G63" s="24">
        <v>3380.0</v>
      </c>
      <c r="H63" s="24">
        <v>112.0</v>
      </c>
      <c r="I63" s="24">
        <v>131.0</v>
      </c>
      <c r="J63" s="22"/>
      <c r="K63" s="25">
        <v>0.03875739644970414</v>
      </c>
      <c r="L63" s="22"/>
      <c r="M63" s="22"/>
      <c r="N63" s="22"/>
      <c r="O63" s="22"/>
      <c r="P63" s="26" t="s">
        <v>574</v>
      </c>
      <c r="Q63" s="22"/>
      <c r="R63" s="22" t="s">
        <v>125</v>
      </c>
      <c r="S63" s="22" t="s">
        <v>126</v>
      </c>
      <c r="T63" s="22"/>
      <c r="U63" s="22" t="s">
        <v>129</v>
      </c>
      <c r="V63" s="21" t="s">
        <v>578</v>
      </c>
      <c r="W63" s="21" t="s">
        <v>579</v>
      </c>
      <c r="X63" s="21" t="s">
        <v>132</v>
      </c>
      <c r="Y63" s="21">
        <v>46293.0</v>
      </c>
      <c r="Z63" s="21" t="s">
        <v>133</v>
      </c>
    </row>
    <row r="64" ht="15.75" customHeight="1">
      <c r="A64" s="22" t="s">
        <v>98</v>
      </c>
      <c r="B64" s="22"/>
      <c r="C64" s="22" t="s">
        <v>581</v>
      </c>
      <c r="D64" s="22" t="s">
        <v>105</v>
      </c>
      <c r="E64" s="22" t="s">
        <v>106</v>
      </c>
      <c r="F64" s="37" t="s">
        <v>48</v>
      </c>
      <c r="G64" s="24">
        <v>1430.0</v>
      </c>
      <c r="H64" s="24">
        <v>13.0</v>
      </c>
      <c r="I64" s="24">
        <v>116.0</v>
      </c>
      <c r="J64" s="22"/>
      <c r="K64" s="25">
        <v>0.08111888111888112</v>
      </c>
      <c r="L64" s="22"/>
      <c r="M64" s="22"/>
      <c r="N64" s="22"/>
      <c r="O64" s="22"/>
      <c r="P64" s="26" t="s">
        <v>587</v>
      </c>
      <c r="Q64" s="22"/>
      <c r="R64" s="22" t="s">
        <v>125</v>
      </c>
      <c r="S64" s="22" t="s">
        <v>126</v>
      </c>
      <c r="T64" s="22" t="s">
        <v>319</v>
      </c>
      <c r="U64" s="22" t="s">
        <v>129</v>
      </c>
      <c r="V64" s="21" t="s">
        <v>588</v>
      </c>
      <c r="W64" s="21" t="s">
        <v>589</v>
      </c>
      <c r="X64" s="21" t="s">
        <v>132</v>
      </c>
      <c r="Y64" s="21">
        <v>46293.0</v>
      </c>
      <c r="Z64" s="21" t="s">
        <v>133</v>
      </c>
    </row>
    <row r="65" ht="15.75" customHeight="1">
      <c r="A65" s="22" t="s">
        <v>98</v>
      </c>
      <c r="B65" s="22"/>
      <c r="C65" s="22" t="s">
        <v>592</v>
      </c>
      <c r="D65" s="22" t="s">
        <v>105</v>
      </c>
      <c r="E65" s="22" t="s">
        <v>268</v>
      </c>
      <c r="F65" s="37" t="s">
        <v>48</v>
      </c>
      <c r="G65" s="24">
        <v>7120.0</v>
      </c>
      <c r="H65" s="24">
        <v>77.0</v>
      </c>
      <c r="I65" s="24">
        <v>103.0</v>
      </c>
      <c r="J65" s="22"/>
      <c r="K65" s="25">
        <v>0.01446629213483146</v>
      </c>
      <c r="L65" s="22">
        <v>1.0</v>
      </c>
      <c r="M65" s="28" t="s">
        <v>137</v>
      </c>
      <c r="N65" s="22"/>
      <c r="O65" s="26" t="s">
        <v>595</v>
      </c>
      <c r="P65" s="26" t="s">
        <v>596</v>
      </c>
      <c r="Q65" s="22"/>
      <c r="R65" s="22" t="s">
        <v>125</v>
      </c>
      <c r="S65" s="22" t="s">
        <v>126</v>
      </c>
      <c r="T65" s="22"/>
      <c r="U65" s="22" t="s">
        <v>129</v>
      </c>
      <c r="V65" s="21" t="s">
        <v>597</v>
      </c>
      <c r="W65" s="21" t="s">
        <v>598</v>
      </c>
      <c r="X65" s="21" t="s">
        <v>132</v>
      </c>
      <c r="Y65" s="21">
        <v>46293.0</v>
      </c>
      <c r="Z65" s="21" t="s">
        <v>133</v>
      </c>
    </row>
    <row r="66" ht="15.75" customHeight="1">
      <c r="A66" s="22" t="s">
        <v>98</v>
      </c>
      <c r="B66" s="22"/>
      <c r="C66" s="22" t="s">
        <v>600</v>
      </c>
      <c r="D66" s="22" t="s">
        <v>412</v>
      </c>
      <c r="E66" s="22" t="s">
        <v>268</v>
      </c>
      <c r="F66" s="37" t="s">
        <v>48</v>
      </c>
      <c r="G66" s="24">
        <v>2879.0</v>
      </c>
      <c r="H66" s="24">
        <v>11.0</v>
      </c>
      <c r="I66" s="24">
        <v>89.0</v>
      </c>
      <c r="J66" s="30">
        <v>0.0224</v>
      </c>
      <c r="K66" s="25">
        <v>0.03091351163598472</v>
      </c>
      <c r="L66" s="22">
        <v>2.0</v>
      </c>
      <c r="M66" s="28" t="s">
        <v>137</v>
      </c>
      <c r="N66" s="24">
        <v>6.0</v>
      </c>
      <c r="O66" s="26" t="s">
        <v>602</v>
      </c>
      <c r="P66" s="26" t="s">
        <v>603</v>
      </c>
      <c r="Q66" s="22"/>
      <c r="R66" s="22" t="s">
        <v>125</v>
      </c>
      <c r="S66" s="22" t="s">
        <v>126</v>
      </c>
      <c r="T66" s="22"/>
      <c r="U66" s="22" t="s">
        <v>129</v>
      </c>
      <c r="V66" s="21" t="s">
        <v>604</v>
      </c>
      <c r="W66" s="21" t="s">
        <v>605</v>
      </c>
      <c r="X66" s="21" t="s">
        <v>132</v>
      </c>
      <c r="Y66" s="21">
        <v>46293.0</v>
      </c>
      <c r="Z66" s="21" t="s">
        <v>133</v>
      </c>
    </row>
    <row r="67" ht="15.75" customHeight="1">
      <c r="A67" s="22" t="s">
        <v>98</v>
      </c>
      <c r="B67" s="22"/>
      <c r="C67" s="22" t="s">
        <v>606</v>
      </c>
      <c r="D67" s="22" t="s">
        <v>105</v>
      </c>
      <c r="E67" s="22" t="s">
        <v>106</v>
      </c>
      <c r="F67" s="37" t="s">
        <v>48</v>
      </c>
      <c r="G67" s="24">
        <v>92.0</v>
      </c>
      <c r="H67" s="24">
        <v>105.0</v>
      </c>
      <c r="I67" s="24">
        <v>21.0</v>
      </c>
      <c r="J67" s="22"/>
      <c r="K67" s="25">
        <v>0.2282608695652174</v>
      </c>
      <c r="L67" s="22"/>
      <c r="M67" s="22"/>
      <c r="N67" s="22"/>
      <c r="O67" s="22"/>
      <c r="P67" s="26" t="s">
        <v>608</v>
      </c>
      <c r="Q67" s="22"/>
      <c r="R67" s="22" t="s">
        <v>125</v>
      </c>
      <c r="S67" s="22" t="s">
        <v>126</v>
      </c>
      <c r="T67" s="22" t="s">
        <v>609</v>
      </c>
      <c r="U67" s="22" t="s">
        <v>129</v>
      </c>
      <c r="V67" s="21" t="s">
        <v>611</v>
      </c>
      <c r="W67" s="21" t="s">
        <v>612</v>
      </c>
      <c r="X67" s="21" t="s">
        <v>132</v>
      </c>
      <c r="Y67" s="21">
        <v>46293.0</v>
      </c>
      <c r="Z67" s="21" t="s">
        <v>133</v>
      </c>
    </row>
    <row r="68" ht="15.75" customHeight="1">
      <c r="A68" s="22" t="s">
        <v>98</v>
      </c>
      <c r="B68" s="22"/>
      <c r="C68" s="22" t="s">
        <v>615</v>
      </c>
      <c r="D68" s="22" t="s">
        <v>105</v>
      </c>
      <c r="E68" s="22" t="s">
        <v>106</v>
      </c>
      <c r="F68" s="38" t="s">
        <v>54</v>
      </c>
      <c r="G68" s="24">
        <v>1500.0</v>
      </c>
      <c r="H68" s="24">
        <v>2.0</v>
      </c>
      <c r="I68" s="24">
        <v>97.0</v>
      </c>
      <c r="J68" s="22"/>
      <c r="K68" s="25">
        <v>0.06466666666666666</v>
      </c>
      <c r="L68" s="22"/>
      <c r="M68" s="22"/>
      <c r="N68" s="22"/>
      <c r="O68" s="22"/>
      <c r="P68" s="26" t="s">
        <v>617</v>
      </c>
      <c r="Q68" s="22"/>
      <c r="R68" s="22" t="s">
        <v>125</v>
      </c>
      <c r="S68" s="22" t="s">
        <v>126</v>
      </c>
      <c r="T68" s="22" t="s">
        <v>619</v>
      </c>
      <c r="U68" s="22" t="s">
        <v>129</v>
      </c>
      <c r="V68" s="21" t="s">
        <v>620</v>
      </c>
      <c r="W68" s="21" t="s">
        <v>621</v>
      </c>
      <c r="X68" s="21" t="s">
        <v>132</v>
      </c>
      <c r="Y68" s="21">
        <v>46293.0</v>
      </c>
      <c r="Z68" s="21" t="s">
        <v>133</v>
      </c>
    </row>
    <row r="69" ht="15.75" customHeight="1">
      <c r="A69" s="22" t="s">
        <v>98</v>
      </c>
      <c r="B69" s="22"/>
      <c r="C69" s="22" t="s">
        <v>622</v>
      </c>
      <c r="D69" s="22" t="s">
        <v>105</v>
      </c>
      <c r="E69" s="22" t="s">
        <v>106</v>
      </c>
      <c r="F69" s="38" t="s">
        <v>54</v>
      </c>
      <c r="G69" s="24">
        <v>891.0</v>
      </c>
      <c r="H69" s="24">
        <v>2.0</v>
      </c>
      <c r="I69" s="24">
        <v>58.0</v>
      </c>
      <c r="J69" s="22"/>
      <c r="K69" s="25">
        <v>0.06509539842873176</v>
      </c>
      <c r="L69" s="22"/>
      <c r="M69" s="22"/>
      <c r="N69" s="22"/>
      <c r="O69" s="22"/>
      <c r="P69" s="26" t="s">
        <v>627</v>
      </c>
      <c r="Q69" s="22"/>
      <c r="R69" s="22" t="s">
        <v>125</v>
      </c>
      <c r="S69" s="22" t="s">
        <v>126</v>
      </c>
      <c r="T69" s="22" t="s">
        <v>619</v>
      </c>
      <c r="U69" s="22" t="s">
        <v>129</v>
      </c>
      <c r="V69" s="21" t="s">
        <v>632</v>
      </c>
      <c r="W69" s="21" t="s">
        <v>633</v>
      </c>
      <c r="X69" s="21" t="s">
        <v>132</v>
      </c>
      <c r="Y69" s="21">
        <v>46293.0</v>
      </c>
      <c r="Z69" s="21" t="s">
        <v>133</v>
      </c>
    </row>
    <row r="70" ht="15.75" customHeight="1">
      <c r="A70" s="22" t="s">
        <v>98</v>
      </c>
      <c r="B70" s="22"/>
      <c r="C70" s="22" t="s">
        <v>634</v>
      </c>
      <c r="D70" s="22" t="s">
        <v>105</v>
      </c>
      <c r="E70" s="22" t="s">
        <v>106</v>
      </c>
      <c r="F70" s="38" t="s">
        <v>54</v>
      </c>
      <c r="G70" s="24">
        <v>33.0</v>
      </c>
      <c r="H70" s="24">
        <v>2.0</v>
      </c>
      <c r="I70" s="24">
        <v>29.0</v>
      </c>
      <c r="J70" s="22"/>
      <c r="K70" s="25">
        <v>0.8787878787878788</v>
      </c>
      <c r="L70" s="22"/>
      <c r="M70" s="22"/>
      <c r="N70" s="22"/>
      <c r="O70" s="22"/>
      <c r="P70" s="26" t="s">
        <v>638</v>
      </c>
      <c r="Q70" s="22"/>
      <c r="R70" s="22" t="s">
        <v>125</v>
      </c>
      <c r="S70" s="22" t="s">
        <v>126</v>
      </c>
      <c r="T70" s="22" t="s">
        <v>619</v>
      </c>
      <c r="U70" s="22" t="s">
        <v>129</v>
      </c>
      <c r="V70" s="21" t="s">
        <v>639</v>
      </c>
      <c r="W70" s="21" t="s">
        <v>640</v>
      </c>
      <c r="X70" s="21" t="s">
        <v>132</v>
      </c>
      <c r="Y70" s="21">
        <v>46293.0</v>
      </c>
      <c r="Z70" s="21" t="s">
        <v>133</v>
      </c>
    </row>
    <row r="71" ht="15.75" customHeight="1">
      <c r="A71" s="22" t="s">
        <v>98</v>
      </c>
      <c r="B71" s="22"/>
      <c r="C71" s="22" t="s">
        <v>641</v>
      </c>
      <c r="D71" s="22" t="s">
        <v>105</v>
      </c>
      <c r="E71" s="22" t="s">
        <v>106</v>
      </c>
      <c r="F71" s="38" t="s">
        <v>54</v>
      </c>
      <c r="G71" s="24">
        <v>486.0</v>
      </c>
      <c r="H71" s="22"/>
      <c r="I71" s="22"/>
      <c r="J71" s="22"/>
      <c r="K71" s="22"/>
      <c r="L71" s="22"/>
      <c r="M71" s="22"/>
      <c r="N71" s="22"/>
      <c r="O71" s="22"/>
      <c r="P71" s="26" t="s">
        <v>645</v>
      </c>
      <c r="Q71" s="22"/>
      <c r="R71" s="22" t="s">
        <v>125</v>
      </c>
      <c r="S71" s="22" t="s">
        <v>126</v>
      </c>
      <c r="T71" s="22" t="s">
        <v>648</v>
      </c>
      <c r="U71" s="22" t="s">
        <v>129</v>
      </c>
      <c r="V71" s="21" t="s">
        <v>650</v>
      </c>
      <c r="W71" s="21" t="s">
        <v>651</v>
      </c>
      <c r="X71" s="21" t="s">
        <v>132</v>
      </c>
      <c r="Y71" s="21">
        <v>46293.0</v>
      </c>
      <c r="Z71" s="21" t="s">
        <v>133</v>
      </c>
    </row>
    <row r="72" ht="15.75" customHeight="1">
      <c r="A72" s="22" t="s">
        <v>98</v>
      </c>
      <c r="B72" s="22"/>
      <c r="C72" s="22" t="s">
        <v>652</v>
      </c>
      <c r="D72" s="22" t="s">
        <v>154</v>
      </c>
      <c r="E72" s="22" t="s">
        <v>155</v>
      </c>
      <c r="F72" s="38" t="s">
        <v>54</v>
      </c>
      <c r="G72" s="24">
        <v>34200.0</v>
      </c>
      <c r="H72" s="22"/>
      <c r="I72" s="22"/>
      <c r="J72" s="22"/>
      <c r="K72" s="22"/>
      <c r="L72" s="22"/>
      <c r="M72" s="22"/>
      <c r="N72" s="22"/>
      <c r="O72" s="22"/>
      <c r="P72" s="22"/>
      <c r="Q72" s="26" t="s">
        <v>655</v>
      </c>
      <c r="R72" s="22" t="s">
        <v>125</v>
      </c>
      <c r="S72" s="22" t="s">
        <v>126</v>
      </c>
      <c r="T72" s="22" t="s">
        <v>657</v>
      </c>
      <c r="U72" s="22" t="s">
        <v>129</v>
      </c>
      <c r="V72" s="21" t="s">
        <v>658</v>
      </c>
      <c r="W72" s="21" t="s">
        <v>659</v>
      </c>
      <c r="X72" s="21" t="s">
        <v>132</v>
      </c>
      <c r="Y72" s="21">
        <v>46293.0</v>
      </c>
      <c r="Z72" s="21" t="s">
        <v>133</v>
      </c>
    </row>
    <row r="73" ht="15.75" customHeight="1">
      <c r="A73" s="22" t="s">
        <v>98</v>
      </c>
      <c r="B73" s="22"/>
      <c r="C73" s="22" t="s">
        <v>660</v>
      </c>
      <c r="D73" s="22" t="s">
        <v>154</v>
      </c>
      <c r="E73" s="22" t="s">
        <v>155</v>
      </c>
      <c r="F73" s="38" t="s">
        <v>54</v>
      </c>
      <c r="G73" s="24">
        <v>17700.0</v>
      </c>
      <c r="H73" s="22"/>
      <c r="I73" s="22"/>
      <c r="J73" s="22"/>
      <c r="K73" s="22"/>
      <c r="L73" s="22"/>
      <c r="M73" s="22"/>
      <c r="N73" s="22"/>
      <c r="O73" s="22"/>
      <c r="P73" s="22"/>
      <c r="Q73" s="26" t="s">
        <v>664</v>
      </c>
      <c r="R73" s="22" t="s">
        <v>125</v>
      </c>
      <c r="S73" s="22" t="s">
        <v>126</v>
      </c>
      <c r="T73" s="22" t="s">
        <v>657</v>
      </c>
      <c r="U73" s="22" t="s">
        <v>129</v>
      </c>
      <c r="V73" s="21" t="s">
        <v>665</v>
      </c>
      <c r="W73" s="21" t="s">
        <v>666</v>
      </c>
      <c r="X73" s="21" t="s">
        <v>132</v>
      </c>
      <c r="Y73" s="21">
        <v>46293.0</v>
      </c>
      <c r="Z73" s="21" t="s">
        <v>133</v>
      </c>
    </row>
    <row r="74" ht="15.75" customHeight="1">
      <c r="A74" s="22" t="s">
        <v>98</v>
      </c>
      <c r="B74" s="22"/>
      <c r="C74" s="22" t="s">
        <v>667</v>
      </c>
      <c r="D74" s="22" t="s">
        <v>412</v>
      </c>
      <c r="E74" s="22" t="s">
        <v>413</v>
      </c>
      <c r="F74" s="38" t="s">
        <v>54</v>
      </c>
      <c r="G74" s="24">
        <v>12.0</v>
      </c>
      <c r="H74" s="22"/>
      <c r="I74" s="22"/>
      <c r="J74" s="22"/>
      <c r="K74" s="22"/>
      <c r="L74" s="22"/>
      <c r="M74" s="22"/>
      <c r="N74" s="22"/>
      <c r="O74" s="26" t="s">
        <v>668</v>
      </c>
      <c r="P74" s="22"/>
      <c r="Q74" s="26" t="s">
        <v>669</v>
      </c>
      <c r="R74" s="22" t="s">
        <v>125</v>
      </c>
      <c r="S74" s="22" t="s">
        <v>126</v>
      </c>
      <c r="T74" s="22" t="s">
        <v>670</v>
      </c>
      <c r="U74" s="22" t="s">
        <v>129</v>
      </c>
      <c r="V74" s="21" t="s">
        <v>672</v>
      </c>
      <c r="W74" s="21" t="s">
        <v>673</v>
      </c>
      <c r="X74" s="21" t="s">
        <v>147</v>
      </c>
      <c r="Y74" s="21">
        <v>46293.0</v>
      </c>
      <c r="Z74" s="21" t="s">
        <v>133</v>
      </c>
    </row>
    <row r="75" ht="15.75" customHeight="1">
      <c r="A75" s="22" t="s">
        <v>98</v>
      </c>
      <c r="B75" s="22"/>
      <c r="C75" s="22" t="s">
        <v>675</v>
      </c>
      <c r="D75" s="22" t="s">
        <v>154</v>
      </c>
      <c r="E75" s="22" t="s">
        <v>155</v>
      </c>
      <c r="F75" s="38" t="s">
        <v>54</v>
      </c>
      <c r="G75" s="24">
        <v>11900.0</v>
      </c>
      <c r="H75" s="22"/>
      <c r="I75" s="22"/>
      <c r="J75" s="22"/>
      <c r="K75" s="22"/>
      <c r="L75" s="22"/>
      <c r="M75" s="22"/>
      <c r="N75" s="22"/>
      <c r="O75" s="22"/>
      <c r="P75" s="22"/>
      <c r="Q75" s="26" t="s">
        <v>678</v>
      </c>
      <c r="R75" s="22" t="s">
        <v>125</v>
      </c>
      <c r="S75" s="22" t="s">
        <v>126</v>
      </c>
      <c r="T75" s="22" t="s">
        <v>657</v>
      </c>
      <c r="U75" s="22" t="s">
        <v>129</v>
      </c>
      <c r="V75" s="21" t="s">
        <v>681</v>
      </c>
      <c r="W75" s="21" t="s">
        <v>682</v>
      </c>
      <c r="X75" s="21" t="s">
        <v>132</v>
      </c>
      <c r="Y75" s="21">
        <v>46293.0</v>
      </c>
      <c r="Z75" s="21" t="s">
        <v>133</v>
      </c>
    </row>
    <row r="76" ht="15.75" customHeight="1">
      <c r="A76" s="22" t="s">
        <v>98</v>
      </c>
      <c r="B76" s="22"/>
      <c r="C76" s="22" t="s">
        <v>683</v>
      </c>
      <c r="D76" s="22" t="s">
        <v>412</v>
      </c>
      <c r="E76" s="22" t="s">
        <v>413</v>
      </c>
      <c r="F76" s="38" t="s">
        <v>54</v>
      </c>
      <c r="G76" s="24">
        <v>2480.0</v>
      </c>
      <c r="H76" s="22"/>
      <c r="I76" s="22"/>
      <c r="J76" s="22"/>
      <c r="K76" s="22"/>
      <c r="L76" s="22">
        <v>2.0</v>
      </c>
      <c r="M76" s="28" t="s">
        <v>137</v>
      </c>
      <c r="N76" s="22"/>
      <c r="O76" s="26" t="s">
        <v>686</v>
      </c>
      <c r="P76" s="22"/>
      <c r="Q76" s="26" t="s">
        <v>687</v>
      </c>
      <c r="R76" s="22" t="s">
        <v>125</v>
      </c>
      <c r="S76" s="22" t="s">
        <v>126</v>
      </c>
      <c r="T76" s="22" t="s">
        <v>689</v>
      </c>
      <c r="U76" s="22" t="s">
        <v>129</v>
      </c>
      <c r="V76" s="21" t="s">
        <v>690</v>
      </c>
      <c r="W76" s="21" t="s">
        <v>692</v>
      </c>
      <c r="X76" s="21" t="s">
        <v>132</v>
      </c>
      <c r="Y76" s="21">
        <v>46293.0</v>
      </c>
      <c r="Z76" s="21" t="s">
        <v>133</v>
      </c>
    </row>
    <row r="77" ht="15.75" customHeight="1">
      <c r="A77" s="22" t="s">
        <v>98</v>
      </c>
      <c r="B77" s="22"/>
      <c r="C77" s="22" t="s">
        <v>694</v>
      </c>
      <c r="D77" s="22" t="s">
        <v>154</v>
      </c>
      <c r="E77" s="22" t="s">
        <v>155</v>
      </c>
      <c r="F77" s="38" t="s">
        <v>54</v>
      </c>
      <c r="G77" s="24">
        <v>10700.0</v>
      </c>
      <c r="H77" s="22"/>
      <c r="I77" s="22"/>
      <c r="J77" s="22"/>
      <c r="K77" s="22"/>
      <c r="L77" s="22"/>
      <c r="M77" s="22"/>
      <c r="N77" s="22"/>
      <c r="O77" s="22"/>
      <c r="P77" s="22"/>
      <c r="Q77" s="26" t="s">
        <v>695</v>
      </c>
      <c r="R77" s="22" t="s">
        <v>125</v>
      </c>
      <c r="S77" s="22" t="s">
        <v>126</v>
      </c>
      <c r="T77" s="22" t="s">
        <v>657</v>
      </c>
      <c r="U77" s="22" t="s">
        <v>129</v>
      </c>
      <c r="V77" s="21" t="s">
        <v>698</v>
      </c>
      <c r="W77" s="21" t="s">
        <v>699</v>
      </c>
      <c r="X77" s="21" t="s">
        <v>132</v>
      </c>
      <c r="Y77" s="21">
        <v>46293.0</v>
      </c>
      <c r="Z77" s="21" t="s">
        <v>133</v>
      </c>
    </row>
    <row r="78" ht="15.75" customHeight="1">
      <c r="A78" s="22" t="s">
        <v>98</v>
      </c>
      <c r="B78" s="22"/>
      <c r="C78" s="22" t="s">
        <v>700</v>
      </c>
      <c r="D78" s="22" t="s">
        <v>154</v>
      </c>
      <c r="E78" s="22" t="s">
        <v>155</v>
      </c>
      <c r="F78" s="38" t="s">
        <v>54</v>
      </c>
      <c r="G78" s="24">
        <v>10200.0</v>
      </c>
      <c r="H78" s="22"/>
      <c r="I78" s="22"/>
      <c r="J78" s="22"/>
      <c r="K78" s="22"/>
      <c r="L78" s="22"/>
      <c r="M78" s="22"/>
      <c r="N78" s="22"/>
      <c r="O78" s="22"/>
      <c r="P78" s="22"/>
      <c r="Q78" s="26" t="s">
        <v>701</v>
      </c>
      <c r="R78" s="22" t="s">
        <v>125</v>
      </c>
      <c r="S78" s="22" t="s">
        <v>126</v>
      </c>
      <c r="T78" s="22" t="s">
        <v>657</v>
      </c>
      <c r="U78" s="22" t="s">
        <v>129</v>
      </c>
      <c r="V78" s="21" t="s">
        <v>702</v>
      </c>
      <c r="W78" s="21" t="s">
        <v>703</v>
      </c>
      <c r="X78" s="21" t="s">
        <v>132</v>
      </c>
      <c r="Y78" s="21">
        <v>46293.0</v>
      </c>
      <c r="Z78" s="21" t="s">
        <v>133</v>
      </c>
    </row>
    <row r="79" ht="15.75" customHeight="1">
      <c r="A79" s="22" t="s">
        <v>98</v>
      </c>
      <c r="B79" s="22"/>
      <c r="C79" s="22" t="s">
        <v>705</v>
      </c>
      <c r="D79" s="22" t="s">
        <v>154</v>
      </c>
      <c r="E79" s="22" t="s">
        <v>155</v>
      </c>
      <c r="F79" s="38" t="s">
        <v>54</v>
      </c>
      <c r="G79" s="24">
        <v>9640.0</v>
      </c>
      <c r="H79" s="22"/>
      <c r="I79" s="22"/>
      <c r="J79" s="22"/>
      <c r="K79" s="22"/>
      <c r="L79" s="22"/>
      <c r="M79" s="22"/>
      <c r="N79" s="22"/>
      <c r="O79" s="22"/>
      <c r="P79" s="22"/>
      <c r="Q79" s="26" t="s">
        <v>707</v>
      </c>
      <c r="R79" s="22" t="s">
        <v>125</v>
      </c>
      <c r="S79" s="22" t="s">
        <v>126</v>
      </c>
      <c r="T79" s="22" t="s">
        <v>657</v>
      </c>
      <c r="U79" s="22" t="s">
        <v>129</v>
      </c>
      <c r="V79" s="21" t="s">
        <v>708</v>
      </c>
      <c r="W79" s="21" t="s">
        <v>709</v>
      </c>
      <c r="X79" s="21" t="s">
        <v>132</v>
      </c>
      <c r="Y79" s="21">
        <v>46293.0</v>
      </c>
      <c r="Z79" s="21" t="s">
        <v>133</v>
      </c>
    </row>
    <row r="80" ht="15.75" customHeight="1">
      <c r="A80" s="22" t="s">
        <v>98</v>
      </c>
      <c r="B80" s="22"/>
      <c r="C80" s="22" t="s">
        <v>712</v>
      </c>
      <c r="D80" s="22" t="s">
        <v>154</v>
      </c>
      <c r="E80" s="22" t="s">
        <v>155</v>
      </c>
      <c r="F80" s="38" t="s">
        <v>54</v>
      </c>
      <c r="G80" s="24">
        <v>4720.0</v>
      </c>
      <c r="H80" s="22"/>
      <c r="I80" s="22"/>
      <c r="J80" s="22"/>
      <c r="K80" s="22"/>
      <c r="L80" s="22"/>
      <c r="M80" s="22"/>
      <c r="N80" s="22"/>
      <c r="O80" s="22"/>
      <c r="P80" s="22"/>
      <c r="Q80" s="26" t="s">
        <v>718</v>
      </c>
      <c r="R80" s="22" t="s">
        <v>125</v>
      </c>
      <c r="S80" s="22" t="s">
        <v>126</v>
      </c>
      <c r="T80" s="22" t="s">
        <v>657</v>
      </c>
      <c r="U80" s="22" t="s">
        <v>129</v>
      </c>
      <c r="V80" s="21" t="s">
        <v>719</v>
      </c>
      <c r="W80" s="21" t="s">
        <v>720</v>
      </c>
      <c r="X80" s="21" t="s">
        <v>132</v>
      </c>
      <c r="Y80" s="21">
        <v>46293.0</v>
      </c>
      <c r="Z80" s="21" t="s">
        <v>133</v>
      </c>
    </row>
    <row r="81" ht="15.75" customHeight="1">
      <c r="A81" s="22" t="s">
        <v>98</v>
      </c>
      <c r="B81" s="22"/>
      <c r="C81" s="22" t="s">
        <v>721</v>
      </c>
      <c r="D81" s="22" t="s">
        <v>154</v>
      </c>
      <c r="E81" s="22" t="s">
        <v>155</v>
      </c>
      <c r="F81" s="38" t="s">
        <v>54</v>
      </c>
      <c r="G81" s="24">
        <v>2300.0</v>
      </c>
      <c r="H81" s="22"/>
      <c r="I81" s="22"/>
      <c r="J81" s="22"/>
      <c r="K81" s="22"/>
      <c r="L81" s="22"/>
      <c r="M81" s="22"/>
      <c r="N81" s="22"/>
      <c r="O81" s="22"/>
      <c r="P81" s="22"/>
      <c r="Q81" s="26" t="s">
        <v>724</v>
      </c>
      <c r="R81" s="22" t="s">
        <v>125</v>
      </c>
      <c r="S81" s="22" t="s">
        <v>126</v>
      </c>
      <c r="T81" s="22" t="s">
        <v>657</v>
      </c>
      <c r="U81" s="22" t="s">
        <v>129</v>
      </c>
      <c r="V81" s="21" t="s">
        <v>727</v>
      </c>
      <c r="W81" s="21" t="s">
        <v>728</v>
      </c>
      <c r="X81" s="21" t="s">
        <v>132</v>
      </c>
      <c r="Y81" s="21">
        <v>46293.0</v>
      </c>
      <c r="Z81" s="21" t="s">
        <v>133</v>
      </c>
    </row>
    <row r="82" ht="15.75" customHeight="1">
      <c r="A82" s="22" t="s">
        <v>98</v>
      </c>
      <c r="B82" s="22"/>
      <c r="C82" s="22" t="s">
        <v>729</v>
      </c>
      <c r="D82" s="22" t="s">
        <v>105</v>
      </c>
      <c r="E82" s="22" t="s">
        <v>106</v>
      </c>
      <c r="F82" s="38" t="s">
        <v>54</v>
      </c>
      <c r="G82" s="24">
        <v>1630.0</v>
      </c>
      <c r="H82" s="22"/>
      <c r="I82" s="22"/>
      <c r="J82" s="22"/>
      <c r="K82" s="22"/>
      <c r="L82" s="22"/>
      <c r="M82" s="22"/>
      <c r="N82" s="22"/>
      <c r="O82" s="22"/>
      <c r="P82" s="26" t="s">
        <v>731</v>
      </c>
      <c r="Q82" s="22"/>
      <c r="R82" s="22" t="s">
        <v>125</v>
      </c>
      <c r="S82" s="22" t="s">
        <v>126</v>
      </c>
      <c r="T82" s="22" t="s">
        <v>733</v>
      </c>
      <c r="U82" s="22" t="s">
        <v>129</v>
      </c>
      <c r="V82" s="21" t="s">
        <v>734</v>
      </c>
      <c r="W82" s="21" t="s">
        <v>736</v>
      </c>
      <c r="X82" s="21" t="s">
        <v>132</v>
      </c>
      <c r="Y82" s="21">
        <v>46293.0</v>
      </c>
      <c r="Z82" s="21" t="s">
        <v>133</v>
      </c>
    </row>
    <row r="83" ht="15.75" customHeight="1">
      <c r="A83" s="22" t="s">
        <v>98</v>
      </c>
      <c r="B83" s="22"/>
      <c r="C83" s="22" t="s">
        <v>738</v>
      </c>
      <c r="D83" s="22" t="s">
        <v>105</v>
      </c>
      <c r="E83" s="22" t="s">
        <v>106</v>
      </c>
      <c r="F83" s="38" t="s">
        <v>54</v>
      </c>
      <c r="G83" s="24">
        <v>1380.0</v>
      </c>
      <c r="H83" s="22"/>
      <c r="I83" s="22"/>
      <c r="J83" s="22"/>
      <c r="K83" s="22"/>
      <c r="L83" s="22"/>
      <c r="M83" s="22"/>
      <c r="N83" s="22"/>
      <c r="O83" s="22"/>
      <c r="P83" s="26" t="s">
        <v>739</v>
      </c>
      <c r="Q83" s="22"/>
      <c r="R83" s="22" t="s">
        <v>125</v>
      </c>
      <c r="S83" s="22" t="s">
        <v>126</v>
      </c>
      <c r="T83" s="22" t="s">
        <v>733</v>
      </c>
      <c r="U83" s="22" t="s">
        <v>129</v>
      </c>
      <c r="V83" s="21" t="s">
        <v>741</v>
      </c>
      <c r="W83" s="21" t="s">
        <v>743</v>
      </c>
      <c r="X83" s="21" t="s">
        <v>132</v>
      </c>
      <c r="Y83" s="21">
        <v>46293.0</v>
      </c>
      <c r="Z83" s="21" t="s">
        <v>133</v>
      </c>
    </row>
    <row r="84" ht="15.75" customHeight="1">
      <c r="A84" s="22" t="s">
        <v>98</v>
      </c>
      <c r="B84" s="22"/>
      <c r="C84" s="22" t="s">
        <v>746</v>
      </c>
      <c r="D84" s="22" t="s">
        <v>105</v>
      </c>
      <c r="E84" s="22" t="s">
        <v>106</v>
      </c>
      <c r="F84" s="38" t="s">
        <v>54</v>
      </c>
      <c r="G84" s="24">
        <v>610.0</v>
      </c>
      <c r="H84" s="22"/>
      <c r="I84" s="22"/>
      <c r="J84" s="22"/>
      <c r="K84" s="22"/>
      <c r="L84" s="22"/>
      <c r="M84" s="22"/>
      <c r="N84" s="22"/>
      <c r="O84" s="22"/>
      <c r="P84" s="26" t="s">
        <v>748</v>
      </c>
      <c r="Q84" s="22"/>
      <c r="R84" s="22" t="s">
        <v>125</v>
      </c>
      <c r="S84" s="22" t="s">
        <v>126</v>
      </c>
      <c r="T84" s="22" t="s">
        <v>733</v>
      </c>
      <c r="U84" s="22" t="s">
        <v>129</v>
      </c>
      <c r="V84" s="21" t="s">
        <v>749</v>
      </c>
      <c r="W84" s="21" t="s">
        <v>750</v>
      </c>
      <c r="X84" s="21" t="s">
        <v>132</v>
      </c>
      <c r="Y84" s="21">
        <v>46293.0</v>
      </c>
      <c r="Z84" s="21" t="s">
        <v>133</v>
      </c>
    </row>
    <row r="85" ht="15.75" customHeight="1">
      <c r="A85" s="22" t="s">
        <v>98</v>
      </c>
      <c r="B85" s="22"/>
      <c r="C85" s="22" t="s">
        <v>753</v>
      </c>
      <c r="D85" s="22" t="s">
        <v>105</v>
      </c>
      <c r="E85" s="22" t="s">
        <v>106</v>
      </c>
      <c r="F85" s="38" t="s">
        <v>54</v>
      </c>
      <c r="G85" s="24">
        <v>274.0</v>
      </c>
      <c r="H85" s="22"/>
      <c r="I85" s="22"/>
      <c r="J85" s="22"/>
      <c r="K85" s="22"/>
      <c r="L85" s="22"/>
      <c r="M85" s="22"/>
      <c r="N85" s="22"/>
      <c r="O85" s="22"/>
      <c r="P85" s="26" t="s">
        <v>755</v>
      </c>
      <c r="Q85" s="22"/>
      <c r="R85" s="22" t="s">
        <v>125</v>
      </c>
      <c r="S85" s="22" t="s">
        <v>126</v>
      </c>
      <c r="T85" s="22" t="s">
        <v>733</v>
      </c>
      <c r="U85" s="22" t="s">
        <v>129</v>
      </c>
      <c r="V85" s="21" t="s">
        <v>756</v>
      </c>
      <c r="W85" s="21" t="s">
        <v>757</v>
      </c>
      <c r="X85" s="21" t="s">
        <v>132</v>
      </c>
      <c r="Y85" s="21">
        <v>46293.0</v>
      </c>
      <c r="Z85" s="21" t="s">
        <v>133</v>
      </c>
    </row>
    <row r="86" ht="15.75" customHeight="1">
      <c r="A86" s="22" t="s">
        <v>98</v>
      </c>
      <c r="B86" s="22"/>
      <c r="C86" s="22" t="s">
        <v>759</v>
      </c>
      <c r="D86" s="22" t="s">
        <v>105</v>
      </c>
      <c r="E86" s="22" t="s">
        <v>106</v>
      </c>
      <c r="F86" s="38" t="s">
        <v>54</v>
      </c>
      <c r="G86" s="24">
        <v>261.0</v>
      </c>
      <c r="H86" s="22"/>
      <c r="I86" s="22"/>
      <c r="J86" s="22"/>
      <c r="K86" s="22"/>
      <c r="L86" s="22"/>
      <c r="M86" s="22"/>
      <c r="N86" s="22"/>
      <c r="O86" s="22"/>
      <c r="P86" s="26" t="s">
        <v>764</v>
      </c>
      <c r="Q86" s="22"/>
      <c r="R86" s="22" t="s">
        <v>125</v>
      </c>
      <c r="S86" s="22" t="s">
        <v>126</v>
      </c>
      <c r="T86" s="22" t="s">
        <v>733</v>
      </c>
      <c r="U86" s="22" t="s">
        <v>129</v>
      </c>
      <c r="V86" s="21" t="s">
        <v>765</v>
      </c>
      <c r="W86" s="21" t="s">
        <v>766</v>
      </c>
      <c r="X86" s="21" t="s">
        <v>132</v>
      </c>
      <c r="Y86" s="21">
        <v>46293.0</v>
      </c>
      <c r="Z86" s="21" t="s">
        <v>133</v>
      </c>
    </row>
    <row r="87" ht="15.75" customHeight="1">
      <c r="A87" s="22" t="s">
        <v>98</v>
      </c>
      <c r="B87" s="22"/>
      <c r="C87" s="22" t="s">
        <v>771</v>
      </c>
      <c r="D87" s="22" t="s">
        <v>105</v>
      </c>
      <c r="E87" s="22" t="s">
        <v>106</v>
      </c>
      <c r="F87" s="38" t="s">
        <v>54</v>
      </c>
      <c r="G87" s="22"/>
      <c r="H87" s="22"/>
      <c r="I87" s="22"/>
      <c r="J87" s="22"/>
      <c r="K87" s="22"/>
      <c r="L87" s="22"/>
      <c r="M87" s="22"/>
      <c r="N87" s="22"/>
      <c r="O87" s="22"/>
      <c r="P87" s="26" t="s">
        <v>776</v>
      </c>
      <c r="Q87" s="22"/>
      <c r="R87" s="22" t="s">
        <v>125</v>
      </c>
      <c r="S87" s="22" t="s">
        <v>126</v>
      </c>
      <c r="T87" s="22" t="s">
        <v>780</v>
      </c>
      <c r="U87" s="22" t="s">
        <v>129</v>
      </c>
      <c r="V87" s="21" t="s">
        <v>781</v>
      </c>
      <c r="W87" s="21" t="s">
        <v>783</v>
      </c>
      <c r="X87" s="21" t="s">
        <v>132</v>
      </c>
      <c r="Y87" s="21">
        <v>46293.0</v>
      </c>
      <c r="Z87" s="21" t="s">
        <v>133</v>
      </c>
    </row>
    <row r="88" ht="15.75" customHeight="1">
      <c r="A88" s="22" t="s">
        <v>98</v>
      </c>
      <c r="B88" s="22"/>
      <c r="C88" s="22" t="s">
        <v>785</v>
      </c>
      <c r="D88" s="22" t="s">
        <v>105</v>
      </c>
      <c r="E88" s="22" t="s">
        <v>106</v>
      </c>
      <c r="F88" s="38" t="s">
        <v>54</v>
      </c>
      <c r="G88" s="24">
        <v>7.0</v>
      </c>
      <c r="H88" s="22"/>
      <c r="I88" s="22"/>
      <c r="J88" s="22"/>
      <c r="K88" s="22"/>
      <c r="L88" s="22"/>
      <c r="M88" s="22"/>
      <c r="N88" s="22"/>
      <c r="O88" s="22"/>
      <c r="P88" s="26" t="s">
        <v>787</v>
      </c>
      <c r="Q88" s="22"/>
      <c r="R88" s="22" t="s">
        <v>125</v>
      </c>
      <c r="S88" s="22" t="s">
        <v>126</v>
      </c>
      <c r="T88" s="22" t="s">
        <v>733</v>
      </c>
      <c r="U88" s="22" t="s">
        <v>129</v>
      </c>
      <c r="V88" s="21" t="s">
        <v>788</v>
      </c>
      <c r="W88" s="21" t="s">
        <v>789</v>
      </c>
      <c r="X88" s="21" t="s">
        <v>132</v>
      </c>
      <c r="Y88" s="21">
        <v>46293.0</v>
      </c>
      <c r="Z88" s="21" t="s">
        <v>133</v>
      </c>
    </row>
    <row r="89" ht="15.75" customHeight="1">
      <c r="A89" s="22" t="s">
        <v>98</v>
      </c>
      <c r="B89" s="22"/>
      <c r="C89" s="22" t="s">
        <v>792</v>
      </c>
      <c r="D89" s="22" t="s">
        <v>105</v>
      </c>
      <c r="E89" s="22" t="s">
        <v>106</v>
      </c>
      <c r="F89" s="38" t="s">
        <v>54</v>
      </c>
      <c r="G89" s="24">
        <v>5.0</v>
      </c>
      <c r="H89" s="22"/>
      <c r="I89" s="22"/>
      <c r="J89" s="22"/>
      <c r="K89" s="22"/>
      <c r="L89" s="22"/>
      <c r="M89" s="22"/>
      <c r="N89" s="22"/>
      <c r="O89" s="22"/>
      <c r="P89" s="26" t="s">
        <v>796</v>
      </c>
      <c r="Q89" s="22"/>
      <c r="R89" s="22" t="s">
        <v>125</v>
      </c>
      <c r="S89" s="22" t="s">
        <v>126</v>
      </c>
      <c r="T89" s="22" t="s">
        <v>733</v>
      </c>
      <c r="U89" s="22" t="s">
        <v>129</v>
      </c>
      <c r="V89" s="21" t="s">
        <v>797</v>
      </c>
      <c r="W89" s="21" t="s">
        <v>798</v>
      </c>
      <c r="X89" s="21" t="s">
        <v>132</v>
      </c>
      <c r="Y89" s="21">
        <v>46293.0</v>
      </c>
      <c r="Z89" s="21" t="s">
        <v>133</v>
      </c>
    </row>
    <row r="90" ht="15.75" customHeight="1">
      <c r="A90" s="22" t="s">
        <v>802</v>
      </c>
      <c r="B90" s="22" t="s">
        <v>805</v>
      </c>
      <c r="C90" s="22" t="s">
        <v>186</v>
      </c>
      <c r="D90" s="22" t="s">
        <v>412</v>
      </c>
      <c r="E90" s="22" t="s">
        <v>413</v>
      </c>
      <c r="F90" s="23" t="s">
        <v>31</v>
      </c>
      <c r="G90" s="24">
        <v>742429.0</v>
      </c>
      <c r="H90" s="24">
        <v>40.0</v>
      </c>
      <c r="I90" s="24">
        <v>89477.0</v>
      </c>
      <c r="J90" s="30">
        <v>0.0078</v>
      </c>
      <c r="K90" s="25">
        <v>0.1205192685091773</v>
      </c>
      <c r="L90" s="22">
        <v>235.0</v>
      </c>
      <c r="M90" s="32" t="s">
        <v>190</v>
      </c>
      <c r="N90" s="24">
        <v>2206.0</v>
      </c>
      <c r="O90" s="26" t="s">
        <v>200</v>
      </c>
      <c r="P90" s="22"/>
      <c r="Q90" s="26" t="s">
        <v>782</v>
      </c>
      <c r="R90" s="22" t="s">
        <v>125</v>
      </c>
      <c r="S90" s="22" t="s">
        <v>126</v>
      </c>
      <c r="T90" s="22"/>
      <c r="U90" s="22" t="s">
        <v>129</v>
      </c>
      <c r="V90" s="21" t="s">
        <v>202</v>
      </c>
      <c r="W90" s="21" t="s">
        <v>201</v>
      </c>
      <c r="X90" s="21" t="s">
        <v>132</v>
      </c>
      <c r="Y90" s="21">
        <v>46293.0</v>
      </c>
      <c r="Z90" s="21" t="s">
        <v>133</v>
      </c>
    </row>
    <row r="91" ht="15.75" customHeight="1">
      <c r="A91" s="22" t="s">
        <v>802</v>
      </c>
      <c r="B91" s="22" t="s">
        <v>816</v>
      </c>
      <c r="C91" s="22" t="s">
        <v>253</v>
      </c>
      <c r="D91" s="22" t="s">
        <v>412</v>
      </c>
      <c r="E91" s="22" t="s">
        <v>413</v>
      </c>
      <c r="F91" s="23" t="s">
        <v>31</v>
      </c>
      <c r="G91" s="24">
        <v>550420.0</v>
      </c>
      <c r="H91" s="24">
        <v>59.0</v>
      </c>
      <c r="I91" s="24">
        <v>85386.0</v>
      </c>
      <c r="J91" s="30">
        <v>0.0048</v>
      </c>
      <c r="K91" s="25">
        <v>0.1551288107263544</v>
      </c>
      <c r="L91" s="22">
        <v>270.0</v>
      </c>
      <c r="M91" s="32" t="s">
        <v>190</v>
      </c>
      <c r="N91" s="24">
        <v>2422.0</v>
      </c>
      <c r="O91" s="26" t="s">
        <v>262</v>
      </c>
      <c r="P91" s="22"/>
      <c r="Q91" s="26" t="s">
        <v>823</v>
      </c>
      <c r="R91" s="22" t="s">
        <v>125</v>
      </c>
      <c r="S91" s="22" t="s">
        <v>126</v>
      </c>
      <c r="T91" s="22"/>
      <c r="U91" s="22" t="s">
        <v>129</v>
      </c>
      <c r="V91" s="21" t="s">
        <v>265</v>
      </c>
      <c r="W91" s="21" t="s">
        <v>264</v>
      </c>
      <c r="X91" s="21" t="s">
        <v>132</v>
      </c>
      <c r="Y91" s="21">
        <v>46293.0</v>
      </c>
      <c r="Z91" s="21" t="s">
        <v>133</v>
      </c>
    </row>
    <row r="92" ht="15.75" customHeight="1">
      <c r="A92" s="22" t="s">
        <v>802</v>
      </c>
      <c r="B92" s="22" t="s">
        <v>825</v>
      </c>
      <c r="C92" s="22" t="s">
        <v>235</v>
      </c>
      <c r="D92" s="22" t="s">
        <v>412</v>
      </c>
      <c r="E92" s="22" t="s">
        <v>413</v>
      </c>
      <c r="F92" s="23" t="s">
        <v>31</v>
      </c>
      <c r="G92" s="24">
        <v>610000.0</v>
      </c>
      <c r="H92" s="24">
        <v>304.0</v>
      </c>
      <c r="I92" s="24">
        <v>85107.0</v>
      </c>
      <c r="J92" s="30">
        <v>0.0066</v>
      </c>
      <c r="K92" s="25">
        <v>0.1395196721311475</v>
      </c>
      <c r="L92" s="22">
        <v>133.0</v>
      </c>
      <c r="M92" s="33" t="s">
        <v>214</v>
      </c>
      <c r="N92" s="24">
        <v>1208.0</v>
      </c>
      <c r="O92" s="26" t="s">
        <v>242</v>
      </c>
      <c r="P92" s="22"/>
      <c r="Q92" s="26" t="s">
        <v>654</v>
      </c>
      <c r="R92" s="22" t="s">
        <v>125</v>
      </c>
      <c r="S92" s="22" t="s">
        <v>126</v>
      </c>
      <c r="T92" s="22"/>
      <c r="U92" s="22" t="s">
        <v>129</v>
      </c>
      <c r="V92" s="21" t="s">
        <v>245</v>
      </c>
      <c r="W92" s="21" t="s">
        <v>243</v>
      </c>
      <c r="X92" s="21" t="s">
        <v>132</v>
      </c>
      <c r="Y92" s="21">
        <v>46293.0</v>
      </c>
      <c r="Z92" s="21" t="s">
        <v>133</v>
      </c>
    </row>
    <row r="93" ht="15.75" customHeight="1">
      <c r="A93" s="22" t="s">
        <v>802</v>
      </c>
      <c r="B93" s="22" t="s">
        <v>833</v>
      </c>
      <c r="C93" s="22" t="s">
        <v>211</v>
      </c>
      <c r="D93" s="22" t="s">
        <v>412</v>
      </c>
      <c r="E93" s="22" t="s">
        <v>268</v>
      </c>
      <c r="F93" s="23" t="s">
        <v>31</v>
      </c>
      <c r="G93" s="24">
        <v>175000.0</v>
      </c>
      <c r="H93" s="24">
        <v>11.0</v>
      </c>
      <c r="I93" s="24">
        <v>74045.0</v>
      </c>
      <c r="J93" s="30">
        <v>0.0089</v>
      </c>
      <c r="K93" s="25">
        <v>0.4231142857142857</v>
      </c>
      <c r="L93" s="22">
        <v>128.0</v>
      </c>
      <c r="M93" s="33" t="s">
        <v>214</v>
      </c>
      <c r="N93" s="24">
        <v>990.0</v>
      </c>
      <c r="O93" s="26" t="s">
        <v>225</v>
      </c>
      <c r="P93" s="26" t="s">
        <v>529</v>
      </c>
      <c r="Q93" s="22"/>
      <c r="R93" s="22" t="s">
        <v>125</v>
      </c>
      <c r="S93" s="22" t="s">
        <v>126</v>
      </c>
      <c r="T93" s="22" t="s">
        <v>224</v>
      </c>
      <c r="U93" s="22" t="s">
        <v>129</v>
      </c>
      <c r="V93" s="21" t="s">
        <v>227</v>
      </c>
      <c r="W93" s="21" t="s">
        <v>226</v>
      </c>
      <c r="X93" s="21" t="s">
        <v>132</v>
      </c>
      <c r="Y93" s="21">
        <v>46293.0</v>
      </c>
      <c r="Z93" s="21" t="s">
        <v>133</v>
      </c>
    </row>
    <row r="94" ht="15.75" customHeight="1">
      <c r="A94" s="22" t="s">
        <v>802</v>
      </c>
      <c r="B94" s="22" t="s">
        <v>843</v>
      </c>
      <c r="C94" s="22" t="s">
        <v>134</v>
      </c>
      <c r="D94" s="22" t="s">
        <v>412</v>
      </c>
      <c r="E94" s="22" t="s">
        <v>268</v>
      </c>
      <c r="F94" s="23" t="s">
        <v>31</v>
      </c>
      <c r="G94" s="24">
        <v>89700.0</v>
      </c>
      <c r="H94" s="24">
        <v>11.0</v>
      </c>
      <c r="I94" s="24">
        <v>62411.0</v>
      </c>
      <c r="J94" s="30">
        <v>0.028</v>
      </c>
      <c r="K94" s="25">
        <v>0.6957748049052397</v>
      </c>
      <c r="L94" s="22">
        <v>1.0</v>
      </c>
      <c r="M94" s="28" t="s">
        <v>137</v>
      </c>
      <c r="N94" s="24">
        <v>6.0</v>
      </c>
      <c r="O94" s="26" t="s">
        <v>168</v>
      </c>
      <c r="P94" s="26" t="s">
        <v>847</v>
      </c>
      <c r="Q94" s="22"/>
      <c r="R94" s="22" t="s">
        <v>125</v>
      </c>
      <c r="S94" s="22" t="s">
        <v>126</v>
      </c>
      <c r="T94" s="22" t="s">
        <v>166</v>
      </c>
      <c r="U94" s="22" t="s">
        <v>129</v>
      </c>
      <c r="V94" s="21" t="s">
        <v>170</v>
      </c>
      <c r="W94" s="21" t="s">
        <v>169</v>
      </c>
      <c r="X94" s="21" t="s">
        <v>132</v>
      </c>
      <c r="Y94" s="21">
        <v>46293.0</v>
      </c>
      <c r="Z94" s="21" t="s">
        <v>133</v>
      </c>
    </row>
    <row r="95" ht="15.75" customHeight="1">
      <c r="A95" s="22" t="s">
        <v>802</v>
      </c>
      <c r="B95" s="22" t="s">
        <v>852</v>
      </c>
      <c r="C95" s="22" t="s">
        <v>853</v>
      </c>
      <c r="D95" s="22" t="s">
        <v>154</v>
      </c>
      <c r="E95" s="22" t="s">
        <v>155</v>
      </c>
      <c r="F95" s="23" t="s">
        <v>31</v>
      </c>
      <c r="G95" s="24">
        <v>35200.0</v>
      </c>
      <c r="H95" s="24">
        <v>12.0</v>
      </c>
      <c r="I95" s="24">
        <v>14000.0</v>
      </c>
      <c r="J95" s="22"/>
      <c r="K95" s="25">
        <v>0.3977272727272727</v>
      </c>
      <c r="L95" s="22"/>
      <c r="M95" s="22"/>
      <c r="N95" s="22"/>
      <c r="O95" s="22"/>
      <c r="P95" s="22"/>
      <c r="Q95" s="26" t="s">
        <v>138</v>
      </c>
      <c r="R95" s="22" t="s">
        <v>125</v>
      </c>
      <c r="S95" s="22" t="s">
        <v>126</v>
      </c>
      <c r="T95" s="22"/>
      <c r="U95" s="22" t="s">
        <v>129</v>
      </c>
      <c r="V95" s="21" t="s">
        <v>143</v>
      </c>
      <c r="W95" s="21" t="s">
        <v>141</v>
      </c>
      <c r="X95" s="21" t="s">
        <v>132</v>
      </c>
      <c r="Y95" s="21">
        <v>46293.0</v>
      </c>
      <c r="Z95" s="21" t="s">
        <v>133</v>
      </c>
    </row>
    <row r="96" ht="15.75" customHeight="1">
      <c r="A96" s="22" t="s">
        <v>802</v>
      </c>
      <c r="B96" s="22" t="s">
        <v>855</v>
      </c>
      <c r="C96" s="22" t="s">
        <v>408</v>
      </c>
      <c r="D96" s="22" t="s">
        <v>154</v>
      </c>
      <c r="E96" s="22" t="s">
        <v>413</v>
      </c>
      <c r="F96" s="23" t="s">
        <v>31</v>
      </c>
      <c r="G96" s="24">
        <v>42500.0</v>
      </c>
      <c r="H96" s="24">
        <v>18.0</v>
      </c>
      <c r="I96" s="24">
        <v>13000.0</v>
      </c>
      <c r="J96" s="30">
        <v>0.0117</v>
      </c>
      <c r="K96" s="25">
        <v>0.3058823529411765</v>
      </c>
      <c r="L96" s="22">
        <v>59.0</v>
      </c>
      <c r="M96" s="36" t="s">
        <v>410</v>
      </c>
      <c r="N96" s="24">
        <v>447.0</v>
      </c>
      <c r="O96" s="26" t="s">
        <v>421</v>
      </c>
      <c r="P96" s="22"/>
      <c r="Q96" s="26" t="s">
        <v>192</v>
      </c>
      <c r="R96" s="22" t="s">
        <v>125</v>
      </c>
      <c r="S96" s="22" t="s">
        <v>126</v>
      </c>
      <c r="T96" s="22"/>
      <c r="U96" s="22" t="s">
        <v>129</v>
      </c>
      <c r="V96" s="21" t="s">
        <v>196</v>
      </c>
      <c r="W96" s="21" t="s">
        <v>194</v>
      </c>
      <c r="X96" s="21" t="s">
        <v>132</v>
      </c>
      <c r="Y96" s="21">
        <v>46293.0</v>
      </c>
      <c r="Z96" s="21" t="s">
        <v>133</v>
      </c>
    </row>
    <row r="97" ht="15.75" customHeight="1">
      <c r="A97" s="22" t="s">
        <v>802</v>
      </c>
      <c r="B97" s="22" t="s">
        <v>852</v>
      </c>
      <c r="C97" s="22" t="s">
        <v>865</v>
      </c>
      <c r="D97" s="22" t="s">
        <v>154</v>
      </c>
      <c r="E97" s="22" t="s">
        <v>155</v>
      </c>
      <c r="F97" s="23" t="s">
        <v>31</v>
      </c>
      <c r="G97" s="24">
        <v>21600.0</v>
      </c>
      <c r="H97" s="24">
        <v>2.0</v>
      </c>
      <c r="I97" s="24">
        <v>10000.0</v>
      </c>
      <c r="J97" s="22"/>
      <c r="K97" s="25">
        <v>0.462962962962963</v>
      </c>
      <c r="L97" s="22"/>
      <c r="M97" s="22"/>
      <c r="N97" s="22"/>
      <c r="O97" s="22"/>
      <c r="P97" s="22"/>
      <c r="Q97" s="26" t="s">
        <v>216</v>
      </c>
      <c r="R97" s="22" t="s">
        <v>125</v>
      </c>
      <c r="S97" s="22" t="s">
        <v>126</v>
      </c>
      <c r="T97" s="22"/>
      <c r="U97" s="22" t="s">
        <v>129</v>
      </c>
      <c r="V97" s="21" t="s">
        <v>219</v>
      </c>
      <c r="W97" s="21" t="s">
        <v>217</v>
      </c>
      <c r="X97" s="21" t="s">
        <v>132</v>
      </c>
      <c r="Y97" s="21">
        <v>46293.0</v>
      </c>
      <c r="Z97" s="21" t="s">
        <v>133</v>
      </c>
    </row>
    <row r="98" ht="15.75" customHeight="1">
      <c r="A98" s="22" t="s">
        <v>802</v>
      </c>
      <c r="B98" s="22" t="s">
        <v>873</v>
      </c>
      <c r="C98" s="22" t="s">
        <v>303</v>
      </c>
      <c r="D98" s="22" t="s">
        <v>412</v>
      </c>
      <c r="E98" s="22" t="s">
        <v>413</v>
      </c>
      <c r="F98" s="29" t="s">
        <v>38</v>
      </c>
      <c r="G98" s="24">
        <v>563000.0</v>
      </c>
      <c r="H98" s="24">
        <v>81.0</v>
      </c>
      <c r="I98" s="24">
        <v>65242.0</v>
      </c>
      <c r="J98" s="30">
        <v>0.0053</v>
      </c>
      <c r="K98" s="25">
        <v>0.1158827708703375</v>
      </c>
      <c r="L98" s="22">
        <v>193.0</v>
      </c>
      <c r="M98" s="33" t="s">
        <v>214</v>
      </c>
      <c r="N98" s="24">
        <v>1860.0</v>
      </c>
      <c r="O98" s="26" t="s">
        <v>311</v>
      </c>
      <c r="P98" s="22"/>
      <c r="Q98" s="26" t="s">
        <v>544</v>
      </c>
      <c r="R98" s="22" t="s">
        <v>125</v>
      </c>
      <c r="S98" s="22" t="s">
        <v>126</v>
      </c>
      <c r="T98" s="22"/>
      <c r="U98" s="22" t="s">
        <v>129</v>
      </c>
      <c r="V98" s="21" t="s">
        <v>316</v>
      </c>
      <c r="W98" s="21" t="s">
        <v>315</v>
      </c>
      <c r="X98" s="21" t="s">
        <v>132</v>
      </c>
      <c r="Y98" s="21">
        <v>46293.0</v>
      </c>
      <c r="Z98" s="21" t="s">
        <v>133</v>
      </c>
    </row>
    <row r="99" ht="15.75" customHeight="1">
      <c r="A99" s="22" t="s">
        <v>802</v>
      </c>
      <c r="B99" s="22" t="s">
        <v>877</v>
      </c>
      <c r="C99" s="22" t="s">
        <v>277</v>
      </c>
      <c r="D99" s="22" t="s">
        <v>412</v>
      </c>
      <c r="E99" s="22" t="s">
        <v>268</v>
      </c>
      <c r="F99" s="29" t="s">
        <v>38</v>
      </c>
      <c r="G99" s="24">
        <v>118197.0</v>
      </c>
      <c r="H99" s="24">
        <v>48.0</v>
      </c>
      <c r="I99" s="24">
        <v>39946.0</v>
      </c>
      <c r="J99" s="30">
        <v>0.0096</v>
      </c>
      <c r="K99" s="25">
        <v>0.3379612003688757</v>
      </c>
      <c r="L99" s="22">
        <v>153.0</v>
      </c>
      <c r="M99" s="33" t="s">
        <v>214</v>
      </c>
      <c r="N99" s="24">
        <v>1234.0</v>
      </c>
      <c r="O99" s="26" t="s">
        <v>290</v>
      </c>
      <c r="P99" s="26" t="s">
        <v>838</v>
      </c>
      <c r="Q99" s="22"/>
      <c r="R99" s="22" t="s">
        <v>125</v>
      </c>
      <c r="S99" s="22" t="s">
        <v>126</v>
      </c>
      <c r="T99" s="22" t="s">
        <v>289</v>
      </c>
      <c r="U99" s="22" t="s">
        <v>129</v>
      </c>
      <c r="V99" s="21" t="s">
        <v>293</v>
      </c>
      <c r="W99" s="21" t="s">
        <v>292</v>
      </c>
      <c r="X99" s="21" t="s">
        <v>132</v>
      </c>
      <c r="Y99" s="21">
        <v>46293.0</v>
      </c>
      <c r="Z99" s="21" t="s">
        <v>133</v>
      </c>
    </row>
    <row r="100" ht="15.75" customHeight="1">
      <c r="A100" s="22" t="s">
        <v>802</v>
      </c>
      <c r="B100" s="22" t="s">
        <v>880</v>
      </c>
      <c r="C100" s="22" t="s">
        <v>386</v>
      </c>
      <c r="D100" s="22" t="s">
        <v>412</v>
      </c>
      <c r="E100" s="22" t="s">
        <v>413</v>
      </c>
      <c r="F100" s="29" t="s">
        <v>38</v>
      </c>
      <c r="G100" s="24">
        <v>352483.0</v>
      </c>
      <c r="H100" s="24">
        <v>146.0</v>
      </c>
      <c r="I100" s="24">
        <v>38127.0</v>
      </c>
      <c r="J100" s="30">
        <v>0.0068</v>
      </c>
      <c r="K100" s="25">
        <v>0.1081669186882772</v>
      </c>
      <c r="L100" s="22">
        <v>423.0</v>
      </c>
      <c r="M100" s="32" t="s">
        <v>190</v>
      </c>
      <c r="N100" s="24">
        <v>3185.0</v>
      </c>
      <c r="O100" s="26" t="s">
        <v>396</v>
      </c>
      <c r="P100" s="22"/>
      <c r="Q100" s="26" t="s">
        <v>684</v>
      </c>
      <c r="R100" s="22" t="s">
        <v>125</v>
      </c>
      <c r="S100" s="22" t="s">
        <v>126</v>
      </c>
      <c r="T100" s="22"/>
      <c r="U100" s="22" t="s">
        <v>129</v>
      </c>
      <c r="V100" s="21" t="s">
        <v>398</v>
      </c>
      <c r="W100" s="21" t="s">
        <v>397</v>
      </c>
      <c r="X100" s="21" t="s">
        <v>132</v>
      </c>
      <c r="Y100" s="21">
        <v>46293.0</v>
      </c>
      <c r="Z100" s="21" t="s">
        <v>133</v>
      </c>
    </row>
    <row r="101" ht="15.75" customHeight="1">
      <c r="A101" s="22" t="s">
        <v>802</v>
      </c>
      <c r="B101" s="22" t="s">
        <v>886</v>
      </c>
      <c r="C101" s="22" t="s">
        <v>503</v>
      </c>
      <c r="D101" s="22" t="s">
        <v>412</v>
      </c>
      <c r="E101" s="22" t="s">
        <v>413</v>
      </c>
      <c r="F101" s="29" t="s">
        <v>38</v>
      </c>
      <c r="G101" s="24">
        <v>403000.0</v>
      </c>
      <c r="H101" s="24">
        <v>147.0</v>
      </c>
      <c r="I101" s="24">
        <v>35672.0</v>
      </c>
      <c r="J101" s="30">
        <v>0.0048</v>
      </c>
      <c r="K101" s="25">
        <v>0.08851612903225807</v>
      </c>
      <c r="L101" s="22">
        <v>143.0</v>
      </c>
      <c r="M101" s="33" t="s">
        <v>214</v>
      </c>
      <c r="N101" s="24">
        <v>1249.0</v>
      </c>
      <c r="O101" s="26" t="s">
        <v>510</v>
      </c>
      <c r="P101" s="22"/>
      <c r="Q101" s="26" t="s">
        <v>469</v>
      </c>
      <c r="R101" s="22" t="s">
        <v>125</v>
      </c>
      <c r="S101" s="22" t="s">
        <v>126</v>
      </c>
      <c r="T101" s="22"/>
      <c r="U101" s="22" t="s">
        <v>129</v>
      </c>
      <c r="V101" s="21" t="s">
        <v>473</v>
      </c>
      <c r="W101" s="21" t="s">
        <v>512</v>
      </c>
      <c r="X101" s="21" t="s">
        <v>132</v>
      </c>
      <c r="Y101" s="21">
        <v>46293.0</v>
      </c>
      <c r="Z101" s="21" t="s">
        <v>133</v>
      </c>
    </row>
    <row r="102" ht="15.75" customHeight="1">
      <c r="A102" s="22" t="s">
        <v>802</v>
      </c>
      <c r="B102" s="22" t="s">
        <v>895</v>
      </c>
      <c r="C102" s="22" t="s">
        <v>368</v>
      </c>
      <c r="D102" s="22" t="s">
        <v>412</v>
      </c>
      <c r="E102" s="22" t="s">
        <v>413</v>
      </c>
      <c r="F102" s="29" t="s">
        <v>38</v>
      </c>
      <c r="G102" s="24">
        <v>128000.0</v>
      </c>
      <c r="H102" s="24">
        <v>145.0</v>
      </c>
      <c r="I102" s="24">
        <v>26419.0</v>
      </c>
      <c r="J102" s="30">
        <v>0.0109</v>
      </c>
      <c r="K102" s="25">
        <v>0.2063984375</v>
      </c>
      <c r="L102" s="22">
        <v>121.0</v>
      </c>
      <c r="M102" s="33" t="s">
        <v>214</v>
      </c>
      <c r="N102" s="24">
        <v>876.0</v>
      </c>
      <c r="O102" s="26" t="s">
        <v>378</v>
      </c>
      <c r="P102" s="22"/>
      <c r="Q102" s="26" t="s">
        <v>414</v>
      </c>
      <c r="R102" s="22" t="s">
        <v>125</v>
      </c>
      <c r="S102" s="22" t="s">
        <v>126</v>
      </c>
      <c r="T102" s="22"/>
      <c r="U102" s="22" t="s">
        <v>129</v>
      </c>
      <c r="V102" s="21" t="s">
        <v>380</v>
      </c>
      <c r="W102" s="21" t="s">
        <v>379</v>
      </c>
      <c r="X102" s="21" t="s">
        <v>132</v>
      </c>
      <c r="Y102" s="21">
        <v>46293.0</v>
      </c>
      <c r="Z102" s="21" t="s">
        <v>133</v>
      </c>
    </row>
    <row r="103" ht="15.75" customHeight="1">
      <c r="A103" s="22" t="s">
        <v>802</v>
      </c>
      <c r="B103" s="22" t="s">
        <v>896</v>
      </c>
      <c r="C103" s="22" t="s">
        <v>345</v>
      </c>
      <c r="D103" s="22" t="s">
        <v>412</v>
      </c>
      <c r="E103" s="22" t="s">
        <v>413</v>
      </c>
      <c r="F103" s="29" t="s">
        <v>38</v>
      </c>
      <c r="G103" s="24">
        <v>232451.0</v>
      </c>
      <c r="H103" s="24">
        <v>42.0</v>
      </c>
      <c r="I103" s="24">
        <v>25898.0</v>
      </c>
      <c r="J103" s="30">
        <v>0.0113</v>
      </c>
      <c r="K103" s="25">
        <v>0.1114127278437176</v>
      </c>
      <c r="L103" s="22">
        <v>145.0</v>
      </c>
      <c r="M103" s="33" t="s">
        <v>214</v>
      </c>
      <c r="N103" s="24">
        <v>1257.0</v>
      </c>
      <c r="O103" s="26" t="s">
        <v>354</v>
      </c>
      <c r="P103" s="22"/>
      <c r="Q103" s="26" t="s">
        <v>714</v>
      </c>
      <c r="R103" s="22" t="s">
        <v>125</v>
      </c>
      <c r="S103" s="22" t="s">
        <v>126</v>
      </c>
      <c r="T103" s="22"/>
      <c r="U103" s="22" t="s">
        <v>129</v>
      </c>
      <c r="V103" s="21" t="s">
        <v>356</v>
      </c>
      <c r="W103" s="21" t="s">
        <v>355</v>
      </c>
      <c r="X103" s="21" t="s">
        <v>132</v>
      </c>
      <c r="Y103" s="21">
        <v>46293.0</v>
      </c>
      <c r="Z103" s="21" t="s">
        <v>133</v>
      </c>
    </row>
    <row r="104" ht="15.75" customHeight="1">
      <c r="A104" s="22" t="s">
        <v>802</v>
      </c>
      <c r="B104" s="22" t="s">
        <v>903</v>
      </c>
      <c r="C104" s="22" t="s">
        <v>576</v>
      </c>
      <c r="D104" s="22" t="s">
        <v>412</v>
      </c>
      <c r="E104" s="22" t="s">
        <v>413</v>
      </c>
      <c r="F104" s="29" t="s">
        <v>38</v>
      </c>
      <c r="G104" s="24">
        <v>415069.0</v>
      </c>
      <c r="H104" s="24">
        <v>7.0</v>
      </c>
      <c r="I104" s="24">
        <v>20832.0</v>
      </c>
      <c r="J104" s="30">
        <v>0.0082</v>
      </c>
      <c r="K104" s="25">
        <v>0.05018924564349542</v>
      </c>
      <c r="L104" s="22">
        <v>192.0</v>
      </c>
      <c r="M104" s="33" t="s">
        <v>214</v>
      </c>
      <c r="N104" s="24">
        <v>1601.0</v>
      </c>
      <c r="O104" s="26" t="s">
        <v>591</v>
      </c>
      <c r="P104" s="22"/>
      <c r="Q104" s="26" t="s">
        <v>908</v>
      </c>
      <c r="R104" s="22" t="s">
        <v>125</v>
      </c>
      <c r="S104" s="22" t="s">
        <v>126</v>
      </c>
      <c r="T104" s="22" t="s">
        <v>590</v>
      </c>
      <c r="U104" s="22" t="s">
        <v>129</v>
      </c>
      <c r="V104" s="21" t="s">
        <v>594</v>
      </c>
      <c r="W104" s="21" t="s">
        <v>593</v>
      </c>
      <c r="X104" s="21" t="s">
        <v>132</v>
      </c>
      <c r="Y104" s="21">
        <v>46293.0</v>
      </c>
      <c r="Z104" s="21" t="s">
        <v>133</v>
      </c>
    </row>
    <row r="105" ht="15.75" customHeight="1">
      <c r="A105" s="22" t="s">
        <v>802</v>
      </c>
      <c r="B105" s="22" t="s">
        <v>910</v>
      </c>
      <c r="C105" s="22" t="s">
        <v>911</v>
      </c>
      <c r="D105" s="22" t="s">
        <v>154</v>
      </c>
      <c r="E105" s="22" t="s">
        <v>413</v>
      </c>
      <c r="F105" s="29" t="s">
        <v>38</v>
      </c>
      <c r="G105" s="24">
        <v>35900.0</v>
      </c>
      <c r="H105" s="24">
        <v>5.0</v>
      </c>
      <c r="I105" s="24">
        <v>5600.0</v>
      </c>
      <c r="J105" s="30">
        <v>0.0105</v>
      </c>
      <c r="K105" s="25">
        <v>0.1559888579387187</v>
      </c>
      <c r="L105" s="22">
        <v>39.0</v>
      </c>
      <c r="M105" s="35" t="s">
        <v>239</v>
      </c>
      <c r="N105" s="24">
        <v>255.0</v>
      </c>
      <c r="O105" s="26" t="s">
        <v>914</v>
      </c>
      <c r="P105" s="22"/>
      <c r="Q105" s="26" t="s">
        <v>236</v>
      </c>
      <c r="R105" s="22" t="s">
        <v>125</v>
      </c>
      <c r="S105" s="22" t="s">
        <v>126</v>
      </c>
      <c r="T105" s="22"/>
      <c r="U105" s="22" t="s">
        <v>129</v>
      </c>
      <c r="V105" s="21" t="s">
        <v>238</v>
      </c>
      <c r="W105" s="21" t="s">
        <v>237</v>
      </c>
      <c r="X105" s="21" t="s">
        <v>132</v>
      </c>
      <c r="Y105" s="21">
        <v>46293.0</v>
      </c>
      <c r="Z105" s="21" t="s">
        <v>133</v>
      </c>
    </row>
    <row r="106" ht="15.75" customHeight="1">
      <c r="A106" s="22" t="s">
        <v>802</v>
      </c>
      <c r="B106" s="22" t="s">
        <v>921</v>
      </c>
      <c r="C106" s="22" t="s">
        <v>470</v>
      </c>
      <c r="D106" s="22" t="s">
        <v>412</v>
      </c>
      <c r="E106" s="22" t="s">
        <v>268</v>
      </c>
      <c r="F106" s="29" t="s">
        <v>38</v>
      </c>
      <c r="G106" s="24">
        <v>58015.0</v>
      </c>
      <c r="H106" s="24">
        <v>16.0</v>
      </c>
      <c r="I106" s="24">
        <v>5438.0</v>
      </c>
      <c r="J106" s="30">
        <v>0.0371</v>
      </c>
      <c r="K106" s="25">
        <v>0.09373437903990348</v>
      </c>
      <c r="L106" s="22">
        <v>47.0</v>
      </c>
      <c r="M106" s="36" t="s">
        <v>410</v>
      </c>
      <c r="N106" s="24">
        <v>444.0</v>
      </c>
      <c r="O106" s="26" t="s">
        <v>484</v>
      </c>
      <c r="P106" s="26" t="s">
        <v>923</v>
      </c>
      <c r="Q106" s="22"/>
      <c r="R106" s="22" t="s">
        <v>125</v>
      </c>
      <c r="S106" s="22" t="s">
        <v>126</v>
      </c>
      <c r="T106" s="22" t="s">
        <v>481</v>
      </c>
      <c r="U106" s="22" t="s">
        <v>129</v>
      </c>
      <c r="V106" s="21" t="s">
        <v>486</v>
      </c>
      <c r="W106" s="21" t="s">
        <v>485</v>
      </c>
      <c r="X106" s="21" t="s">
        <v>132</v>
      </c>
      <c r="Y106" s="21">
        <v>46293.0</v>
      </c>
      <c r="Z106" s="21" t="s">
        <v>133</v>
      </c>
    </row>
    <row r="107" ht="15.75" customHeight="1">
      <c r="A107" s="22" t="s">
        <v>802</v>
      </c>
      <c r="B107" s="22" t="s">
        <v>927</v>
      </c>
      <c r="C107" s="22" t="s">
        <v>715</v>
      </c>
      <c r="D107" s="22" t="s">
        <v>154</v>
      </c>
      <c r="E107" s="22" t="s">
        <v>413</v>
      </c>
      <c r="F107" s="29" t="s">
        <v>38</v>
      </c>
      <c r="G107" s="24">
        <v>85700.0</v>
      </c>
      <c r="H107" s="24">
        <v>3.0</v>
      </c>
      <c r="I107" s="24">
        <v>5300.0</v>
      </c>
      <c r="J107" s="30">
        <v>0.0058</v>
      </c>
      <c r="K107" s="25">
        <v>0.06184364060676779</v>
      </c>
      <c r="L107" s="22">
        <v>52.0</v>
      </c>
      <c r="M107" s="36" t="s">
        <v>410</v>
      </c>
      <c r="N107" s="24">
        <v>503.0</v>
      </c>
      <c r="O107" s="26" t="s">
        <v>730</v>
      </c>
      <c r="P107" s="22"/>
      <c r="Q107" s="26" t="s">
        <v>267</v>
      </c>
      <c r="R107" s="22" t="s">
        <v>125</v>
      </c>
      <c r="S107" s="22" t="s">
        <v>126</v>
      </c>
      <c r="T107" s="22"/>
      <c r="U107" s="22" t="s">
        <v>129</v>
      </c>
      <c r="V107" s="21" t="s">
        <v>270</v>
      </c>
      <c r="W107" s="21" t="s">
        <v>269</v>
      </c>
      <c r="X107" s="21" t="s">
        <v>132</v>
      </c>
      <c r="Y107" s="21">
        <v>46293.0</v>
      </c>
      <c r="Z107" s="21" t="s">
        <v>133</v>
      </c>
    </row>
    <row r="108" ht="15.75" customHeight="1">
      <c r="A108" s="22" t="s">
        <v>802</v>
      </c>
      <c r="B108" s="22" t="s">
        <v>934</v>
      </c>
      <c r="C108" s="22" t="s">
        <v>325</v>
      </c>
      <c r="D108" s="22" t="s">
        <v>105</v>
      </c>
      <c r="E108" s="22" t="s">
        <v>268</v>
      </c>
      <c r="F108" s="29" t="s">
        <v>38</v>
      </c>
      <c r="G108" s="24">
        <v>77200.0</v>
      </c>
      <c r="H108" s="24">
        <v>9.0</v>
      </c>
      <c r="I108" s="24">
        <v>2860.0</v>
      </c>
      <c r="J108" s="30">
        <v>0.0041</v>
      </c>
      <c r="K108" s="25">
        <v>0.03704663212435233</v>
      </c>
      <c r="L108" s="22">
        <v>163.0</v>
      </c>
      <c r="M108" s="33" t="s">
        <v>214</v>
      </c>
      <c r="N108" s="24">
        <v>1645.0</v>
      </c>
      <c r="O108" s="26" t="s">
        <v>336</v>
      </c>
      <c r="P108" s="26" t="s">
        <v>446</v>
      </c>
      <c r="Q108" s="22"/>
      <c r="R108" s="22" t="s">
        <v>125</v>
      </c>
      <c r="S108" s="22" t="s">
        <v>126</v>
      </c>
      <c r="T108" s="22"/>
      <c r="U108" s="22" t="s">
        <v>129</v>
      </c>
      <c r="V108" s="21" t="s">
        <v>338</v>
      </c>
      <c r="W108" s="21" t="s">
        <v>449</v>
      </c>
      <c r="X108" s="21" t="s">
        <v>132</v>
      </c>
      <c r="Y108" s="21">
        <v>46293.0</v>
      </c>
      <c r="Z108" s="21" t="s">
        <v>133</v>
      </c>
    </row>
    <row r="109" ht="15.75" customHeight="1">
      <c r="A109" s="22" t="s">
        <v>802</v>
      </c>
      <c r="B109" s="22" t="s">
        <v>943</v>
      </c>
      <c r="C109" s="22" t="s">
        <v>437</v>
      </c>
      <c r="D109" s="22" t="s">
        <v>105</v>
      </c>
      <c r="E109" s="22" t="s">
        <v>268</v>
      </c>
      <c r="F109" s="29" t="s">
        <v>38</v>
      </c>
      <c r="G109" s="24">
        <v>31300.0</v>
      </c>
      <c r="H109" s="24">
        <v>105.0</v>
      </c>
      <c r="I109" s="24">
        <v>2710.0</v>
      </c>
      <c r="J109" s="30">
        <v>0.0088</v>
      </c>
      <c r="K109" s="25">
        <v>0.0865814696485623</v>
      </c>
      <c r="L109" s="22">
        <v>227.0</v>
      </c>
      <c r="M109" s="32" t="s">
        <v>190</v>
      </c>
      <c r="N109" s="24">
        <v>1898.0</v>
      </c>
      <c r="O109" s="26" t="s">
        <v>453</v>
      </c>
      <c r="P109" s="26" t="s">
        <v>497</v>
      </c>
      <c r="Q109" s="22"/>
      <c r="R109" s="22" t="s">
        <v>125</v>
      </c>
      <c r="S109" s="22" t="s">
        <v>126</v>
      </c>
      <c r="T109" s="22"/>
      <c r="U109" s="22" t="s">
        <v>129</v>
      </c>
      <c r="V109" s="21" t="s">
        <v>456</v>
      </c>
      <c r="W109" s="21" t="s">
        <v>498</v>
      </c>
      <c r="X109" s="21" t="s">
        <v>132</v>
      </c>
      <c r="Y109" s="21">
        <v>46293.0</v>
      </c>
      <c r="Z109" s="21" t="s">
        <v>133</v>
      </c>
    </row>
    <row r="110" ht="15.75" customHeight="1">
      <c r="A110" s="22" t="s">
        <v>802</v>
      </c>
      <c r="B110" s="22" t="s">
        <v>948</v>
      </c>
      <c r="C110" s="22" t="s">
        <v>747</v>
      </c>
      <c r="D110" s="22" t="s">
        <v>412</v>
      </c>
      <c r="E110" s="22" t="s">
        <v>268</v>
      </c>
      <c r="F110" s="34" t="s">
        <v>42</v>
      </c>
      <c r="G110" s="24">
        <v>95400.0</v>
      </c>
      <c r="H110" s="24">
        <v>57.0</v>
      </c>
      <c r="I110" s="24">
        <v>28303.0</v>
      </c>
      <c r="J110" s="30">
        <v>0.0031</v>
      </c>
      <c r="K110" s="25">
        <v>0.2966771488469602</v>
      </c>
      <c r="L110" s="22">
        <v>12.0</v>
      </c>
      <c r="M110" s="28" t="s">
        <v>137</v>
      </c>
      <c r="N110" s="24">
        <v>118.0</v>
      </c>
      <c r="O110" s="26" t="s">
        <v>761</v>
      </c>
      <c r="P110" s="26" t="s">
        <v>818</v>
      </c>
      <c r="Q110" s="22"/>
      <c r="R110" s="22" t="s">
        <v>125</v>
      </c>
      <c r="S110" s="22" t="s">
        <v>126</v>
      </c>
      <c r="T110" s="22" t="s">
        <v>760</v>
      </c>
      <c r="U110" s="22" t="s">
        <v>129</v>
      </c>
      <c r="V110" s="21" t="s">
        <v>763</v>
      </c>
      <c r="W110" s="21" t="s">
        <v>762</v>
      </c>
      <c r="X110" s="21" t="s">
        <v>132</v>
      </c>
      <c r="Y110" s="21">
        <v>46293.0</v>
      </c>
      <c r="Z110" s="21" t="s">
        <v>133</v>
      </c>
    </row>
    <row r="111" ht="15.75" customHeight="1">
      <c r="A111" s="22" t="s">
        <v>802</v>
      </c>
      <c r="B111" s="22" t="s">
        <v>954</v>
      </c>
      <c r="C111" s="22" t="s">
        <v>795</v>
      </c>
      <c r="D111" s="22" t="s">
        <v>412</v>
      </c>
      <c r="E111" s="22" t="s">
        <v>268</v>
      </c>
      <c r="F111" s="34" t="s">
        <v>42</v>
      </c>
      <c r="G111" s="24">
        <v>50800.0</v>
      </c>
      <c r="H111" s="24">
        <v>36.0</v>
      </c>
      <c r="I111" s="24">
        <v>22663.0</v>
      </c>
      <c r="J111" s="30">
        <v>0.0034</v>
      </c>
      <c r="K111" s="25">
        <v>0.4461220472440945</v>
      </c>
      <c r="L111" s="22">
        <v>20.0</v>
      </c>
      <c r="M111" s="35" t="s">
        <v>239</v>
      </c>
      <c r="N111" s="24">
        <v>175.0</v>
      </c>
      <c r="O111" s="26" t="s">
        <v>807</v>
      </c>
      <c r="P111" s="26" t="s">
        <v>940</v>
      </c>
      <c r="Q111" s="22"/>
      <c r="R111" s="22" t="s">
        <v>125</v>
      </c>
      <c r="S111" s="22" t="s">
        <v>126</v>
      </c>
      <c r="T111" s="22" t="s">
        <v>804</v>
      </c>
      <c r="U111" s="22" t="s">
        <v>129</v>
      </c>
      <c r="V111" s="21" t="s">
        <v>809</v>
      </c>
      <c r="W111" s="21" t="s">
        <v>808</v>
      </c>
      <c r="X111" s="21" t="s">
        <v>132</v>
      </c>
      <c r="Y111" s="21">
        <v>46293.0</v>
      </c>
      <c r="Z111" s="21" t="s">
        <v>133</v>
      </c>
    </row>
    <row r="112" ht="15.75" customHeight="1">
      <c r="A112" s="22" t="s">
        <v>802</v>
      </c>
      <c r="B112" s="22" t="s">
        <v>959</v>
      </c>
      <c r="C112" s="22" t="s">
        <v>607</v>
      </c>
      <c r="D112" s="22" t="s">
        <v>412</v>
      </c>
      <c r="E112" s="22" t="s">
        <v>413</v>
      </c>
      <c r="F112" s="34" t="s">
        <v>42</v>
      </c>
      <c r="G112" s="24">
        <v>263424.0</v>
      </c>
      <c r="H112" s="24">
        <v>530.0</v>
      </c>
      <c r="I112" s="24">
        <v>14357.0</v>
      </c>
      <c r="J112" s="30">
        <v>0.0083</v>
      </c>
      <c r="K112" s="25">
        <v>0.0545014880952381</v>
      </c>
      <c r="L112" s="22">
        <v>280.0</v>
      </c>
      <c r="M112" s="32" t="s">
        <v>190</v>
      </c>
      <c r="N112" s="24">
        <v>2014.0</v>
      </c>
      <c r="O112" s="26" t="s">
        <v>624</v>
      </c>
      <c r="P112" s="22"/>
      <c r="Q112" s="26" t="s">
        <v>740</v>
      </c>
      <c r="R112" s="22" t="s">
        <v>125</v>
      </c>
      <c r="S112" s="22" t="s">
        <v>126</v>
      </c>
      <c r="T112" s="22" t="s">
        <v>623</v>
      </c>
      <c r="U112" s="22" t="s">
        <v>129</v>
      </c>
      <c r="V112" s="21" t="s">
        <v>629</v>
      </c>
      <c r="W112" s="21" t="s">
        <v>626</v>
      </c>
      <c r="X112" s="21" t="s">
        <v>132</v>
      </c>
      <c r="Y112" s="21">
        <v>46293.0</v>
      </c>
      <c r="Z112" s="21" t="s">
        <v>133</v>
      </c>
    </row>
    <row r="113" ht="15.75" customHeight="1">
      <c r="A113" s="22" t="s">
        <v>802</v>
      </c>
      <c r="B113" s="22" t="s">
        <v>963</v>
      </c>
      <c r="C113" s="22" t="s">
        <v>812</v>
      </c>
      <c r="D113" s="22" t="s">
        <v>412</v>
      </c>
      <c r="E113" s="22" t="s">
        <v>268</v>
      </c>
      <c r="F113" s="34" t="s">
        <v>42</v>
      </c>
      <c r="G113" s="24">
        <v>18500.0</v>
      </c>
      <c r="H113" s="24">
        <v>31.0</v>
      </c>
      <c r="I113" s="24">
        <v>10491.0</v>
      </c>
      <c r="J113" s="30">
        <v>0.0062</v>
      </c>
      <c r="K113" s="25">
        <v>0.5670810810810811</v>
      </c>
      <c r="L113" s="22">
        <v>91.0</v>
      </c>
      <c r="M113" s="36" t="s">
        <v>410</v>
      </c>
      <c r="N113" s="24">
        <v>547.0</v>
      </c>
      <c r="O113" s="26" t="s">
        <v>820</v>
      </c>
      <c r="P113" s="26" t="s">
        <v>967</v>
      </c>
      <c r="Q113" s="22"/>
      <c r="R113" s="22" t="s">
        <v>125</v>
      </c>
      <c r="S113" s="22" t="s">
        <v>126</v>
      </c>
      <c r="T113" s="22"/>
      <c r="U113" s="22" t="s">
        <v>129</v>
      </c>
      <c r="V113" s="21" t="s">
        <v>822</v>
      </c>
      <c r="W113" s="21" t="s">
        <v>821</v>
      </c>
      <c r="X113" s="21" t="s">
        <v>132</v>
      </c>
      <c r="Y113" s="21">
        <v>46293.0</v>
      </c>
      <c r="Z113" s="21" t="s">
        <v>133</v>
      </c>
    </row>
    <row r="114" ht="15.75" customHeight="1">
      <c r="A114" s="22" t="s">
        <v>802</v>
      </c>
      <c r="B114" s="22" t="s">
        <v>969</v>
      </c>
      <c r="C114" s="22" t="s">
        <v>642</v>
      </c>
      <c r="D114" s="22" t="s">
        <v>412</v>
      </c>
      <c r="E114" s="22" t="s">
        <v>268</v>
      </c>
      <c r="F114" s="34" t="s">
        <v>42</v>
      </c>
      <c r="G114" s="24">
        <v>18700.0</v>
      </c>
      <c r="H114" s="24">
        <v>18.0</v>
      </c>
      <c r="I114" s="24">
        <v>7805.0</v>
      </c>
      <c r="J114" s="30">
        <v>0.0148</v>
      </c>
      <c r="K114" s="25">
        <v>0.417379679144385</v>
      </c>
      <c r="L114" s="22">
        <v>46.0</v>
      </c>
      <c r="M114" s="36" t="s">
        <v>410</v>
      </c>
      <c r="N114" s="24">
        <v>413.0</v>
      </c>
      <c r="O114" s="26" t="s">
        <v>661</v>
      </c>
      <c r="P114" s="26" t="s">
        <v>691</v>
      </c>
      <c r="Q114" s="22"/>
      <c r="R114" s="22" t="s">
        <v>125</v>
      </c>
      <c r="S114" s="22" t="s">
        <v>126</v>
      </c>
      <c r="T114" s="22"/>
      <c r="U114" s="22" t="s">
        <v>129</v>
      </c>
      <c r="V114" s="21" t="s">
        <v>663</v>
      </c>
      <c r="W114" s="21" t="s">
        <v>662</v>
      </c>
      <c r="X114" s="21" t="s">
        <v>132</v>
      </c>
      <c r="Y114" s="21">
        <v>46293.0</v>
      </c>
      <c r="Z114" s="21" t="s">
        <v>133</v>
      </c>
    </row>
    <row r="115" ht="15.75" customHeight="1">
      <c r="A115" s="22" t="s">
        <v>802</v>
      </c>
      <c r="B115" s="22" t="s">
        <v>974</v>
      </c>
      <c r="C115" s="22" t="s">
        <v>832</v>
      </c>
      <c r="D115" s="22" t="s">
        <v>412</v>
      </c>
      <c r="E115" s="22" t="s">
        <v>268</v>
      </c>
      <c r="F115" s="34" t="s">
        <v>42</v>
      </c>
      <c r="G115" s="24">
        <v>32500.0</v>
      </c>
      <c r="H115" s="24">
        <v>56.0</v>
      </c>
      <c r="I115" s="24">
        <v>5937.0</v>
      </c>
      <c r="J115" s="30">
        <v>0.0098</v>
      </c>
      <c r="K115" s="25">
        <v>0.1826769230769231</v>
      </c>
      <c r="L115" s="22">
        <v>26.0</v>
      </c>
      <c r="M115" s="35" t="s">
        <v>239</v>
      </c>
      <c r="N115" s="24">
        <v>193.0</v>
      </c>
      <c r="O115" s="26" t="s">
        <v>841</v>
      </c>
      <c r="P115" s="26" t="s">
        <v>580</v>
      </c>
      <c r="Q115" s="22"/>
      <c r="R115" s="22" t="s">
        <v>125</v>
      </c>
      <c r="S115" s="22" t="s">
        <v>126</v>
      </c>
      <c r="T115" s="22" t="s">
        <v>840</v>
      </c>
      <c r="U115" s="22" t="s">
        <v>129</v>
      </c>
      <c r="V115" s="21" t="s">
        <v>583</v>
      </c>
      <c r="W115" s="21" t="s">
        <v>842</v>
      </c>
      <c r="X115" s="21" t="s">
        <v>132</v>
      </c>
      <c r="Y115" s="21">
        <v>46293.0</v>
      </c>
      <c r="Z115" s="21" t="s">
        <v>133</v>
      </c>
    </row>
    <row r="116" ht="15.75" customHeight="1">
      <c r="A116" s="22" t="s">
        <v>802</v>
      </c>
      <c r="B116" s="22" t="s">
        <v>978</v>
      </c>
      <c r="C116" s="22" t="s">
        <v>786</v>
      </c>
      <c r="D116" s="22" t="s">
        <v>412</v>
      </c>
      <c r="E116" s="22" t="s">
        <v>268</v>
      </c>
      <c r="F116" s="34" t="s">
        <v>42</v>
      </c>
      <c r="G116" s="24">
        <v>30300.0</v>
      </c>
      <c r="H116" s="24">
        <v>31.0</v>
      </c>
      <c r="I116" s="24">
        <v>5881.0</v>
      </c>
      <c r="J116" s="30">
        <v>0.0135</v>
      </c>
      <c r="K116" s="25">
        <v>0.1940924092409241</v>
      </c>
      <c r="L116" s="22">
        <v>46.0</v>
      </c>
      <c r="M116" s="36" t="s">
        <v>410</v>
      </c>
      <c r="N116" s="24">
        <v>436.0</v>
      </c>
      <c r="O116" s="26" t="s">
        <v>790</v>
      </c>
      <c r="P116" s="26" t="s">
        <v>646</v>
      </c>
      <c r="Q116" s="22"/>
      <c r="R116" s="22" t="s">
        <v>125</v>
      </c>
      <c r="S116" s="22" t="s">
        <v>126</v>
      </c>
      <c r="T116" s="22"/>
      <c r="U116" s="22" t="s">
        <v>129</v>
      </c>
      <c r="V116" s="21" t="s">
        <v>649</v>
      </c>
      <c r="W116" s="21" t="s">
        <v>791</v>
      </c>
      <c r="X116" s="21" t="s">
        <v>132</v>
      </c>
      <c r="Y116" s="21">
        <v>46293.0</v>
      </c>
      <c r="Z116" s="21" t="s">
        <v>133</v>
      </c>
    </row>
    <row r="117" ht="15.75" customHeight="1">
      <c r="A117" s="22" t="s">
        <v>802</v>
      </c>
      <c r="B117" s="22" t="s">
        <v>980</v>
      </c>
      <c r="C117" s="22" t="s">
        <v>680</v>
      </c>
      <c r="D117" s="22" t="s">
        <v>154</v>
      </c>
      <c r="E117" s="22" t="s">
        <v>413</v>
      </c>
      <c r="F117" s="34" t="s">
        <v>42</v>
      </c>
      <c r="G117" s="24">
        <v>106000.0</v>
      </c>
      <c r="H117" s="24">
        <v>4.0</v>
      </c>
      <c r="I117" s="24">
        <v>2600.0</v>
      </c>
      <c r="J117" s="30">
        <v>0.005</v>
      </c>
      <c r="K117" s="25">
        <v>0.02452830188679245</v>
      </c>
      <c r="L117" s="22">
        <v>189.0</v>
      </c>
      <c r="M117" s="33" t="s">
        <v>214</v>
      </c>
      <c r="N117" s="24">
        <v>1556.0</v>
      </c>
      <c r="O117" s="26" t="s">
        <v>696</v>
      </c>
      <c r="P117" s="22"/>
      <c r="Q117" s="26" t="s">
        <v>286</v>
      </c>
      <c r="R117" s="22" t="s">
        <v>125</v>
      </c>
      <c r="S117" s="22" t="s">
        <v>126</v>
      </c>
      <c r="T117" s="22"/>
      <c r="U117" s="22" t="s">
        <v>129</v>
      </c>
      <c r="V117" s="21" t="s">
        <v>288</v>
      </c>
      <c r="W117" s="21" t="s">
        <v>287</v>
      </c>
      <c r="X117" s="21" t="s">
        <v>132</v>
      </c>
      <c r="Y117" s="21">
        <v>46293.0</v>
      </c>
      <c r="Z117" s="21" t="s">
        <v>133</v>
      </c>
    </row>
    <row r="118" ht="15.75" customHeight="1">
      <c r="A118" s="22" t="s">
        <v>802</v>
      </c>
      <c r="B118" s="22" t="s">
        <v>852</v>
      </c>
      <c r="C118" s="22" t="s">
        <v>984</v>
      </c>
      <c r="D118" s="22" t="s">
        <v>154</v>
      </c>
      <c r="E118" s="22" t="s">
        <v>155</v>
      </c>
      <c r="F118" s="34" t="s">
        <v>42</v>
      </c>
      <c r="G118" s="24">
        <v>33600.0</v>
      </c>
      <c r="H118" s="24">
        <v>2.0</v>
      </c>
      <c r="I118" s="24">
        <v>1600.0</v>
      </c>
      <c r="J118" s="22"/>
      <c r="K118" s="25">
        <v>0.04761904761904762</v>
      </c>
      <c r="L118" s="22"/>
      <c r="M118" s="22"/>
      <c r="N118" s="22"/>
      <c r="O118" s="22"/>
      <c r="P118" s="22"/>
      <c r="Q118" s="26" t="s">
        <v>307</v>
      </c>
      <c r="R118" s="22" t="s">
        <v>125</v>
      </c>
      <c r="S118" s="22" t="s">
        <v>126</v>
      </c>
      <c r="T118" s="22"/>
      <c r="U118" s="22" t="s">
        <v>129</v>
      </c>
      <c r="V118" s="21" t="s">
        <v>309</v>
      </c>
      <c r="W118" s="21" t="s">
        <v>308</v>
      </c>
      <c r="X118" s="21" t="s">
        <v>132</v>
      </c>
      <c r="Y118" s="21">
        <v>46293.0</v>
      </c>
      <c r="Z118" s="21" t="s">
        <v>133</v>
      </c>
    </row>
    <row r="119" ht="15.75" customHeight="1">
      <c r="A119" s="22" t="s">
        <v>802</v>
      </c>
      <c r="B119" s="22" t="s">
        <v>852</v>
      </c>
      <c r="C119" s="22" t="s">
        <v>985</v>
      </c>
      <c r="D119" s="22" t="s">
        <v>154</v>
      </c>
      <c r="E119" s="22" t="s">
        <v>155</v>
      </c>
      <c r="F119" s="34" t="s">
        <v>42</v>
      </c>
      <c r="G119" s="24">
        <v>41300.0</v>
      </c>
      <c r="H119" s="24">
        <v>6.0</v>
      </c>
      <c r="I119" s="24">
        <v>1500.0</v>
      </c>
      <c r="J119" s="22"/>
      <c r="K119" s="25">
        <v>0.03631961259079903</v>
      </c>
      <c r="L119" s="22"/>
      <c r="M119" s="22"/>
      <c r="N119" s="22"/>
      <c r="O119" s="22"/>
      <c r="P119" s="22"/>
      <c r="Q119" s="26" t="s">
        <v>327</v>
      </c>
      <c r="R119" s="22" t="s">
        <v>125</v>
      </c>
      <c r="S119" s="22" t="s">
        <v>126</v>
      </c>
      <c r="T119" s="22"/>
      <c r="U119" s="22" t="s">
        <v>129</v>
      </c>
      <c r="V119" s="21" t="s">
        <v>331</v>
      </c>
      <c r="W119" s="21" t="s">
        <v>330</v>
      </c>
      <c r="X119" s="21" t="s">
        <v>132</v>
      </c>
      <c r="Y119" s="21">
        <v>46293.0</v>
      </c>
      <c r="Z119" s="21" t="s">
        <v>133</v>
      </c>
    </row>
    <row r="120" ht="15.75" customHeight="1">
      <c r="A120" s="22" t="s">
        <v>802</v>
      </c>
      <c r="B120" s="22" t="s">
        <v>852</v>
      </c>
      <c r="C120" s="22" t="s">
        <v>341</v>
      </c>
      <c r="D120" s="22" t="s">
        <v>154</v>
      </c>
      <c r="E120" s="22" t="s">
        <v>155</v>
      </c>
      <c r="F120" s="34" t="s">
        <v>42</v>
      </c>
      <c r="G120" s="24">
        <v>14500.0</v>
      </c>
      <c r="H120" s="24">
        <v>5.0</v>
      </c>
      <c r="I120" s="24">
        <v>1400.0</v>
      </c>
      <c r="J120" s="22"/>
      <c r="K120" s="25">
        <v>0.09655172413793103</v>
      </c>
      <c r="L120" s="22"/>
      <c r="M120" s="22"/>
      <c r="N120" s="22"/>
      <c r="O120" s="22"/>
      <c r="P120" s="22"/>
      <c r="Q120" s="26" t="s">
        <v>348</v>
      </c>
      <c r="R120" s="22" t="s">
        <v>125</v>
      </c>
      <c r="S120" s="22" t="s">
        <v>126</v>
      </c>
      <c r="T120" s="22"/>
      <c r="U120" s="22" t="s">
        <v>129</v>
      </c>
      <c r="V120" s="21" t="s">
        <v>350</v>
      </c>
      <c r="W120" s="21" t="s">
        <v>349</v>
      </c>
      <c r="X120" s="21" t="s">
        <v>132</v>
      </c>
      <c r="Y120" s="21">
        <v>46293.0</v>
      </c>
      <c r="Z120" s="21" t="s">
        <v>133</v>
      </c>
    </row>
    <row r="121" ht="15.75" customHeight="1">
      <c r="A121" s="22" t="s">
        <v>802</v>
      </c>
      <c r="B121" s="22" t="s">
        <v>988</v>
      </c>
      <c r="C121" s="22" t="s">
        <v>363</v>
      </c>
      <c r="D121" s="22" t="s">
        <v>154</v>
      </c>
      <c r="E121" s="22" t="s">
        <v>155</v>
      </c>
      <c r="F121" s="34" t="s">
        <v>42</v>
      </c>
      <c r="G121" s="24">
        <v>10400.0</v>
      </c>
      <c r="H121" s="24">
        <v>2.0</v>
      </c>
      <c r="I121" s="24">
        <v>1400.0</v>
      </c>
      <c r="J121" s="22"/>
      <c r="K121" s="25">
        <v>0.1346153846153846</v>
      </c>
      <c r="L121" s="22"/>
      <c r="M121" s="22"/>
      <c r="N121" s="22"/>
      <c r="O121" s="22"/>
      <c r="P121" s="22"/>
      <c r="Q121" s="26" t="s">
        <v>371</v>
      </c>
      <c r="R121" s="22" t="s">
        <v>125</v>
      </c>
      <c r="S121" s="22" t="s">
        <v>126</v>
      </c>
      <c r="T121" s="22"/>
      <c r="U121" s="22" t="s">
        <v>129</v>
      </c>
      <c r="V121" s="21" t="s">
        <v>373</v>
      </c>
      <c r="W121" s="21" t="s">
        <v>372</v>
      </c>
      <c r="X121" s="21" t="s">
        <v>132</v>
      </c>
      <c r="Y121" s="21">
        <v>46293.0</v>
      </c>
      <c r="Z121" s="21" t="s">
        <v>133</v>
      </c>
    </row>
    <row r="122" ht="15.75" customHeight="1">
      <c r="A122" s="22" t="s">
        <v>802</v>
      </c>
      <c r="B122" s="22" t="s">
        <v>993</v>
      </c>
      <c r="C122" s="22" t="s">
        <v>994</v>
      </c>
      <c r="D122" s="22" t="s">
        <v>154</v>
      </c>
      <c r="E122" s="22" t="s">
        <v>160</v>
      </c>
      <c r="F122" s="34" t="s">
        <v>42</v>
      </c>
      <c r="G122" s="24">
        <v>36300.0</v>
      </c>
      <c r="H122" s="24">
        <v>13.0</v>
      </c>
      <c r="I122" s="24">
        <v>1200.0</v>
      </c>
      <c r="J122" s="22"/>
      <c r="K122" s="25">
        <v>0.03305785123966942</v>
      </c>
      <c r="L122" s="22"/>
      <c r="M122" s="22"/>
      <c r="N122" s="22"/>
      <c r="O122" s="22"/>
      <c r="P122" s="26" t="s">
        <v>800</v>
      </c>
      <c r="Q122" s="26" t="s">
        <v>995</v>
      </c>
      <c r="R122" s="22" t="s">
        <v>125</v>
      </c>
      <c r="S122" s="22" t="s">
        <v>126</v>
      </c>
      <c r="T122" s="22"/>
      <c r="U122" s="22" t="s">
        <v>129</v>
      </c>
      <c r="V122" s="21" t="s">
        <v>395</v>
      </c>
      <c r="W122" s="21" t="s">
        <v>394</v>
      </c>
      <c r="X122" s="21" t="s">
        <v>132</v>
      </c>
      <c r="Y122" s="21">
        <v>46293.0</v>
      </c>
      <c r="Z122" s="21" t="s">
        <v>133</v>
      </c>
    </row>
    <row r="123" ht="15.75" customHeight="1">
      <c r="A123" s="22" t="s">
        <v>802</v>
      </c>
      <c r="B123" s="22" t="s">
        <v>997</v>
      </c>
      <c r="C123" s="22" t="s">
        <v>769</v>
      </c>
      <c r="D123" s="22" t="s">
        <v>105</v>
      </c>
      <c r="E123" s="22" t="s">
        <v>268</v>
      </c>
      <c r="F123" s="34" t="s">
        <v>42</v>
      </c>
      <c r="G123" s="24">
        <v>7940.0</v>
      </c>
      <c r="H123" s="24">
        <v>4.0</v>
      </c>
      <c r="I123" s="24">
        <v>675.0</v>
      </c>
      <c r="J123" s="30">
        <v>0.0068</v>
      </c>
      <c r="K123" s="25">
        <v>0.08501259445843828</v>
      </c>
      <c r="L123" s="22">
        <v>8.0</v>
      </c>
      <c r="M123" s="28" t="s">
        <v>137</v>
      </c>
      <c r="N123" s="24">
        <v>79.0</v>
      </c>
      <c r="O123" s="26" t="s">
        <v>778</v>
      </c>
      <c r="P123" s="26" t="s">
        <v>552</v>
      </c>
      <c r="Q123" s="22"/>
      <c r="R123" s="22" t="s">
        <v>125</v>
      </c>
      <c r="S123" s="22" t="s">
        <v>126</v>
      </c>
      <c r="T123" s="22"/>
      <c r="U123" s="22" t="s">
        <v>129</v>
      </c>
      <c r="V123" s="21" t="s">
        <v>554</v>
      </c>
      <c r="W123" s="21" t="s">
        <v>553</v>
      </c>
      <c r="X123" s="21" t="s">
        <v>132</v>
      </c>
      <c r="Y123" s="21">
        <v>46293.0</v>
      </c>
      <c r="Z123" s="21" t="s">
        <v>133</v>
      </c>
    </row>
    <row r="124" ht="15.75" customHeight="1">
      <c r="A124" s="22" t="s">
        <v>802</v>
      </c>
      <c r="B124" s="22" t="s">
        <v>1001</v>
      </c>
      <c r="C124" s="22" t="s">
        <v>854</v>
      </c>
      <c r="D124" s="22" t="s">
        <v>412</v>
      </c>
      <c r="E124" s="22" t="s">
        <v>268</v>
      </c>
      <c r="F124" s="37" t="s">
        <v>48</v>
      </c>
      <c r="G124" s="24">
        <v>132000.0</v>
      </c>
      <c r="H124" s="24">
        <v>25.0</v>
      </c>
      <c r="I124" s="24">
        <v>6494.0</v>
      </c>
      <c r="J124" s="30">
        <v>0.0065</v>
      </c>
      <c r="K124" s="25">
        <v>0.0491969696969697</v>
      </c>
      <c r="L124" s="22">
        <v>133.0</v>
      </c>
      <c r="M124" s="33" t="s">
        <v>214</v>
      </c>
      <c r="N124" s="24">
        <v>1138.0</v>
      </c>
      <c r="O124" s="26" t="s">
        <v>863</v>
      </c>
      <c r="P124" s="26" t="s">
        <v>829</v>
      </c>
      <c r="Q124" s="22"/>
      <c r="R124" s="22" t="s">
        <v>125</v>
      </c>
      <c r="S124" s="22" t="s">
        <v>126</v>
      </c>
      <c r="T124" s="22" t="s">
        <v>862</v>
      </c>
      <c r="U124" s="22" t="s">
        <v>129</v>
      </c>
      <c r="V124" s="21" t="s">
        <v>831</v>
      </c>
      <c r="W124" s="21" t="s">
        <v>864</v>
      </c>
      <c r="X124" s="21" t="s">
        <v>132</v>
      </c>
      <c r="Y124" s="21">
        <v>46293.0</v>
      </c>
      <c r="Z124" s="21" t="s">
        <v>133</v>
      </c>
    </row>
    <row r="125" ht="15.75" customHeight="1">
      <c r="A125" s="22" t="s">
        <v>802</v>
      </c>
      <c r="B125" s="22" t="s">
        <v>1003</v>
      </c>
      <c r="C125" s="22" t="s">
        <v>942</v>
      </c>
      <c r="D125" s="22" t="s">
        <v>412</v>
      </c>
      <c r="E125" s="22" t="s">
        <v>268</v>
      </c>
      <c r="F125" s="37" t="s">
        <v>48</v>
      </c>
      <c r="G125" s="24">
        <v>31000.0</v>
      </c>
      <c r="H125" s="24">
        <v>74.0</v>
      </c>
      <c r="I125" s="24">
        <v>5332.0</v>
      </c>
      <c r="J125" s="30">
        <v>0.004</v>
      </c>
      <c r="K125" s="25">
        <v>0.172</v>
      </c>
      <c r="L125" s="22">
        <v>65.0</v>
      </c>
      <c r="M125" s="36" t="s">
        <v>410</v>
      </c>
      <c r="N125" s="24">
        <v>524.0</v>
      </c>
      <c r="O125" s="26" t="s">
        <v>944</v>
      </c>
      <c r="P125" s="26" t="s">
        <v>892</v>
      </c>
      <c r="Q125" s="22"/>
      <c r="R125" s="22" t="s">
        <v>125</v>
      </c>
      <c r="S125" s="22" t="s">
        <v>126</v>
      </c>
      <c r="T125" s="22"/>
      <c r="U125" s="22" t="s">
        <v>129</v>
      </c>
      <c r="V125" s="21" t="s">
        <v>894</v>
      </c>
      <c r="W125" s="21" t="s">
        <v>945</v>
      </c>
      <c r="X125" s="21" t="s">
        <v>132</v>
      </c>
      <c r="Y125" s="21">
        <v>46293.0</v>
      </c>
      <c r="Z125" s="21" t="s">
        <v>133</v>
      </c>
    </row>
    <row r="126" ht="15.75" customHeight="1">
      <c r="A126" s="22" t="s">
        <v>802</v>
      </c>
      <c r="B126" s="22" t="s">
        <v>1006</v>
      </c>
      <c r="C126" s="22" t="s">
        <v>909</v>
      </c>
      <c r="D126" s="22" t="s">
        <v>412</v>
      </c>
      <c r="E126" s="22" t="s">
        <v>268</v>
      </c>
      <c r="F126" s="37" t="s">
        <v>48</v>
      </c>
      <c r="G126" s="24">
        <v>46100.0</v>
      </c>
      <c r="H126" s="24">
        <v>39.0</v>
      </c>
      <c r="I126" s="24">
        <v>3489.0</v>
      </c>
      <c r="J126" s="30">
        <v>0.0076</v>
      </c>
      <c r="K126" s="25">
        <v>0.07568329718004338</v>
      </c>
      <c r="L126" s="22">
        <v>57.0</v>
      </c>
      <c r="M126" s="36" t="s">
        <v>410</v>
      </c>
      <c r="N126" s="24">
        <v>403.0</v>
      </c>
      <c r="O126" s="26" t="s">
        <v>920</v>
      </c>
      <c r="P126" s="26" t="s">
        <v>905</v>
      </c>
      <c r="Q126" s="22"/>
      <c r="R126" s="22" t="s">
        <v>125</v>
      </c>
      <c r="S126" s="22" t="s">
        <v>126</v>
      </c>
      <c r="T126" s="22"/>
      <c r="U126" s="22" t="s">
        <v>129</v>
      </c>
      <c r="V126" s="21" t="s">
        <v>907</v>
      </c>
      <c r="W126" s="21" t="s">
        <v>922</v>
      </c>
      <c r="X126" s="21" t="s">
        <v>132</v>
      </c>
      <c r="Y126" s="21">
        <v>46293.0</v>
      </c>
      <c r="Z126" s="21" t="s">
        <v>133</v>
      </c>
    </row>
    <row r="127" ht="15.75" customHeight="1">
      <c r="A127" s="22" t="s">
        <v>802</v>
      </c>
      <c r="B127" s="22" t="s">
        <v>1009</v>
      </c>
      <c r="C127" s="22" t="s">
        <v>930</v>
      </c>
      <c r="D127" s="22" t="s">
        <v>412</v>
      </c>
      <c r="E127" s="22" t="s">
        <v>268</v>
      </c>
      <c r="F127" s="37" t="s">
        <v>48</v>
      </c>
      <c r="G127" s="24">
        <v>21200.0</v>
      </c>
      <c r="H127" s="24">
        <v>28.0</v>
      </c>
      <c r="I127" s="24">
        <v>3431.0</v>
      </c>
      <c r="J127" s="30">
        <v>0.0069</v>
      </c>
      <c r="K127" s="25">
        <v>0.1618396226415094</v>
      </c>
      <c r="L127" s="22">
        <v>3.0</v>
      </c>
      <c r="M127" s="28" t="s">
        <v>137</v>
      </c>
      <c r="N127" s="24">
        <v>6.0</v>
      </c>
      <c r="O127" s="26" t="s">
        <v>933</v>
      </c>
      <c r="P127" s="26" t="s">
        <v>751</v>
      </c>
      <c r="Q127" s="22"/>
      <c r="R127" s="22" t="s">
        <v>125</v>
      </c>
      <c r="S127" s="22" t="s">
        <v>126</v>
      </c>
      <c r="T127" s="22" t="s">
        <v>760</v>
      </c>
      <c r="U127" s="22" t="s">
        <v>129</v>
      </c>
      <c r="V127" s="21" t="s">
        <v>754</v>
      </c>
      <c r="W127" s="21" t="s">
        <v>935</v>
      </c>
      <c r="X127" s="21" t="s">
        <v>132</v>
      </c>
      <c r="Y127" s="21">
        <v>46293.0</v>
      </c>
      <c r="Z127" s="21" t="s">
        <v>133</v>
      </c>
    </row>
    <row r="128" ht="15.75" customHeight="1">
      <c r="A128" s="22" t="s">
        <v>802</v>
      </c>
      <c r="B128" s="22" t="s">
        <v>1011</v>
      </c>
      <c r="C128" s="22" t="s">
        <v>890</v>
      </c>
      <c r="D128" s="22" t="s">
        <v>412</v>
      </c>
      <c r="E128" s="22" t="s">
        <v>268</v>
      </c>
      <c r="F128" s="37" t="s">
        <v>48</v>
      </c>
      <c r="G128" s="24">
        <v>22800.0</v>
      </c>
      <c r="H128" s="24">
        <v>16.0</v>
      </c>
      <c r="I128" s="24">
        <v>2009.0</v>
      </c>
      <c r="J128" s="30">
        <v>0.0135</v>
      </c>
      <c r="K128" s="25">
        <v>0.0881140350877193</v>
      </c>
      <c r="L128" s="22">
        <v>24.0</v>
      </c>
      <c r="M128" s="35" t="s">
        <v>239</v>
      </c>
      <c r="N128" s="24">
        <v>201.0</v>
      </c>
      <c r="O128" s="26" t="s">
        <v>898</v>
      </c>
      <c r="P128" s="26" t="s">
        <v>723</v>
      </c>
      <c r="Q128" s="22"/>
      <c r="R128" s="22" t="s">
        <v>125</v>
      </c>
      <c r="S128" s="22" t="s">
        <v>126</v>
      </c>
      <c r="T128" s="22" t="s">
        <v>897</v>
      </c>
      <c r="U128" s="22" t="s">
        <v>129</v>
      </c>
      <c r="V128" s="21" t="s">
        <v>726</v>
      </c>
      <c r="W128" s="21" t="s">
        <v>899</v>
      </c>
      <c r="X128" s="21" t="s">
        <v>132</v>
      </c>
      <c r="Y128" s="21">
        <v>46293.0</v>
      </c>
      <c r="Z128" s="21" t="s">
        <v>133</v>
      </c>
    </row>
    <row r="129" ht="15.75" customHeight="1">
      <c r="A129" s="22" t="s">
        <v>802</v>
      </c>
      <c r="B129" s="22" t="s">
        <v>1015</v>
      </c>
      <c r="C129" s="22" t="s">
        <v>960</v>
      </c>
      <c r="D129" s="22" t="s">
        <v>412</v>
      </c>
      <c r="E129" s="22" t="s">
        <v>268</v>
      </c>
      <c r="F129" s="37" t="s">
        <v>48</v>
      </c>
      <c r="G129" s="24">
        <v>44400.0</v>
      </c>
      <c r="H129" s="24">
        <v>24.0</v>
      </c>
      <c r="I129" s="24">
        <v>1608.0</v>
      </c>
      <c r="J129" s="30">
        <v>0.0018</v>
      </c>
      <c r="K129" s="25">
        <v>0.03621621621621621</v>
      </c>
      <c r="L129" s="22">
        <v>24.0</v>
      </c>
      <c r="M129" s="35" t="s">
        <v>239</v>
      </c>
      <c r="N129" s="24">
        <v>192.0</v>
      </c>
      <c r="O129" s="26" t="s">
        <v>965</v>
      </c>
      <c r="P129" s="26" t="s">
        <v>849</v>
      </c>
      <c r="Q129" s="22"/>
      <c r="R129" s="22" t="s">
        <v>125</v>
      </c>
      <c r="S129" s="22" t="s">
        <v>126</v>
      </c>
      <c r="T129" s="22" t="s">
        <v>964</v>
      </c>
      <c r="U129" s="22" t="s">
        <v>129</v>
      </c>
      <c r="V129" s="21" t="s">
        <v>851</v>
      </c>
      <c r="W129" s="21" t="s">
        <v>966</v>
      </c>
      <c r="X129" s="21" t="s">
        <v>132</v>
      </c>
      <c r="Y129" s="21">
        <v>46293.0</v>
      </c>
      <c r="Z129" s="21" t="s">
        <v>133</v>
      </c>
    </row>
    <row r="130" ht="15.75" customHeight="1">
      <c r="A130" s="22" t="s">
        <v>802</v>
      </c>
      <c r="B130" s="22" t="s">
        <v>852</v>
      </c>
      <c r="C130" s="22" t="s">
        <v>1016</v>
      </c>
      <c r="D130" s="22" t="s">
        <v>154</v>
      </c>
      <c r="E130" s="22" t="s">
        <v>155</v>
      </c>
      <c r="F130" s="37" t="s">
        <v>48</v>
      </c>
      <c r="G130" s="24">
        <v>64400.0</v>
      </c>
      <c r="H130" s="24">
        <v>8.0</v>
      </c>
      <c r="I130" s="24">
        <v>746.0</v>
      </c>
      <c r="J130" s="22"/>
      <c r="K130" s="25">
        <v>0.01158385093167702</v>
      </c>
      <c r="L130" s="22"/>
      <c r="M130" s="22"/>
      <c r="N130" s="22"/>
      <c r="O130" s="22"/>
      <c r="P130" s="22"/>
      <c r="Q130" s="26" t="s">
        <v>439</v>
      </c>
      <c r="R130" s="22" t="s">
        <v>125</v>
      </c>
      <c r="S130" s="22" t="s">
        <v>126</v>
      </c>
      <c r="T130" s="22"/>
      <c r="U130" s="22" t="s">
        <v>129</v>
      </c>
      <c r="V130" s="21" t="s">
        <v>442</v>
      </c>
      <c r="W130" s="21" t="s">
        <v>440</v>
      </c>
      <c r="X130" s="21" t="s">
        <v>132</v>
      </c>
      <c r="Y130" s="21">
        <v>46293.0</v>
      </c>
      <c r="Z130" s="21" t="s">
        <v>133</v>
      </c>
    </row>
    <row r="131" ht="15.75" customHeight="1">
      <c r="A131" s="22" t="s">
        <v>802</v>
      </c>
      <c r="B131" s="22" t="s">
        <v>1019</v>
      </c>
      <c r="C131" s="22" t="s">
        <v>950</v>
      </c>
      <c r="D131" s="22" t="s">
        <v>412</v>
      </c>
      <c r="E131" s="22" t="s">
        <v>268</v>
      </c>
      <c r="F131" s="37" t="s">
        <v>48</v>
      </c>
      <c r="G131" s="24">
        <v>25800.0</v>
      </c>
      <c r="H131" s="24">
        <v>9.0</v>
      </c>
      <c r="I131" s="24">
        <v>714.0</v>
      </c>
      <c r="J131" s="30">
        <v>0.005</v>
      </c>
      <c r="K131" s="25">
        <v>0.02767441860465116</v>
      </c>
      <c r="L131" s="22">
        <v>30.0</v>
      </c>
      <c r="M131" s="35" t="s">
        <v>239</v>
      </c>
      <c r="N131" s="24">
        <v>261.0</v>
      </c>
      <c r="O131" s="26" t="s">
        <v>952</v>
      </c>
      <c r="P131" s="26" t="s">
        <v>917</v>
      </c>
      <c r="Q131" s="22"/>
      <c r="R131" s="22" t="s">
        <v>125</v>
      </c>
      <c r="S131" s="22" t="s">
        <v>126</v>
      </c>
      <c r="T131" s="22"/>
      <c r="U131" s="22" t="s">
        <v>129</v>
      </c>
      <c r="V131" s="21" t="s">
        <v>919</v>
      </c>
      <c r="W131" s="21" t="s">
        <v>953</v>
      </c>
      <c r="X131" s="21" t="s">
        <v>132</v>
      </c>
      <c r="Y131" s="21">
        <v>46293.0</v>
      </c>
      <c r="Z131" s="21" t="s">
        <v>133</v>
      </c>
    </row>
    <row r="132" ht="15.75" customHeight="1">
      <c r="A132" s="22" t="s">
        <v>802</v>
      </c>
      <c r="B132" s="22" t="s">
        <v>1023</v>
      </c>
      <c r="C132" s="22" t="s">
        <v>491</v>
      </c>
      <c r="D132" s="22" t="s">
        <v>154</v>
      </c>
      <c r="E132" s="22" t="s">
        <v>155</v>
      </c>
      <c r="F132" s="37" t="s">
        <v>48</v>
      </c>
      <c r="G132" s="24">
        <v>17100.0</v>
      </c>
      <c r="H132" s="24">
        <v>2.0</v>
      </c>
      <c r="I132" s="24">
        <v>440.0</v>
      </c>
      <c r="J132" s="22"/>
      <c r="K132" s="25">
        <v>0.02573099415204678</v>
      </c>
      <c r="L132" s="22"/>
      <c r="M132" s="22"/>
      <c r="N132" s="22"/>
      <c r="O132" s="22"/>
      <c r="P132" s="22"/>
      <c r="Q132" s="26" t="s">
        <v>499</v>
      </c>
      <c r="R132" s="22" t="s">
        <v>125</v>
      </c>
      <c r="S132" s="22" t="s">
        <v>126</v>
      </c>
      <c r="T132" s="22"/>
      <c r="U132" s="22" t="s">
        <v>129</v>
      </c>
      <c r="V132" s="21" t="s">
        <v>502</v>
      </c>
      <c r="W132" s="21" t="s">
        <v>501</v>
      </c>
      <c r="X132" s="21" t="s">
        <v>132</v>
      </c>
      <c r="Y132" s="21">
        <v>46293.0</v>
      </c>
      <c r="Z132" s="21" t="s">
        <v>133</v>
      </c>
    </row>
    <row r="133" ht="15.75" customHeight="1">
      <c r="A133" s="22" t="s">
        <v>802</v>
      </c>
      <c r="B133" s="22" t="s">
        <v>1025</v>
      </c>
      <c r="C133" s="22" t="s">
        <v>874</v>
      </c>
      <c r="D133" s="22" t="s">
        <v>105</v>
      </c>
      <c r="E133" s="22" t="s">
        <v>268</v>
      </c>
      <c r="F133" s="37" t="s">
        <v>48</v>
      </c>
      <c r="G133" s="24">
        <v>8000.0</v>
      </c>
      <c r="H133" s="24">
        <v>32.0</v>
      </c>
      <c r="I133" s="24">
        <v>179.0</v>
      </c>
      <c r="J133" s="30">
        <v>0.0031</v>
      </c>
      <c r="K133" s="25">
        <v>0.022375</v>
      </c>
      <c r="L133" s="22">
        <v>5.0</v>
      </c>
      <c r="M133" s="28" t="s">
        <v>137</v>
      </c>
      <c r="N133" s="24">
        <v>59.0</v>
      </c>
      <c r="O133" s="26" t="s">
        <v>883</v>
      </c>
      <c r="P133" s="26" t="s">
        <v>610</v>
      </c>
      <c r="Q133" s="22"/>
      <c r="R133" s="22" t="s">
        <v>125</v>
      </c>
      <c r="S133" s="22" t="s">
        <v>126</v>
      </c>
      <c r="T133" s="22"/>
      <c r="U133" s="22" t="s">
        <v>129</v>
      </c>
      <c r="V133" s="21" t="s">
        <v>614</v>
      </c>
      <c r="W133" s="21" t="s">
        <v>613</v>
      </c>
      <c r="X133" s="21" t="s">
        <v>132</v>
      </c>
      <c r="Y133" s="21">
        <v>46293.0</v>
      </c>
      <c r="Z133" s="21" t="s">
        <v>133</v>
      </c>
    </row>
    <row r="134" ht="15.75" customHeight="1">
      <c r="A134" s="22" t="s">
        <v>802</v>
      </c>
      <c r="B134" s="22" t="s">
        <v>1029</v>
      </c>
      <c r="C134" s="22" t="s">
        <v>1030</v>
      </c>
      <c r="D134" s="22" t="s">
        <v>412</v>
      </c>
      <c r="E134" s="22" t="s">
        <v>268</v>
      </c>
      <c r="F134" s="37" t="s">
        <v>48</v>
      </c>
      <c r="G134" s="24">
        <v>56200.0</v>
      </c>
      <c r="H134" s="22"/>
      <c r="I134" s="22"/>
      <c r="J134" s="22"/>
      <c r="K134" s="22"/>
      <c r="L134" s="22">
        <v>22.0</v>
      </c>
      <c r="M134" s="35" t="s">
        <v>239</v>
      </c>
      <c r="N134" s="24">
        <v>163.0</v>
      </c>
      <c r="O134" s="26" t="s">
        <v>976</v>
      </c>
      <c r="P134" s="26" t="s">
        <v>956</v>
      </c>
      <c r="Q134" s="22"/>
      <c r="R134" s="22" t="s">
        <v>125</v>
      </c>
      <c r="S134" s="22" t="s">
        <v>126</v>
      </c>
      <c r="T134" s="22" t="s">
        <v>975</v>
      </c>
      <c r="U134" s="22" t="s">
        <v>129</v>
      </c>
      <c r="V134" s="21" t="s">
        <v>958</v>
      </c>
      <c r="W134" s="21" t="s">
        <v>977</v>
      </c>
      <c r="X134" s="21" t="s">
        <v>132</v>
      </c>
      <c r="Y134" s="21">
        <v>46293.0</v>
      </c>
      <c r="Z134" s="21" t="s">
        <v>133</v>
      </c>
    </row>
    <row r="135" ht="15.75" customHeight="1">
      <c r="A135" s="22" t="s">
        <v>802</v>
      </c>
      <c r="B135" s="22" t="s">
        <v>1031</v>
      </c>
      <c r="C135" s="22" t="s">
        <v>556</v>
      </c>
      <c r="D135" s="22" t="s">
        <v>412</v>
      </c>
      <c r="E135" s="22" t="s">
        <v>413</v>
      </c>
      <c r="F135" s="38" t="s">
        <v>54</v>
      </c>
      <c r="G135" s="24">
        <v>52200.0</v>
      </c>
      <c r="H135" s="24">
        <v>1.0</v>
      </c>
      <c r="I135" s="24">
        <v>3065.0</v>
      </c>
      <c r="J135" s="30">
        <v>0.017</v>
      </c>
      <c r="K135" s="25">
        <v>0.05871647509578544</v>
      </c>
      <c r="L135" s="22">
        <v>17.0</v>
      </c>
      <c r="M135" s="35" t="s">
        <v>239</v>
      </c>
      <c r="N135" s="24">
        <v>136.0</v>
      </c>
      <c r="O135" s="26" t="s">
        <v>982</v>
      </c>
      <c r="P135" s="22"/>
      <c r="Q135" s="26" t="s">
        <v>563</v>
      </c>
      <c r="R135" s="22" t="s">
        <v>125</v>
      </c>
      <c r="S135" s="22" t="s">
        <v>126</v>
      </c>
      <c r="T135" s="22" t="s">
        <v>981</v>
      </c>
      <c r="U135" s="22" t="s">
        <v>129</v>
      </c>
      <c r="V135" s="21" t="s">
        <v>565</v>
      </c>
      <c r="W135" s="21" t="s">
        <v>983</v>
      </c>
      <c r="X135" s="21" t="s">
        <v>132</v>
      </c>
      <c r="Y135" s="21">
        <v>46293.0</v>
      </c>
      <c r="Z135" s="21" t="s">
        <v>133</v>
      </c>
    </row>
    <row r="136" ht="15.75" customHeight="1">
      <c r="A136" s="22" t="s">
        <v>802</v>
      </c>
      <c r="B136" s="22" t="s">
        <v>1032</v>
      </c>
      <c r="C136" s="22" t="s">
        <v>1017</v>
      </c>
      <c r="D136" s="22" t="s">
        <v>105</v>
      </c>
      <c r="E136" s="22" t="s">
        <v>106</v>
      </c>
      <c r="F136" s="38" t="s">
        <v>54</v>
      </c>
      <c r="G136" s="24">
        <v>7820.0</v>
      </c>
      <c r="H136" s="24">
        <v>1.0</v>
      </c>
      <c r="I136" s="24">
        <v>147.0</v>
      </c>
      <c r="J136" s="22"/>
      <c r="K136" s="25">
        <v>0.01879795396419437</v>
      </c>
      <c r="L136" s="22"/>
      <c r="M136" s="22"/>
      <c r="N136" s="22"/>
      <c r="O136" s="26" t="s">
        <v>1021</v>
      </c>
      <c r="P136" s="26" t="s">
        <v>772</v>
      </c>
      <c r="Q136" s="22"/>
      <c r="R136" s="22" t="s">
        <v>125</v>
      </c>
      <c r="S136" s="22" t="s">
        <v>126</v>
      </c>
      <c r="T136" s="22" t="s">
        <v>770</v>
      </c>
      <c r="U136" s="22" t="s">
        <v>129</v>
      </c>
      <c r="V136" s="21" t="s">
        <v>774</v>
      </c>
      <c r="W136" s="21" t="s">
        <v>773</v>
      </c>
      <c r="X136" s="21" t="s">
        <v>132</v>
      </c>
      <c r="Y136" s="21">
        <v>46293.0</v>
      </c>
      <c r="Z136" s="21" t="s">
        <v>133</v>
      </c>
    </row>
    <row r="137" ht="15.75" customHeight="1">
      <c r="A137" s="22" t="s">
        <v>802</v>
      </c>
      <c r="B137" s="22" t="s">
        <v>852</v>
      </c>
      <c r="C137" s="22" t="s">
        <v>1033</v>
      </c>
      <c r="D137" s="22" t="s">
        <v>154</v>
      </c>
      <c r="E137" s="22" t="s">
        <v>155</v>
      </c>
      <c r="F137" s="38" t="s">
        <v>54</v>
      </c>
      <c r="G137" s="24">
        <v>474000.0</v>
      </c>
      <c r="H137" s="22"/>
      <c r="I137" s="22"/>
      <c r="J137" s="22"/>
      <c r="K137" s="22"/>
      <c r="L137" s="22"/>
      <c r="M137" s="22"/>
      <c r="N137" s="22"/>
      <c r="O137" s="22"/>
      <c r="P137" s="22"/>
      <c r="Q137" s="26" t="s">
        <v>525</v>
      </c>
      <c r="R137" s="22" t="s">
        <v>125</v>
      </c>
      <c r="S137" s="22" t="s">
        <v>126</v>
      </c>
      <c r="T137" s="22" t="s">
        <v>524</v>
      </c>
      <c r="U137" s="22" t="s">
        <v>129</v>
      </c>
      <c r="V137" s="21" t="s">
        <v>528</v>
      </c>
      <c r="W137" s="21" t="s">
        <v>526</v>
      </c>
      <c r="X137" s="21" t="s">
        <v>132</v>
      </c>
      <c r="Y137" s="21">
        <v>46293.0</v>
      </c>
      <c r="Z137" s="21" t="s">
        <v>133</v>
      </c>
    </row>
    <row r="138" ht="15.75" customHeight="1">
      <c r="A138" s="22" t="s">
        <v>802</v>
      </c>
      <c r="B138" s="22" t="s">
        <v>852</v>
      </c>
      <c r="C138" s="22" t="s">
        <v>1034</v>
      </c>
      <c r="D138" s="22" t="s">
        <v>154</v>
      </c>
      <c r="E138" s="22" t="s">
        <v>155</v>
      </c>
      <c r="F138" s="38" t="s">
        <v>54</v>
      </c>
      <c r="G138" s="24">
        <v>58900.0</v>
      </c>
      <c r="H138" s="22"/>
      <c r="I138" s="22"/>
      <c r="J138" s="22"/>
      <c r="K138" s="22"/>
      <c r="L138" s="22"/>
      <c r="M138" s="22"/>
      <c r="N138" s="22"/>
      <c r="O138" s="22"/>
      <c r="P138" s="22"/>
      <c r="Q138" s="26" t="s">
        <v>628</v>
      </c>
      <c r="R138" s="22" t="s">
        <v>125</v>
      </c>
      <c r="S138" s="22" t="s">
        <v>126</v>
      </c>
      <c r="T138" s="22" t="s">
        <v>625</v>
      </c>
      <c r="U138" s="22" t="s">
        <v>129</v>
      </c>
      <c r="V138" s="21" t="s">
        <v>631</v>
      </c>
      <c r="W138" s="21" t="s">
        <v>630</v>
      </c>
      <c r="X138" s="21" t="s">
        <v>132</v>
      </c>
      <c r="Y138" s="21">
        <v>46293.0</v>
      </c>
      <c r="Z138" s="21" t="s">
        <v>133</v>
      </c>
    </row>
    <row r="139" ht="15.75" customHeight="1">
      <c r="A139" s="22" t="s">
        <v>802</v>
      </c>
      <c r="B139" s="22" t="s">
        <v>1035</v>
      </c>
      <c r="C139" s="22" t="s">
        <v>989</v>
      </c>
      <c r="D139" s="22" t="s">
        <v>412</v>
      </c>
      <c r="E139" s="22" t="s">
        <v>268</v>
      </c>
      <c r="F139" s="38" t="s">
        <v>54</v>
      </c>
      <c r="G139" s="24">
        <v>1206.0</v>
      </c>
      <c r="H139" s="22"/>
      <c r="I139" s="22"/>
      <c r="J139" s="22"/>
      <c r="K139" s="22"/>
      <c r="L139" s="22">
        <v>0.0</v>
      </c>
      <c r="M139" s="28" t="s">
        <v>137</v>
      </c>
      <c r="N139" s="24">
        <v>4.0</v>
      </c>
      <c r="O139" s="26" t="s">
        <v>991</v>
      </c>
      <c r="P139" s="26" t="s">
        <v>870</v>
      </c>
      <c r="Q139" s="22"/>
      <c r="R139" s="22" t="s">
        <v>125</v>
      </c>
      <c r="S139" s="22" t="s">
        <v>126</v>
      </c>
      <c r="T139" s="22" t="s">
        <v>990</v>
      </c>
      <c r="U139" s="22" t="s">
        <v>129</v>
      </c>
      <c r="V139" s="21" t="s">
        <v>872</v>
      </c>
      <c r="W139" s="21" t="s">
        <v>992</v>
      </c>
      <c r="X139" s="21" t="s">
        <v>132</v>
      </c>
      <c r="Y139" s="21">
        <v>46293.0</v>
      </c>
      <c r="Z139" s="21" t="s">
        <v>133</v>
      </c>
    </row>
    <row r="140" ht="15.75" customHeight="1">
      <c r="A140" s="22" t="s">
        <v>802</v>
      </c>
      <c r="B140" s="22" t="s">
        <v>1036</v>
      </c>
      <c r="C140" s="22" t="s">
        <v>996</v>
      </c>
      <c r="D140" s="22" t="s">
        <v>412</v>
      </c>
      <c r="E140" s="22" t="s">
        <v>268</v>
      </c>
      <c r="F140" s="38" t="s">
        <v>54</v>
      </c>
      <c r="G140" s="24">
        <v>33700.0</v>
      </c>
      <c r="H140" s="22"/>
      <c r="I140" s="22"/>
      <c r="J140" s="22"/>
      <c r="K140" s="22"/>
      <c r="L140" s="22">
        <v>21.0</v>
      </c>
      <c r="M140" s="35" t="s">
        <v>239</v>
      </c>
      <c r="N140" s="24">
        <v>199.0</v>
      </c>
      <c r="O140" s="26" t="s">
        <v>999</v>
      </c>
      <c r="P140" s="26" t="s">
        <v>881</v>
      </c>
      <c r="Q140" s="22"/>
      <c r="R140" s="22" t="s">
        <v>125</v>
      </c>
      <c r="S140" s="22" t="s">
        <v>126</v>
      </c>
      <c r="T140" s="22" t="s">
        <v>998</v>
      </c>
      <c r="U140" s="22" t="s">
        <v>129</v>
      </c>
      <c r="V140" s="21" t="s">
        <v>884</v>
      </c>
      <c r="W140" s="21" t="s">
        <v>1000</v>
      </c>
      <c r="X140" s="21" t="s">
        <v>132</v>
      </c>
      <c r="Y140" s="21">
        <v>46293.0</v>
      </c>
      <c r="Z140" s="21" t="s">
        <v>133</v>
      </c>
    </row>
    <row r="141" ht="15.75" customHeight="1">
      <c r="A141" s="22" t="s">
        <v>802</v>
      </c>
      <c r="B141" s="22" t="s">
        <v>1037</v>
      </c>
      <c r="C141" s="22" t="s">
        <v>1002</v>
      </c>
      <c r="D141" s="22" t="s">
        <v>412</v>
      </c>
      <c r="E141" s="22" t="s">
        <v>412</v>
      </c>
      <c r="F141" s="38" t="s">
        <v>54</v>
      </c>
      <c r="G141" s="24">
        <v>798.0</v>
      </c>
      <c r="H141" s="22"/>
      <c r="I141" s="22"/>
      <c r="J141" s="22"/>
      <c r="K141" s="22"/>
      <c r="L141" s="22">
        <v>0.0</v>
      </c>
      <c r="M141" s="28" t="s">
        <v>137</v>
      </c>
      <c r="N141" s="22"/>
      <c r="O141" s="26" t="s">
        <v>1005</v>
      </c>
      <c r="P141" s="26" t="s">
        <v>1038</v>
      </c>
      <c r="Q141" s="22"/>
      <c r="R141" s="22" t="s">
        <v>125</v>
      </c>
      <c r="S141" s="22" t="s">
        <v>126</v>
      </c>
      <c r="T141" s="22" t="s">
        <v>1039</v>
      </c>
      <c r="U141" s="22" t="s">
        <v>129</v>
      </c>
      <c r="V141" s="21" t="s">
        <v>1008</v>
      </c>
      <c r="W141" s="21" t="s">
        <v>1007</v>
      </c>
      <c r="X141" s="21" t="s">
        <v>132</v>
      </c>
      <c r="Y141" s="21">
        <v>46293.0</v>
      </c>
      <c r="Z141" s="21" t="s">
        <v>133</v>
      </c>
    </row>
    <row r="142" ht="15.75" customHeight="1">
      <c r="A142" s="22" t="s">
        <v>802</v>
      </c>
      <c r="B142" s="22" t="s">
        <v>1040</v>
      </c>
      <c r="C142" s="22" t="s">
        <v>1010</v>
      </c>
      <c r="D142" s="22" t="s">
        <v>412</v>
      </c>
      <c r="E142" s="22" t="s">
        <v>268</v>
      </c>
      <c r="F142" s="38" t="s">
        <v>54</v>
      </c>
      <c r="G142" s="24">
        <v>9056.0</v>
      </c>
      <c r="H142" s="22"/>
      <c r="I142" s="22"/>
      <c r="J142" s="22"/>
      <c r="K142" s="22"/>
      <c r="L142" s="22">
        <v>7.0</v>
      </c>
      <c r="M142" s="28" t="s">
        <v>137</v>
      </c>
      <c r="N142" s="24">
        <v>62.0</v>
      </c>
      <c r="O142" s="26" t="s">
        <v>1013</v>
      </c>
      <c r="P142" s="26" t="s">
        <v>970</v>
      </c>
      <c r="Q142" s="22"/>
      <c r="R142" s="22" t="s">
        <v>125</v>
      </c>
      <c r="S142" s="22" t="s">
        <v>126</v>
      </c>
      <c r="T142" s="22" t="s">
        <v>1012</v>
      </c>
      <c r="U142" s="22" t="s">
        <v>129</v>
      </c>
      <c r="V142" s="21" t="s">
        <v>972</v>
      </c>
      <c r="W142" s="21" t="s">
        <v>1014</v>
      </c>
      <c r="X142" s="21" t="s">
        <v>132</v>
      </c>
      <c r="Y142" s="21">
        <v>46293.0</v>
      </c>
      <c r="Z142" s="21" t="s">
        <v>133</v>
      </c>
    </row>
    <row r="143" ht="15.75" customHeight="1">
      <c r="A143" s="22" t="s">
        <v>802</v>
      </c>
      <c r="B143" s="22" t="s">
        <v>1041</v>
      </c>
      <c r="C143" s="22" t="s">
        <v>1024</v>
      </c>
      <c r="D143" s="22" t="s">
        <v>105</v>
      </c>
      <c r="E143" s="22" t="s">
        <v>106</v>
      </c>
      <c r="F143" s="38" t="s">
        <v>54</v>
      </c>
      <c r="G143" s="24">
        <v>175.0</v>
      </c>
      <c r="H143" s="22"/>
      <c r="I143" s="22"/>
      <c r="J143" s="22"/>
      <c r="K143" s="22"/>
      <c r="L143" s="22"/>
      <c r="M143" s="22"/>
      <c r="N143" s="22"/>
      <c r="O143" s="26" t="s">
        <v>1027</v>
      </c>
      <c r="P143" s="26" t="s">
        <v>929</v>
      </c>
      <c r="Q143" s="22"/>
      <c r="R143" s="22" t="s">
        <v>125</v>
      </c>
      <c r="S143" s="22" t="s">
        <v>126</v>
      </c>
      <c r="T143" s="22" t="s">
        <v>928</v>
      </c>
      <c r="U143" s="22" t="s">
        <v>129</v>
      </c>
      <c r="V143" s="21" t="s">
        <v>932</v>
      </c>
      <c r="W143" s="21" t="s">
        <v>931</v>
      </c>
      <c r="X143" s="21" t="s">
        <v>132</v>
      </c>
      <c r="Y143" s="21">
        <v>46293.0</v>
      </c>
      <c r="Z143" s="21" t="s">
        <v>133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U$143"/>
  <mergeCells count="5">
    <mergeCell ref="A7:E7"/>
    <mergeCell ref="F7:K7"/>
    <mergeCell ref="L7:N7"/>
    <mergeCell ref="O7:Q7"/>
    <mergeCell ref="R7:U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6.0"/>
    <col customWidth="1" min="2" max="2" width="18.0"/>
    <col customWidth="1" min="3" max="3" width="9.0"/>
    <col customWidth="1" min="4" max="4" width="8.0"/>
    <col customWidth="1" min="5" max="5" width="6.0"/>
    <col customWidth="1" min="6" max="6" width="9.0"/>
    <col customWidth="1" min="7" max="7" width="10.0"/>
    <col customWidth="1" min="8" max="8" width="6.0"/>
    <col customWidth="1" min="9" max="9" width="10.0"/>
    <col customWidth="1" min="10" max="10" width="9.0"/>
    <col customWidth="1" min="11" max="11" width="7.0"/>
    <col customWidth="1" min="12" max="12" width="6.0"/>
    <col customWidth="1" min="13" max="13" width="10.0"/>
    <col customWidth="1" min="14" max="14" width="9.0"/>
    <col customWidth="1" min="15" max="15" width="7.0"/>
    <col customWidth="1" min="16" max="16" width="6.0"/>
    <col customWidth="1" min="17" max="17" width="10.0"/>
    <col customWidth="1" min="18" max="18" width="9.0"/>
    <col customWidth="1" min="19" max="19" width="7.0"/>
    <col customWidth="1" min="20" max="20" width="10.0"/>
    <col customWidth="1" min="21" max="21" width="9.0"/>
    <col customWidth="1" min="22" max="22" width="36.0"/>
    <col customWidth="1" min="23" max="23" width="28.0"/>
    <col customWidth="1" min="24" max="26" width="8.71"/>
  </cols>
  <sheetData>
    <row r="1">
      <c r="A1" s="2" t="s">
        <v>4</v>
      </c>
    </row>
    <row r="2">
      <c r="A2" s="4" t="s">
        <v>8</v>
      </c>
    </row>
    <row r="3">
      <c r="A3" s="4" t="s">
        <v>13</v>
      </c>
    </row>
    <row r="4">
      <c r="A4" s="4" t="s">
        <v>19</v>
      </c>
    </row>
    <row r="6">
      <c r="A6" s="8"/>
      <c r="B6" s="9"/>
      <c r="C6" s="10"/>
      <c r="D6" s="12" t="s">
        <v>32</v>
      </c>
      <c r="E6" s="9"/>
      <c r="F6" s="9"/>
      <c r="G6" s="10"/>
      <c r="H6" s="14" t="s">
        <v>37</v>
      </c>
      <c r="I6" s="9"/>
      <c r="J6" s="9"/>
      <c r="K6" s="10"/>
      <c r="L6" s="16" t="s">
        <v>45</v>
      </c>
      <c r="M6" s="9"/>
      <c r="N6" s="9"/>
      <c r="O6" s="10"/>
      <c r="P6" s="20" t="s">
        <v>52</v>
      </c>
      <c r="Q6" s="9"/>
      <c r="R6" s="9"/>
      <c r="S6" s="10"/>
      <c r="T6" s="8"/>
      <c r="U6" s="9"/>
      <c r="V6" s="9"/>
      <c r="W6" s="10"/>
    </row>
    <row r="7" ht="31.5" customHeight="1">
      <c r="A7" s="18" t="s">
        <v>84</v>
      </c>
      <c r="B7" s="18" t="s">
        <v>88</v>
      </c>
      <c r="C7" s="18" t="s">
        <v>60</v>
      </c>
      <c r="D7" s="18" t="s">
        <v>69</v>
      </c>
      <c r="E7" s="18" t="s">
        <v>70</v>
      </c>
      <c r="F7" s="18" t="s">
        <v>72</v>
      </c>
      <c r="G7" s="18" t="s">
        <v>102</v>
      </c>
      <c r="H7" s="18" t="s">
        <v>104</v>
      </c>
      <c r="I7" s="18" t="s">
        <v>68</v>
      </c>
      <c r="J7" s="18" t="s">
        <v>79</v>
      </c>
      <c r="K7" s="18" t="s">
        <v>74</v>
      </c>
      <c r="L7" s="18" t="s">
        <v>104</v>
      </c>
      <c r="M7" s="18" t="s">
        <v>68</v>
      </c>
      <c r="N7" s="18" t="s">
        <v>79</v>
      </c>
      <c r="O7" s="18" t="s">
        <v>74</v>
      </c>
      <c r="P7" s="18" t="s">
        <v>104</v>
      </c>
      <c r="Q7" s="18" t="s">
        <v>68</v>
      </c>
      <c r="R7" s="18" t="s">
        <v>79</v>
      </c>
      <c r="S7" s="18" t="s">
        <v>74</v>
      </c>
      <c r="T7" s="18" t="s">
        <v>115</v>
      </c>
      <c r="U7" s="18" t="s">
        <v>118</v>
      </c>
      <c r="V7" s="18" t="s">
        <v>112</v>
      </c>
      <c r="W7" s="18" t="s">
        <v>47</v>
      </c>
      <c r="X7" s="21" t="s">
        <v>113</v>
      </c>
      <c r="Y7" s="21" t="s">
        <v>86</v>
      </c>
      <c r="Z7" s="21" t="s">
        <v>116</v>
      </c>
    </row>
    <row r="8">
      <c r="A8" s="22">
        <v>1.0</v>
      </c>
      <c r="B8" s="22" t="s">
        <v>134</v>
      </c>
      <c r="C8" s="23" t="s">
        <v>31</v>
      </c>
      <c r="D8" s="27">
        <v>1.0</v>
      </c>
      <c r="E8" s="28" t="s">
        <v>137</v>
      </c>
      <c r="F8" s="24">
        <v>6.0</v>
      </c>
      <c r="G8" s="24">
        <v>89700.0</v>
      </c>
      <c r="H8" s="22"/>
      <c r="I8" s="22"/>
      <c r="J8" s="22"/>
      <c r="K8" s="22"/>
      <c r="L8" s="22">
        <v>2.0</v>
      </c>
      <c r="M8" s="24">
        <v>98126.0</v>
      </c>
      <c r="N8" s="24">
        <v>2198.0224</v>
      </c>
      <c r="O8" s="30">
        <v>0.0224</v>
      </c>
      <c r="P8" s="22">
        <v>11.0</v>
      </c>
      <c r="Q8" s="24">
        <v>62411.0</v>
      </c>
      <c r="R8" s="24">
        <v>1747.508</v>
      </c>
      <c r="S8" s="30">
        <v>0.028</v>
      </c>
      <c r="T8" s="25">
        <v>0.6957748049052397</v>
      </c>
      <c r="U8" s="31">
        <v>0.5722548909647338</v>
      </c>
      <c r="V8" s="22" t="s">
        <v>166</v>
      </c>
      <c r="W8" s="26" t="s">
        <v>168</v>
      </c>
      <c r="X8" s="21" t="s">
        <v>169</v>
      </c>
      <c r="Y8" s="21" t="s">
        <v>170</v>
      </c>
      <c r="Z8" s="7" t="str">
        <f t="array" ref="Z8">_xlfn.XLOOKUP(X8,'측정 관리'!$A$5:$A$204,'측정 관리'!$K$5:$K$204,"",0)</f>
        <v>기간 확인 필요</v>
      </c>
    </row>
    <row r="9">
      <c r="A9" s="22">
        <v>2.0</v>
      </c>
      <c r="B9" s="22" t="s">
        <v>186</v>
      </c>
      <c r="C9" s="23" t="s">
        <v>31</v>
      </c>
      <c r="D9" s="27">
        <v>235.0</v>
      </c>
      <c r="E9" s="32" t="s">
        <v>190</v>
      </c>
      <c r="F9" s="24">
        <v>2206.0</v>
      </c>
      <c r="G9" s="24">
        <v>742429.0</v>
      </c>
      <c r="H9" s="22">
        <v>1.0</v>
      </c>
      <c r="I9" s="24">
        <v>68228.0</v>
      </c>
      <c r="J9" s="24">
        <v>743.6852</v>
      </c>
      <c r="K9" s="30">
        <v>0.0109</v>
      </c>
      <c r="L9" s="22">
        <v>9.0</v>
      </c>
      <c r="M9" s="24">
        <v>85897.0</v>
      </c>
      <c r="N9" s="24">
        <v>764.4833</v>
      </c>
      <c r="O9" s="30">
        <v>0.0089</v>
      </c>
      <c r="P9" s="22">
        <v>40.0</v>
      </c>
      <c r="Q9" s="24">
        <v>89477.0</v>
      </c>
      <c r="R9" s="24">
        <v>697.9205999999999</v>
      </c>
      <c r="S9" s="30">
        <v>0.0078</v>
      </c>
      <c r="T9" s="25">
        <v>0.1205192685091773</v>
      </c>
      <c r="U9" s="31">
        <v>-0.04001028197190337</v>
      </c>
      <c r="V9" s="22"/>
      <c r="W9" s="26" t="s">
        <v>200</v>
      </c>
      <c r="X9" s="21" t="s">
        <v>201</v>
      </c>
      <c r="Y9" s="21" t="s">
        <v>202</v>
      </c>
      <c r="Z9" s="7" t="str">
        <f t="array" ref="Z9">_xlfn.XLOOKUP(X9,'측정 관리'!$A$5:$A$204,'측정 관리'!$K$5:$K$204,"",0)</f>
        <v/>
      </c>
    </row>
    <row r="10">
      <c r="A10" s="22">
        <v>3.0</v>
      </c>
      <c r="B10" s="22" t="s">
        <v>211</v>
      </c>
      <c r="C10" s="23" t="s">
        <v>31</v>
      </c>
      <c r="D10" s="27">
        <v>128.0</v>
      </c>
      <c r="E10" s="33" t="s">
        <v>214</v>
      </c>
      <c r="F10" s="24">
        <v>990.0</v>
      </c>
      <c r="G10" s="24">
        <v>175000.0</v>
      </c>
      <c r="H10" s="22"/>
      <c r="I10" s="22"/>
      <c r="J10" s="22"/>
      <c r="K10" s="22"/>
      <c r="L10" s="22">
        <v>3.0</v>
      </c>
      <c r="M10" s="24">
        <v>66587.0</v>
      </c>
      <c r="N10" s="24">
        <v>685.8461</v>
      </c>
      <c r="O10" s="30">
        <v>0.0103</v>
      </c>
      <c r="P10" s="22">
        <v>11.0</v>
      </c>
      <c r="Q10" s="24">
        <v>74045.0</v>
      </c>
      <c r="R10" s="24">
        <v>659.0005</v>
      </c>
      <c r="S10" s="30">
        <v>0.0089</v>
      </c>
      <c r="T10" s="25">
        <v>0.4231142857142857</v>
      </c>
      <c r="U10" s="31">
        <v>-0.1007225335944358</v>
      </c>
      <c r="V10" s="22" t="s">
        <v>224</v>
      </c>
      <c r="W10" s="26" t="s">
        <v>225</v>
      </c>
      <c r="X10" s="21" t="s">
        <v>226</v>
      </c>
      <c r="Y10" s="21" t="s">
        <v>227</v>
      </c>
      <c r="Z10" s="7" t="str">
        <f t="array" ref="Z10">_xlfn.XLOOKUP(X10,'측정 관리'!$A$5:$A$204,'측정 관리'!$K$5:$K$204,"",0)</f>
        <v/>
      </c>
    </row>
    <row r="11">
      <c r="A11" s="22">
        <v>4.0</v>
      </c>
      <c r="B11" s="22" t="s">
        <v>235</v>
      </c>
      <c r="C11" s="23" t="s">
        <v>31</v>
      </c>
      <c r="D11" s="27">
        <v>133.0</v>
      </c>
      <c r="E11" s="33" t="s">
        <v>214</v>
      </c>
      <c r="F11" s="24">
        <v>1208.0</v>
      </c>
      <c r="G11" s="24">
        <v>610000.0</v>
      </c>
      <c r="H11" s="22">
        <v>14.0</v>
      </c>
      <c r="I11" s="24">
        <v>61808.0</v>
      </c>
      <c r="J11" s="24">
        <v>414.1136</v>
      </c>
      <c r="K11" s="30">
        <v>0.0067</v>
      </c>
      <c r="L11" s="22">
        <v>90.0</v>
      </c>
      <c r="M11" s="24">
        <v>77406.0</v>
      </c>
      <c r="N11" s="24">
        <v>642.4698</v>
      </c>
      <c r="O11" s="30">
        <v>0.0083</v>
      </c>
      <c r="P11" s="22">
        <v>304.0</v>
      </c>
      <c r="Q11" s="24">
        <v>85107.0</v>
      </c>
      <c r="R11" s="24">
        <v>561.7062</v>
      </c>
      <c r="S11" s="30">
        <v>0.0066</v>
      </c>
      <c r="T11" s="25">
        <v>0.1395196721311475</v>
      </c>
      <c r="U11" s="31">
        <v>-0.09048609397581864</v>
      </c>
      <c r="V11" s="22"/>
      <c r="W11" s="26" t="s">
        <v>242</v>
      </c>
      <c r="X11" s="21" t="s">
        <v>243</v>
      </c>
      <c r="Y11" s="21" t="s">
        <v>245</v>
      </c>
      <c r="Z11" s="7" t="str">
        <f t="array" ref="Z11">_xlfn.XLOOKUP(X11,'측정 관리'!$A$5:$A$204,'측정 관리'!$K$5:$K$204,"",0)</f>
        <v/>
      </c>
    </row>
    <row r="12">
      <c r="A12" s="22">
        <v>5.0</v>
      </c>
      <c r="B12" s="22" t="s">
        <v>253</v>
      </c>
      <c r="C12" s="23" t="s">
        <v>31</v>
      </c>
      <c r="D12" s="27">
        <v>270.0</v>
      </c>
      <c r="E12" s="32" t="s">
        <v>190</v>
      </c>
      <c r="F12" s="24">
        <v>2422.0</v>
      </c>
      <c r="G12" s="24">
        <v>550420.0</v>
      </c>
      <c r="H12" s="22">
        <v>3.0</v>
      </c>
      <c r="I12" s="24">
        <v>32786.0</v>
      </c>
      <c r="J12" s="24">
        <v>98.358</v>
      </c>
      <c r="K12" s="30">
        <v>0.003</v>
      </c>
      <c r="L12" s="22">
        <v>27.0</v>
      </c>
      <c r="M12" s="24">
        <v>86878.0</v>
      </c>
      <c r="N12" s="24">
        <v>408.3266</v>
      </c>
      <c r="O12" s="30">
        <v>0.0047</v>
      </c>
      <c r="P12" s="22">
        <v>59.0</v>
      </c>
      <c r="Q12" s="24">
        <v>85386.0</v>
      </c>
      <c r="R12" s="24">
        <v>409.8527999999999</v>
      </c>
      <c r="S12" s="30">
        <v>0.0048</v>
      </c>
      <c r="T12" s="25">
        <v>0.1551288107263544</v>
      </c>
      <c r="U12" s="31">
        <v>0.01747359051835184</v>
      </c>
      <c r="V12" s="22"/>
      <c r="W12" s="26" t="s">
        <v>262</v>
      </c>
      <c r="X12" s="21" t="s">
        <v>264</v>
      </c>
      <c r="Y12" s="21" t="s">
        <v>265</v>
      </c>
      <c r="Z12" s="7" t="str">
        <f t="array" ref="Z12">_xlfn.XLOOKUP(X12,'측정 관리'!$A$5:$A$204,'측정 관리'!$K$5:$K$204,"",0)</f>
        <v/>
      </c>
    </row>
    <row r="13">
      <c r="A13" s="22">
        <v>6.0</v>
      </c>
      <c r="B13" s="22" t="s">
        <v>277</v>
      </c>
      <c r="C13" s="29" t="s">
        <v>38</v>
      </c>
      <c r="D13" s="27">
        <v>153.0</v>
      </c>
      <c r="E13" s="33" t="s">
        <v>214</v>
      </c>
      <c r="F13" s="24">
        <v>1234.0</v>
      </c>
      <c r="G13" s="24">
        <v>118197.0</v>
      </c>
      <c r="H13" s="22">
        <v>1.0</v>
      </c>
      <c r="I13" s="24">
        <v>41344.0</v>
      </c>
      <c r="J13" s="24">
        <v>628.4288</v>
      </c>
      <c r="K13" s="30">
        <v>0.0152</v>
      </c>
      <c r="L13" s="22">
        <v>7.0</v>
      </c>
      <c r="M13" s="24">
        <v>22230.0</v>
      </c>
      <c r="N13" s="24">
        <v>342.342</v>
      </c>
      <c r="O13" s="30">
        <v>0.0154</v>
      </c>
      <c r="P13" s="22">
        <v>48.0</v>
      </c>
      <c r="Q13" s="24">
        <v>39946.0</v>
      </c>
      <c r="R13" s="24">
        <v>383.4816</v>
      </c>
      <c r="S13" s="30">
        <v>0.0096</v>
      </c>
      <c r="T13" s="25">
        <v>0.3379612003688757</v>
      </c>
      <c r="U13" s="31">
        <v>-0.4434987232764231</v>
      </c>
      <c r="V13" s="22" t="s">
        <v>289</v>
      </c>
      <c r="W13" s="26" t="s">
        <v>290</v>
      </c>
      <c r="X13" s="21" t="s">
        <v>292</v>
      </c>
      <c r="Y13" s="21" t="s">
        <v>293</v>
      </c>
      <c r="Z13" s="7" t="str">
        <f t="array" ref="Z13">_xlfn.XLOOKUP(X13,'측정 관리'!$A$5:$A$204,'측정 관리'!$K$5:$K$204,"",0)</f>
        <v/>
      </c>
    </row>
    <row r="14">
      <c r="A14" s="22">
        <v>7.0</v>
      </c>
      <c r="B14" s="22" t="s">
        <v>303</v>
      </c>
      <c r="C14" s="29" t="s">
        <v>38</v>
      </c>
      <c r="D14" s="27">
        <v>193.0</v>
      </c>
      <c r="E14" s="33" t="s">
        <v>214</v>
      </c>
      <c r="F14" s="24">
        <v>1860.0</v>
      </c>
      <c r="G14" s="24">
        <v>563000.0</v>
      </c>
      <c r="H14" s="22"/>
      <c r="I14" s="22"/>
      <c r="J14" s="22"/>
      <c r="K14" s="22"/>
      <c r="L14" s="22">
        <v>25.0</v>
      </c>
      <c r="M14" s="24">
        <v>52314.0</v>
      </c>
      <c r="N14" s="24">
        <v>360.9666</v>
      </c>
      <c r="O14" s="30">
        <v>0.0069</v>
      </c>
      <c r="P14" s="22">
        <v>81.0</v>
      </c>
      <c r="Q14" s="24">
        <v>65242.0</v>
      </c>
      <c r="R14" s="24">
        <v>345.7826</v>
      </c>
      <c r="S14" s="30">
        <v>0.0053</v>
      </c>
      <c r="T14" s="25">
        <v>0.1158827708703375</v>
      </c>
      <c r="U14" s="31">
        <v>-0.198154563011557</v>
      </c>
      <c r="V14" s="22"/>
      <c r="W14" s="26" t="s">
        <v>311</v>
      </c>
      <c r="X14" s="21" t="s">
        <v>315</v>
      </c>
      <c r="Y14" s="21" t="s">
        <v>316</v>
      </c>
      <c r="Z14" s="7" t="str">
        <f t="array" ref="Z14">_xlfn.XLOOKUP(X14,'측정 관리'!$A$5:$A$204,'측정 관리'!$K$5:$K$204,"",0)</f>
        <v>기간 확인 필요</v>
      </c>
    </row>
    <row r="15">
      <c r="A15" s="22">
        <v>8.0</v>
      </c>
      <c r="B15" s="22" t="s">
        <v>325</v>
      </c>
      <c r="C15" s="29" t="s">
        <v>38</v>
      </c>
      <c r="D15" s="27">
        <v>163.0</v>
      </c>
      <c r="E15" s="33" t="s">
        <v>214</v>
      </c>
      <c r="F15" s="24">
        <v>1645.0</v>
      </c>
      <c r="G15" s="24">
        <v>543000.0</v>
      </c>
      <c r="H15" s="22">
        <v>4.0</v>
      </c>
      <c r="I15" s="24">
        <v>139397.0</v>
      </c>
      <c r="J15" s="24">
        <v>376.3719</v>
      </c>
      <c r="K15" s="30">
        <v>0.0027</v>
      </c>
      <c r="L15" s="22">
        <v>52.0</v>
      </c>
      <c r="M15" s="24">
        <v>80919.0</v>
      </c>
      <c r="N15" s="24">
        <v>291.3084</v>
      </c>
      <c r="O15" s="30">
        <v>0.0036</v>
      </c>
      <c r="P15" s="22">
        <v>71.0</v>
      </c>
      <c r="Q15" s="24">
        <v>80343.0</v>
      </c>
      <c r="R15" s="24">
        <v>329.4063</v>
      </c>
      <c r="S15" s="30">
        <v>0.0041</v>
      </c>
      <c r="T15" s="25">
        <v>0.1479613259668508</v>
      </c>
      <c r="U15" s="31">
        <v>0.007169261790075154</v>
      </c>
      <c r="V15" s="22"/>
      <c r="W15" s="26" t="s">
        <v>336</v>
      </c>
      <c r="X15" s="21" t="s">
        <v>337</v>
      </c>
      <c r="Y15" s="21" t="s">
        <v>338</v>
      </c>
      <c r="Z15" s="7" t="str">
        <f t="array" ref="Z15">_xlfn.XLOOKUP(X15,'측정 관리'!$A$5:$A$204,'측정 관리'!$K$5:$K$204,"",0)</f>
        <v/>
      </c>
    </row>
    <row r="16">
      <c r="A16" s="22">
        <v>9.0</v>
      </c>
      <c r="B16" s="22" t="s">
        <v>345</v>
      </c>
      <c r="C16" s="29" t="s">
        <v>38</v>
      </c>
      <c r="D16" s="27">
        <v>145.0</v>
      </c>
      <c r="E16" s="33" t="s">
        <v>214</v>
      </c>
      <c r="F16" s="24">
        <v>1257.0</v>
      </c>
      <c r="G16" s="24">
        <v>232451.0</v>
      </c>
      <c r="H16" s="22"/>
      <c r="I16" s="22"/>
      <c r="J16" s="22"/>
      <c r="K16" s="22"/>
      <c r="L16" s="22">
        <v>14.0</v>
      </c>
      <c r="M16" s="24">
        <v>31005.0</v>
      </c>
      <c r="N16" s="24">
        <v>384.462</v>
      </c>
      <c r="O16" s="30">
        <v>0.0124</v>
      </c>
      <c r="P16" s="22">
        <v>42.0</v>
      </c>
      <c r="Q16" s="24">
        <v>25898.0</v>
      </c>
      <c r="R16" s="24">
        <v>292.6474</v>
      </c>
      <c r="S16" s="30">
        <v>0.0113</v>
      </c>
      <c r="T16" s="25">
        <v>0.1114127278437176</v>
      </c>
      <c r="U16" s="31">
        <v>0.1971966947254615</v>
      </c>
      <c r="V16" s="22"/>
      <c r="W16" s="26" t="s">
        <v>354</v>
      </c>
      <c r="X16" s="21" t="s">
        <v>355</v>
      </c>
      <c r="Y16" s="21" t="s">
        <v>356</v>
      </c>
      <c r="Z16" s="7" t="str">
        <f t="array" ref="Z16">_xlfn.XLOOKUP(X16,'측정 관리'!$A$5:$A$204,'측정 관리'!$K$5:$K$204,"",0)</f>
        <v/>
      </c>
    </row>
    <row r="17">
      <c r="A17" s="22">
        <v>10.0</v>
      </c>
      <c r="B17" s="22" t="s">
        <v>368</v>
      </c>
      <c r="C17" s="29" t="s">
        <v>38</v>
      </c>
      <c r="D17" s="27">
        <v>121.0</v>
      </c>
      <c r="E17" s="33" t="s">
        <v>214</v>
      </c>
      <c r="F17" s="24">
        <v>876.0</v>
      </c>
      <c r="G17" s="24">
        <v>128000.0</v>
      </c>
      <c r="H17" s="22">
        <v>5.0</v>
      </c>
      <c r="I17" s="24">
        <v>16513.0</v>
      </c>
      <c r="J17" s="24">
        <v>232.8333</v>
      </c>
      <c r="K17" s="30">
        <v>0.0141</v>
      </c>
      <c r="L17" s="22">
        <v>33.0</v>
      </c>
      <c r="M17" s="24">
        <v>18918.0</v>
      </c>
      <c r="N17" s="24">
        <v>304.5798</v>
      </c>
      <c r="O17" s="30">
        <v>0.0161</v>
      </c>
      <c r="P17" s="22">
        <v>145.0</v>
      </c>
      <c r="Q17" s="24">
        <v>26419.0</v>
      </c>
      <c r="R17" s="24">
        <v>287.9671</v>
      </c>
      <c r="S17" s="30">
        <v>0.0109</v>
      </c>
      <c r="T17" s="25">
        <v>0.2063984375</v>
      </c>
      <c r="U17" s="31">
        <v>-0.2839244483137137</v>
      </c>
      <c r="V17" s="22"/>
      <c r="W17" s="26" t="s">
        <v>378</v>
      </c>
      <c r="X17" s="21" t="s">
        <v>379</v>
      </c>
      <c r="Y17" s="21" t="s">
        <v>380</v>
      </c>
      <c r="Z17" s="7" t="str">
        <f t="array" ref="Z17">_xlfn.XLOOKUP(X17,'측정 관리'!$A$5:$A$204,'측정 관리'!$K$5:$K$204,"",0)</f>
        <v/>
      </c>
    </row>
    <row r="18">
      <c r="A18" s="22">
        <v>11.0</v>
      </c>
      <c r="B18" s="22" t="s">
        <v>386</v>
      </c>
      <c r="C18" s="29" t="s">
        <v>38</v>
      </c>
      <c r="D18" s="27">
        <v>423.0</v>
      </c>
      <c r="E18" s="32" t="s">
        <v>190</v>
      </c>
      <c r="F18" s="24">
        <v>3185.0</v>
      </c>
      <c r="G18" s="24">
        <v>352483.0</v>
      </c>
      <c r="H18" s="22">
        <v>2.0</v>
      </c>
      <c r="I18" s="24">
        <v>17567.0</v>
      </c>
      <c r="J18" s="24">
        <v>149.3195</v>
      </c>
      <c r="K18" s="30">
        <v>0.0085</v>
      </c>
      <c r="L18" s="22">
        <v>19.0</v>
      </c>
      <c r="M18" s="24">
        <v>27263.0</v>
      </c>
      <c r="N18" s="24">
        <v>245.367</v>
      </c>
      <c r="O18" s="30">
        <v>0.009</v>
      </c>
      <c r="P18" s="22">
        <v>146.0</v>
      </c>
      <c r="Q18" s="24">
        <v>38127.0</v>
      </c>
      <c r="R18" s="24">
        <v>259.2636</v>
      </c>
      <c r="S18" s="30">
        <v>0.0068</v>
      </c>
      <c r="T18" s="25">
        <v>0.1081669186882772</v>
      </c>
      <c r="U18" s="31">
        <v>-0.2849424292496131</v>
      </c>
      <c r="V18" s="22"/>
      <c r="W18" s="26" t="s">
        <v>396</v>
      </c>
      <c r="X18" s="21" t="s">
        <v>397</v>
      </c>
      <c r="Y18" s="21" t="s">
        <v>398</v>
      </c>
      <c r="Z18" s="7" t="str">
        <f t="array" ref="Z18">_xlfn.XLOOKUP(X18,'측정 관리'!$A$5:$A$204,'측정 관리'!$K$5:$K$204,"",0)</f>
        <v/>
      </c>
    </row>
    <row r="19">
      <c r="A19" s="22">
        <v>12.0</v>
      </c>
      <c r="B19" s="22" t="s">
        <v>408</v>
      </c>
      <c r="C19" s="29" t="s">
        <v>38</v>
      </c>
      <c r="D19" s="27">
        <v>59.0</v>
      </c>
      <c r="E19" s="36" t="s">
        <v>410</v>
      </c>
      <c r="F19" s="24">
        <v>447.0</v>
      </c>
      <c r="G19" s="24">
        <v>66900.0</v>
      </c>
      <c r="H19" s="22">
        <v>2.0</v>
      </c>
      <c r="I19" s="24">
        <v>12407.0</v>
      </c>
      <c r="J19" s="24">
        <v>116.6258</v>
      </c>
      <c r="K19" s="30">
        <v>0.0094</v>
      </c>
      <c r="L19" s="22">
        <v>17.0</v>
      </c>
      <c r="M19" s="24">
        <v>17577.0</v>
      </c>
      <c r="N19" s="24">
        <v>186.3162</v>
      </c>
      <c r="O19" s="30">
        <v>0.0106</v>
      </c>
      <c r="P19" s="22">
        <v>45.0</v>
      </c>
      <c r="Q19" s="24">
        <v>19233.0</v>
      </c>
      <c r="R19" s="24">
        <v>225.0261</v>
      </c>
      <c r="S19" s="30">
        <v>0.0117</v>
      </c>
      <c r="T19" s="25">
        <v>0.2874887892376682</v>
      </c>
      <c r="U19" s="31">
        <v>-0.08610201216658864</v>
      </c>
      <c r="V19" s="22"/>
      <c r="W19" s="26" t="s">
        <v>421</v>
      </c>
      <c r="X19" s="21" t="s">
        <v>422</v>
      </c>
      <c r="Y19" s="21" t="s">
        <v>196</v>
      </c>
      <c r="Z19" s="7" t="str">
        <f t="array" ref="Z19">_xlfn.XLOOKUP(X19,'측정 관리'!$A$5:$A$204,'측정 관리'!$K$5:$K$204,"",0)</f>
        <v/>
      </c>
    </row>
    <row r="20">
      <c r="A20" s="22">
        <v>13.0</v>
      </c>
      <c r="B20" s="22" t="s">
        <v>437</v>
      </c>
      <c r="C20" s="29" t="s">
        <v>38</v>
      </c>
      <c r="D20" s="27">
        <v>227.0</v>
      </c>
      <c r="E20" s="32" t="s">
        <v>190</v>
      </c>
      <c r="F20" s="24">
        <v>1898.0</v>
      </c>
      <c r="G20" s="24">
        <v>272253.0</v>
      </c>
      <c r="H20" s="22">
        <v>2.0</v>
      </c>
      <c r="I20" s="24">
        <v>17946.0</v>
      </c>
      <c r="J20" s="24">
        <v>224.325</v>
      </c>
      <c r="K20" s="30">
        <v>0.0125</v>
      </c>
      <c r="L20" s="22">
        <v>30.0</v>
      </c>
      <c r="M20" s="24">
        <v>20823.0</v>
      </c>
      <c r="N20" s="24">
        <v>191.5716</v>
      </c>
      <c r="O20" s="30">
        <v>0.0092</v>
      </c>
      <c r="P20" s="22">
        <v>181.0</v>
      </c>
      <c r="Q20" s="24">
        <v>23777.0</v>
      </c>
      <c r="R20" s="24">
        <v>209.2376</v>
      </c>
      <c r="S20" s="30">
        <v>0.0088</v>
      </c>
      <c r="T20" s="25">
        <v>0.08733420752021098</v>
      </c>
      <c r="U20" s="31">
        <v>-0.124237708710098</v>
      </c>
      <c r="V20" s="22"/>
      <c r="W20" s="26" t="s">
        <v>453</v>
      </c>
      <c r="X20" s="21" t="s">
        <v>455</v>
      </c>
      <c r="Y20" s="21" t="s">
        <v>456</v>
      </c>
      <c r="Z20" s="7" t="str">
        <f t="array" ref="Z20">_xlfn.XLOOKUP(X20,'측정 관리'!$A$5:$A$204,'측정 관리'!$K$5:$K$204,"",0)</f>
        <v/>
      </c>
    </row>
    <row r="21" ht="15.75" customHeight="1">
      <c r="A21" s="22">
        <v>14.0</v>
      </c>
      <c r="B21" s="22" t="s">
        <v>470</v>
      </c>
      <c r="C21" s="29" t="s">
        <v>38</v>
      </c>
      <c r="D21" s="27">
        <v>47.0</v>
      </c>
      <c r="E21" s="36" t="s">
        <v>410</v>
      </c>
      <c r="F21" s="24">
        <v>444.0</v>
      </c>
      <c r="G21" s="24">
        <v>58015.0</v>
      </c>
      <c r="H21" s="22"/>
      <c r="I21" s="22"/>
      <c r="J21" s="22"/>
      <c r="K21" s="22"/>
      <c r="L21" s="22">
        <v>2.0</v>
      </c>
      <c r="M21" s="24">
        <v>2986.0</v>
      </c>
      <c r="N21" s="24">
        <v>318.9048</v>
      </c>
      <c r="O21" s="30">
        <v>0.1068</v>
      </c>
      <c r="P21" s="22">
        <v>16.0</v>
      </c>
      <c r="Q21" s="24">
        <v>5438.0</v>
      </c>
      <c r="R21" s="24">
        <v>201.7498</v>
      </c>
      <c r="S21" s="30">
        <v>0.0371</v>
      </c>
      <c r="T21" s="25">
        <v>0.09373437903990348</v>
      </c>
      <c r="U21" s="31">
        <v>-0.4509010665685914</v>
      </c>
      <c r="V21" s="22" t="s">
        <v>481</v>
      </c>
      <c r="W21" s="26" t="s">
        <v>484</v>
      </c>
      <c r="X21" s="21" t="s">
        <v>485</v>
      </c>
      <c r="Y21" s="21" t="s">
        <v>486</v>
      </c>
      <c r="Z21" s="7" t="str">
        <f t="array" ref="Z21">_xlfn.XLOOKUP(X21,'측정 관리'!$A$5:$A$204,'측정 관리'!$K$5:$K$204,"",0)</f>
        <v/>
      </c>
    </row>
    <row r="22" ht="15.75" customHeight="1">
      <c r="A22" s="22">
        <v>15.0</v>
      </c>
      <c r="B22" s="22" t="s">
        <v>503</v>
      </c>
      <c r="C22" s="29" t="s">
        <v>38</v>
      </c>
      <c r="D22" s="27">
        <v>143.0</v>
      </c>
      <c r="E22" s="33" t="s">
        <v>214</v>
      </c>
      <c r="F22" s="24">
        <v>1249.0</v>
      </c>
      <c r="G22" s="24">
        <v>403000.0</v>
      </c>
      <c r="H22" s="22"/>
      <c r="I22" s="22"/>
      <c r="J22" s="22"/>
      <c r="K22" s="22"/>
      <c r="L22" s="22">
        <v>32.0</v>
      </c>
      <c r="M22" s="24">
        <v>39978.0</v>
      </c>
      <c r="N22" s="24">
        <v>187.8966</v>
      </c>
      <c r="O22" s="30">
        <v>0.0047</v>
      </c>
      <c r="P22" s="22">
        <v>147.0</v>
      </c>
      <c r="Q22" s="24">
        <v>35672.0</v>
      </c>
      <c r="R22" s="24">
        <v>171.2256</v>
      </c>
      <c r="S22" s="30">
        <v>0.0048</v>
      </c>
      <c r="T22" s="25">
        <v>0.08851612903225807</v>
      </c>
      <c r="U22" s="31">
        <v>0.1207109217313298</v>
      </c>
      <c r="V22" s="22"/>
      <c r="W22" s="26" t="s">
        <v>510</v>
      </c>
      <c r="X22" s="21" t="s">
        <v>512</v>
      </c>
      <c r="Y22" s="21" t="s">
        <v>473</v>
      </c>
      <c r="Z22" s="7" t="str">
        <f t="array" ref="Z22">_xlfn.XLOOKUP(X22,'측정 관리'!$A$5:$A$204,'측정 관리'!$K$5:$K$204,"",0)</f>
        <v/>
      </c>
    </row>
    <row r="23" ht="15.75" customHeight="1">
      <c r="A23" s="22">
        <v>16.0</v>
      </c>
      <c r="B23" s="22" t="s">
        <v>576</v>
      </c>
      <c r="C23" s="29" t="s">
        <v>38</v>
      </c>
      <c r="D23" s="27">
        <v>192.0</v>
      </c>
      <c r="E23" s="33" t="s">
        <v>214</v>
      </c>
      <c r="F23" s="24">
        <v>1601.0</v>
      </c>
      <c r="G23" s="24">
        <v>415069.0</v>
      </c>
      <c r="H23" s="22"/>
      <c r="I23" s="22"/>
      <c r="J23" s="22"/>
      <c r="K23" s="22"/>
      <c r="L23" s="22"/>
      <c r="M23" s="22"/>
      <c r="N23" s="22"/>
      <c r="O23" s="22"/>
      <c r="P23" s="22">
        <v>7.0</v>
      </c>
      <c r="Q23" s="24">
        <v>20832.0</v>
      </c>
      <c r="R23" s="24">
        <v>170.8224</v>
      </c>
      <c r="S23" s="30">
        <v>0.0082</v>
      </c>
      <c r="T23" s="25">
        <v>0.05018924564349542</v>
      </c>
      <c r="U23" s="22"/>
      <c r="V23" s="22" t="s">
        <v>590</v>
      </c>
      <c r="W23" s="26" t="s">
        <v>591</v>
      </c>
      <c r="X23" s="21" t="s">
        <v>593</v>
      </c>
      <c r="Y23" s="21" t="s">
        <v>594</v>
      </c>
      <c r="Z23" s="7" t="str">
        <f t="array" ref="Z23">_xlfn.XLOOKUP(X23,'측정 관리'!$A$5:$A$204,'측정 관리'!$K$5:$K$204,"",0)</f>
        <v/>
      </c>
    </row>
    <row r="24" ht="15.75" customHeight="1">
      <c r="A24" s="22">
        <v>17.0</v>
      </c>
      <c r="B24" s="22" t="s">
        <v>607</v>
      </c>
      <c r="C24" s="34" t="s">
        <v>42</v>
      </c>
      <c r="D24" s="27">
        <v>280.0</v>
      </c>
      <c r="E24" s="32" t="s">
        <v>190</v>
      </c>
      <c r="F24" s="24">
        <v>2014.0</v>
      </c>
      <c r="G24" s="24">
        <v>263424.0</v>
      </c>
      <c r="H24" s="22">
        <v>6.0</v>
      </c>
      <c r="I24" s="24">
        <v>13439.0</v>
      </c>
      <c r="J24" s="24">
        <v>114.2315</v>
      </c>
      <c r="K24" s="30">
        <v>0.0085</v>
      </c>
      <c r="L24" s="22">
        <v>98.0</v>
      </c>
      <c r="M24" s="24">
        <v>16398.0</v>
      </c>
      <c r="N24" s="24">
        <v>162.3402</v>
      </c>
      <c r="O24" s="30">
        <v>0.0099</v>
      </c>
      <c r="P24" s="22">
        <v>530.0</v>
      </c>
      <c r="Q24" s="24">
        <v>14357.0</v>
      </c>
      <c r="R24" s="24">
        <v>119.1631</v>
      </c>
      <c r="S24" s="30">
        <v>0.0083</v>
      </c>
      <c r="T24" s="25">
        <v>0.0545014880952381</v>
      </c>
      <c r="U24" s="31">
        <v>0.1421606185136171</v>
      </c>
      <c r="V24" s="22" t="s">
        <v>623</v>
      </c>
      <c r="W24" s="26" t="s">
        <v>624</v>
      </c>
      <c r="X24" s="21" t="s">
        <v>626</v>
      </c>
      <c r="Y24" s="21" t="s">
        <v>629</v>
      </c>
      <c r="Z24" s="7" t="str">
        <f t="array" ref="Z24">_xlfn.XLOOKUP(X24,'측정 관리'!$A$5:$A$204,'측정 관리'!$K$5:$K$204,"",0)</f>
        <v/>
      </c>
    </row>
    <row r="25" ht="15.75" customHeight="1">
      <c r="A25" s="22">
        <v>18.0</v>
      </c>
      <c r="B25" s="22" t="s">
        <v>642</v>
      </c>
      <c r="C25" s="34" t="s">
        <v>42</v>
      </c>
      <c r="D25" s="27">
        <v>46.0</v>
      </c>
      <c r="E25" s="36" t="s">
        <v>410</v>
      </c>
      <c r="F25" s="24">
        <v>413.0</v>
      </c>
      <c r="G25" s="24">
        <v>18700.0</v>
      </c>
      <c r="H25" s="22"/>
      <c r="I25" s="22"/>
      <c r="J25" s="22"/>
      <c r="K25" s="22"/>
      <c r="L25" s="22">
        <v>4.0</v>
      </c>
      <c r="M25" s="24">
        <v>8172.0</v>
      </c>
      <c r="N25" s="24">
        <v>79.2684</v>
      </c>
      <c r="O25" s="30">
        <v>0.0097</v>
      </c>
      <c r="P25" s="22">
        <v>18.0</v>
      </c>
      <c r="Q25" s="24">
        <v>7805.0</v>
      </c>
      <c r="R25" s="24">
        <v>115.514</v>
      </c>
      <c r="S25" s="30">
        <v>0.0148</v>
      </c>
      <c r="T25" s="25">
        <v>0.417379679144385</v>
      </c>
      <c r="U25" s="31">
        <v>0.04702114029468296</v>
      </c>
      <c r="V25" s="22"/>
      <c r="W25" s="26" t="s">
        <v>661</v>
      </c>
      <c r="X25" s="21" t="s">
        <v>662</v>
      </c>
      <c r="Y25" s="21" t="s">
        <v>663</v>
      </c>
      <c r="Z25" s="7" t="str">
        <f t="array" ref="Z25">_xlfn.XLOOKUP(X25,'측정 관리'!$A$5:$A$204,'측정 관리'!$K$5:$K$204,"",0)</f>
        <v/>
      </c>
    </row>
    <row r="26" ht="15.75" customHeight="1">
      <c r="A26" s="22">
        <v>19.0</v>
      </c>
      <c r="B26" s="22" t="s">
        <v>680</v>
      </c>
      <c r="C26" s="34" t="s">
        <v>42</v>
      </c>
      <c r="D26" s="27">
        <v>189.0</v>
      </c>
      <c r="E26" s="33" t="s">
        <v>214</v>
      </c>
      <c r="F26" s="24">
        <v>1556.0</v>
      </c>
      <c r="G26" s="24">
        <v>377469.0</v>
      </c>
      <c r="H26" s="22">
        <v>2.0</v>
      </c>
      <c r="I26" s="24">
        <v>12650.0</v>
      </c>
      <c r="J26" s="24">
        <v>65.78</v>
      </c>
      <c r="K26" s="30">
        <v>0.0052</v>
      </c>
      <c r="L26" s="22">
        <v>16.0</v>
      </c>
      <c r="M26" s="24">
        <v>19177.0</v>
      </c>
      <c r="N26" s="24">
        <v>109.3089</v>
      </c>
      <c r="O26" s="30">
        <v>0.0057</v>
      </c>
      <c r="P26" s="22">
        <v>63.0</v>
      </c>
      <c r="Q26" s="24">
        <v>19273.0</v>
      </c>
      <c r="R26" s="24">
        <v>96.36500000000001</v>
      </c>
      <c r="S26" s="30">
        <v>0.005</v>
      </c>
      <c r="T26" s="25">
        <v>0.05105849751900156</v>
      </c>
      <c r="U26" s="31">
        <v>-0.004981061588751112</v>
      </c>
      <c r="V26" s="22"/>
      <c r="W26" s="26" t="s">
        <v>696</v>
      </c>
      <c r="X26" s="21" t="s">
        <v>697</v>
      </c>
      <c r="Y26" s="21" t="s">
        <v>288</v>
      </c>
      <c r="Z26" s="7" t="str">
        <f t="array" ref="Z26">_xlfn.XLOOKUP(X26,'측정 관리'!$A$5:$A$204,'측정 관리'!$K$5:$K$204,"",0)</f>
        <v/>
      </c>
    </row>
    <row r="27" ht="15.75" customHeight="1">
      <c r="A27" s="22">
        <v>20.0</v>
      </c>
      <c r="B27" s="22" t="s">
        <v>715</v>
      </c>
      <c r="C27" s="34" t="s">
        <v>42</v>
      </c>
      <c r="D27" s="27">
        <v>52.0</v>
      </c>
      <c r="E27" s="36" t="s">
        <v>410</v>
      </c>
      <c r="F27" s="24">
        <v>503.0</v>
      </c>
      <c r="G27" s="24">
        <v>185000.0</v>
      </c>
      <c r="H27" s="22">
        <v>7.0</v>
      </c>
      <c r="I27" s="24">
        <v>17926.0</v>
      </c>
      <c r="J27" s="24">
        <v>75.2892</v>
      </c>
      <c r="K27" s="30">
        <v>0.0042</v>
      </c>
      <c r="L27" s="22">
        <v>44.0</v>
      </c>
      <c r="M27" s="24">
        <v>18320.0</v>
      </c>
      <c r="N27" s="24">
        <v>119.08</v>
      </c>
      <c r="O27" s="30">
        <v>0.0065</v>
      </c>
      <c r="P27" s="22">
        <v>157.0</v>
      </c>
      <c r="Q27" s="24">
        <v>15729.0</v>
      </c>
      <c r="R27" s="24">
        <v>91.22819999999999</v>
      </c>
      <c r="S27" s="30">
        <v>0.0058</v>
      </c>
      <c r="T27" s="25">
        <v>0.08502162162162162</v>
      </c>
      <c r="U27" s="31">
        <v>0.1647275732722995</v>
      </c>
      <c r="V27" s="22"/>
      <c r="W27" s="26" t="s">
        <v>730</v>
      </c>
      <c r="X27" s="21" t="s">
        <v>732</v>
      </c>
      <c r="Y27" s="21" t="s">
        <v>270</v>
      </c>
      <c r="Z27" s="7" t="str">
        <f t="array" ref="Z27">_xlfn.XLOOKUP(X27,'측정 관리'!$A$5:$A$204,'측정 관리'!$K$5:$K$204,"",0)</f>
        <v/>
      </c>
    </row>
    <row r="28" ht="15.75" customHeight="1">
      <c r="A28" s="22">
        <v>21.0</v>
      </c>
      <c r="B28" s="22" t="s">
        <v>747</v>
      </c>
      <c r="C28" s="34" t="s">
        <v>42</v>
      </c>
      <c r="D28" s="27">
        <v>12.0</v>
      </c>
      <c r="E28" s="28" t="s">
        <v>137</v>
      </c>
      <c r="F28" s="24">
        <v>118.0</v>
      </c>
      <c r="G28" s="24">
        <v>95400.0</v>
      </c>
      <c r="H28" s="22">
        <v>2.0</v>
      </c>
      <c r="I28" s="24">
        <v>8659.0</v>
      </c>
      <c r="J28" s="24">
        <v>33.7701</v>
      </c>
      <c r="K28" s="30">
        <v>0.0039</v>
      </c>
      <c r="L28" s="22">
        <v>18.0</v>
      </c>
      <c r="M28" s="24">
        <v>37359.0</v>
      </c>
      <c r="N28" s="24">
        <v>85.92569999999999</v>
      </c>
      <c r="O28" s="30">
        <v>0.0023</v>
      </c>
      <c r="P28" s="22">
        <v>57.0</v>
      </c>
      <c r="Q28" s="24">
        <v>28303.0</v>
      </c>
      <c r="R28" s="24">
        <v>87.7393</v>
      </c>
      <c r="S28" s="30">
        <v>0.0031</v>
      </c>
      <c r="T28" s="25">
        <v>0.2966771488469602</v>
      </c>
      <c r="U28" s="31">
        <v>0.3199660813341343</v>
      </c>
      <c r="V28" s="22" t="s">
        <v>760</v>
      </c>
      <c r="W28" s="26" t="s">
        <v>761</v>
      </c>
      <c r="X28" s="21" t="s">
        <v>762</v>
      </c>
      <c r="Y28" s="21" t="s">
        <v>763</v>
      </c>
      <c r="Z28" s="7" t="str">
        <f t="array" ref="Z28">_xlfn.XLOOKUP(X28,'측정 관리'!$A$5:$A$204,'측정 관리'!$K$5:$K$204,"",0)</f>
        <v/>
      </c>
    </row>
    <row r="29" ht="15.75" customHeight="1">
      <c r="A29" s="22">
        <v>22.0</v>
      </c>
      <c r="B29" s="22" t="s">
        <v>769</v>
      </c>
      <c r="C29" s="34" t="s">
        <v>42</v>
      </c>
      <c r="D29" s="27">
        <v>8.0</v>
      </c>
      <c r="E29" s="28" t="s">
        <v>137</v>
      </c>
      <c r="F29" s="24">
        <v>79.0</v>
      </c>
      <c r="G29" s="24">
        <v>61000.0</v>
      </c>
      <c r="H29" s="22">
        <v>1.0</v>
      </c>
      <c r="I29" s="24">
        <v>27940.0</v>
      </c>
      <c r="J29" s="24">
        <v>226.314</v>
      </c>
      <c r="K29" s="30">
        <v>0.008100000000000001</v>
      </c>
      <c r="L29" s="22">
        <v>12.0</v>
      </c>
      <c r="M29" s="24">
        <v>7772.0</v>
      </c>
      <c r="N29" s="24">
        <v>48.1864</v>
      </c>
      <c r="O29" s="30">
        <v>0.0062</v>
      </c>
      <c r="P29" s="22">
        <v>39.0</v>
      </c>
      <c r="Q29" s="24">
        <v>12384.0</v>
      </c>
      <c r="R29" s="24">
        <v>84.2112</v>
      </c>
      <c r="S29" s="30">
        <v>0.0068</v>
      </c>
      <c r="T29" s="25">
        <v>0.203016393442623</v>
      </c>
      <c r="U29" s="31">
        <v>-0.3724160206718347</v>
      </c>
      <c r="V29" s="22" t="s">
        <v>777</v>
      </c>
      <c r="W29" s="26" t="s">
        <v>778</v>
      </c>
      <c r="X29" s="21" t="s">
        <v>779</v>
      </c>
      <c r="Y29" s="21" t="s">
        <v>554</v>
      </c>
      <c r="Z29" s="7" t="str">
        <f t="array" ref="Z29">_xlfn.XLOOKUP(X29,'측정 관리'!$A$5:$A$204,'측정 관리'!$K$5:$K$204,"",0)</f>
        <v/>
      </c>
    </row>
    <row r="30" ht="15.75" customHeight="1">
      <c r="A30" s="22">
        <v>23.0</v>
      </c>
      <c r="B30" s="22" t="s">
        <v>786</v>
      </c>
      <c r="C30" s="34" t="s">
        <v>42</v>
      </c>
      <c r="D30" s="27">
        <v>46.0</v>
      </c>
      <c r="E30" s="36" t="s">
        <v>410</v>
      </c>
      <c r="F30" s="24">
        <v>436.0</v>
      </c>
      <c r="G30" s="24">
        <v>30300.0</v>
      </c>
      <c r="H30" s="22">
        <v>1.0</v>
      </c>
      <c r="I30" s="24">
        <v>373.0</v>
      </c>
      <c r="J30" s="24">
        <v>7.0124</v>
      </c>
      <c r="K30" s="30">
        <v>0.0188</v>
      </c>
      <c r="L30" s="22">
        <v>3.0</v>
      </c>
      <c r="M30" s="24">
        <v>5652.0</v>
      </c>
      <c r="N30" s="24">
        <v>54.25919999999999</v>
      </c>
      <c r="O30" s="30">
        <v>0.0096</v>
      </c>
      <c r="P30" s="22">
        <v>31.0</v>
      </c>
      <c r="Q30" s="24">
        <v>5881.0</v>
      </c>
      <c r="R30" s="24">
        <v>79.3935</v>
      </c>
      <c r="S30" s="30">
        <v>0.0135</v>
      </c>
      <c r="T30" s="25">
        <v>0.1940924092409241</v>
      </c>
      <c r="U30" s="31">
        <v>-0.03893895595987074</v>
      </c>
      <c r="V30" s="22"/>
      <c r="W30" s="26" t="s">
        <v>790</v>
      </c>
      <c r="X30" s="21" t="s">
        <v>791</v>
      </c>
      <c r="Y30" s="21" t="s">
        <v>649</v>
      </c>
      <c r="Z30" s="7" t="str">
        <f t="array" ref="Z30">_xlfn.XLOOKUP(X30,'측정 관리'!$A$5:$A$204,'측정 관리'!$K$5:$K$204,"",0)</f>
        <v/>
      </c>
    </row>
    <row r="31" ht="15.75" customHeight="1">
      <c r="A31" s="22">
        <v>24.0</v>
      </c>
      <c r="B31" s="22" t="s">
        <v>795</v>
      </c>
      <c r="C31" s="34" t="s">
        <v>42</v>
      </c>
      <c r="D31" s="27">
        <v>20.0</v>
      </c>
      <c r="E31" s="35" t="s">
        <v>239</v>
      </c>
      <c r="F31" s="24">
        <v>175.0</v>
      </c>
      <c r="G31" s="24">
        <v>50800.0</v>
      </c>
      <c r="H31" s="22">
        <v>2.0</v>
      </c>
      <c r="I31" s="24">
        <v>5424.0</v>
      </c>
      <c r="J31" s="24">
        <v>46.6464</v>
      </c>
      <c r="K31" s="30">
        <v>0.0086</v>
      </c>
      <c r="L31" s="22">
        <v>36.0</v>
      </c>
      <c r="M31" s="24">
        <v>22663.0</v>
      </c>
      <c r="N31" s="24">
        <v>77.05420000000001</v>
      </c>
      <c r="O31" s="30">
        <v>0.0034</v>
      </c>
      <c r="P31" s="22">
        <v>36.0</v>
      </c>
      <c r="Q31" s="24">
        <v>22663.0</v>
      </c>
      <c r="R31" s="24">
        <v>77.05420000000001</v>
      </c>
      <c r="S31" s="30">
        <v>0.0034</v>
      </c>
      <c r="T31" s="25">
        <v>0.4461220472440945</v>
      </c>
      <c r="U31" s="31">
        <v>0.0</v>
      </c>
      <c r="V31" s="22" t="s">
        <v>804</v>
      </c>
      <c r="W31" s="26" t="s">
        <v>807</v>
      </c>
      <c r="X31" s="21" t="s">
        <v>808</v>
      </c>
      <c r="Y31" s="21" t="s">
        <v>809</v>
      </c>
      <c r="Z31" s="7" t="str">
        <f t="array" ref="Z31">_xlfn.XLOOKUP(X31,'측정 관리'!$A$5:$A$204,'측정 관리'!$K$5:$K$204,"",0)</f>
        <v/>
      </c>
    </row>
    <row r="32" ht="15.75" customHeight="1">
      <c r="A32" s="22">
        <v>25.0</v>
      </c>
      <c r="B32" s="22" t="s">
        <v>812</v>
      </c>
      <c r="C32" s="34" t="s">
        <v>42</v>
      </c>
      <c r="D32" s="27">
        <v>91.0</v>
      </c>
      <c r="E32" s="36" t="s">
        <v>410</v>
      </c>
      <c r="F32" s="24">
        <v>547.0</v>
      </c>
      <c r="G32" s="24">
        <v>18500.0</v>
      </c>
      <c r="H32" s="22">
        <v>1.0</v>
      </c>
      <c r="I32" s="24">
        <v>1722.0</v>
      </c>
      <c r="J32" s="24">
        <v>9.987599999999999</v>
      </c>
      <c r="K32" s="30">
        <v>0.0058</v>
      </c>
      <c r="L32" s="22">
        <v>13.0</v>
      </c>
      <c r="M32" s="24">
        <v>2642.0</v>
      </c>
      <c r="N32" s="24">
        <v>15.0594</v>
      </c>
      <c r="O32" s="30">
        <v>0.0057</v>
      </c>
      <c r="P32" s="22">
        <v>31.0</v>
      </c>
      <c r="Q32" s="24">
        <v>10491.0</v>
      </c>
      <c r="R32" s="24">
        <v>65.0442</v>
      </c>
      <c r="S32" s="30">
        <v>0.0062</v>
      </c>
      <c r="T32" s="25">
        <v>0.5670810810810811</v>
      </c>
      <c r="U32" s="31">
        <v>-0.748165093890001</v>
      </c>
      <c r="V32" s="22"/>
      <c r="W32" s="26" t="s">
        <v>820</v>
      </c>
      <c r="X32" s="21" t="s">
        <v>821</v>
      </c>
      <c r="Y32" s="21" t="s">
        <v>822</v>
      </c>
      <c r="Z32" s="7" t="str">
        <f t="array" ref="Z32">_xlfn.XLOOKUP(X32,'측정 관리'!$A$5:$A$204,'측정 관리'!$K$5:$K$204,"",0)</f>
        <v/>
      </c>
    </row>
    <row r="33" ht="15.75" customHeight="1">
      <c r="A33" s="22">
        <v>26.0</v>
      </c>
      <c r="B33" s="22" t="s">
        <v>832</v>
      </c>
      <c r="C33" s="34" t="s">
        <v>42</v>
      </c>
      <c r="D33" s="27">
        <v>26.0</v>
      </c>
      <c r="E33" s="35" t="s">
        <v>239</v>
      </c>
      <c r="F33" s="24">
        <v>193.0</v>
      </c>
      <c r="G33" s="24">
        <v>32500.0</v>
      </c>
      <c r="H33" s="22">
        <v>7.0</v>
      </c>
      <c r="I33" s="24">
        <v>5099.0</v>
      </c>
      <c r="J33" s="24">
        <v>56.08900000000001</v>
      </c>
      <c r="K33" s="30">
        <v>0.011</v>
      </c>
      <c r="L33" s="22">
        <v>56.0</v>
      </c>
      <c r="M33" s="24">
        <v>5937.0</v>
      </c>
      <c r="N33" s="24">
        <v>58.1826</v>
      </c>
      <c r="O33" s="30">
        <v>0.0098</v>
      </c>
      <c r="P33" s="22">
        <v>56.0</v>
      </c>
      <c r="Q33" s="24">
        <v>5937.0</v>
      </c>
      <c r="R33" s="24">
        <v>58.1826</v>
      </c>
      <c r="S33" s="30">
        <v>0.0098</v>
      </c>
      <c r="T33" s="25">
        <v>0.1826769230769231</v>
      </c>
      <c r="U33" s="31">
        <v>0.0</v>
      </c>
      <c r="V33" s="22" t="s">
        <v>840</v>
      </c>
      <c r="W33" s="26" t="s">
        <v>841</v>
      </c>
      <c r="X33" s="21" t="s">
        <v>842</v>
      </c>
      <c r="Y33" s="21" t="s">
        <v>583</v>
      </c>
      <c r="Z33" s="7" t="str">
        <f t="array" ref="Z33">_xlfn.XLOOKUP(X33,'측정 관리'!$A$5:$A$204,'측정 관리'!$K$5:$K$204,"",0)</f>
        <v/>
      </c>
    </row>
    <row r="34" ht="15.75" customHeight="1">
      <c r="A34" s="22">
        <v>27.0</v>
      </c>
      <c r="B34" s="22" t="s">
        <v>854</v>
      </c>
      <c r="C34" s="37" t="s">
        <v>48</v>
      </c>
      <c r="D34" s="27">
        <v>133.0</v>
      </c>
      <c r="E34" s="33" t="s">
        <v>214</v>
      </c>
      <c r="F34" s="24">
        <v>1138.0</v>
      </c>
      <c r="G34" s="24">
        <v>132000.0</v>
      </c>
      <c r="H34" s="22"/>
      <c r="I34" s="22"/>
      <c r="J34" s="22"/>
      <c r="K34" s="22"/>
      <c r="L34" s="22">
        <v>6.0</v>
      </c>
      <c r="M34" s="24">
        <v>6670.0</v>
      </c>
      <c r="N34" s="24">
        <v>46.023</v>
      </c>
      <c r="O34" s="30">
        <v>0.0069</v>
      </c>
      <c r="P34" s="22">
        <v>25.0</v>
      </c>
      <c r="Q34" s="24">
        <v>6494.0</v>
      </c>
      <c r="R34" s="24">
        <v>42.211</v>
      </c>
      <c r="S34" s="30">
        <v>0.0065</v>
      </c>
      <c r="T34" s="25">
        <v>0.0491969696969697</v>
      </c>
      <c r="U34" s="31">
        <v>0.02710194025254076</v>
      </c>
      <c r="V34" s="22" t="s">
        <v>862</v>
      </c>
      <c r="W34" s="26" t="s">
        <v>863</v>
      </c>
      <c r="X34" s="21" t="s">
        <v>864</v>
      </c>
      <c r="Y34" s="21" t="s">
        <v>831</v>
      </c>
      <c r="Z34" s="7" t="str">
        <f t="array" ref="Z34">_xlfn.XLOOKUP(X34,'측정 관리'!$A$5:$A$204,'측정 관리'!$K$5:$K$204,"",0)</f>
        <v/>
      </c>
    </row>
    <row r="35" ht="15.75" customHeight="1">
      <c r="A35" s="22">
        <v>28.0</v>
      </c>
      <c r="B35" s="22" t="s">
        <v>874</v>
      </c>
      <c r="C35" s="37" t="s">
        <v>48</v>
      </c>
      <c r="D35" s="27">
        <v>5.0</v>
      </c>
      <c r="E35" s="28" t="s">
        <v>137</v>
      </c>
      <c r="F35" s="24">
        <v>59.0</v>
      </c>
      <c r="G35" s="24">
        <v>45200.0</v>
      </c>
      <c r="H35" s="22">
        <v>1.0</v>
      </c>
      <c r="I35" s="24">
        <v>5837.0</v>
      </c>
      <c r="J35" s="24">
        <v>35.022</v>
      </c>
      <c r="K35" s="30">
        <v>0.006</v>
      </c>
      <c r="L35" s="22">
        <v>8.0</v>
      </c>
      <c r="M35" s="24">
        <v>6773.0</v>
      </c>
      <c r="N35" s="24">
        <v>38.6061</v>
      </c>
      <c r="O35" s="30">
        <v>0.005699999999999999</v>
      </c>
      <c r="P35" s="22">
        <v>34.0</v>
      </c>
      <c r="Q35" s="24">
        <v>9013.0</v>
      </c>
      <c r="R35" s="24">
        <v>27.9403</v>
      </c>
      <c r="S35" s="30">
        <v>0.0031</v>
      </c>
      <c r="T35" s="25">
        <v>0.1994026548672566</v>
      </c>
      <c r="U35" s="31">
        <v>-0.2485299012537446</v>
      </c>
      <c r="V35" s="22"/>
      <c r="W35" s="26" t="s">
        <v>883</v>
      </c>
      <c r="X35" s="21" t="s">
        <v>885</v>
      </c>
      <c r="Y35" s="21" t="s">
        <v>614</v>
      </c>
      <c r="Z35" s="7" t="str">
        <f t="array" ref="Z35">_xlfn.XLOOKUP(X35,'측정 관리'!$A$5:$A$204,'측정 관리'!$K$5:$K$204,"",0)</f>
        <v/>
      </c>
    </row>
    <row r="36" ht="15.75" customHeight="1">
      <c r="A36" s="22">
        <v>29.0</v>
      </c>
      <c r="B36" s="22" t="s">
        <v>890</v>
      </c>
      <c r="C36" s="37" t="s">
        <v>48</v>
      </c>
      <c r="D36" s="27">
        <v>24.0</v>
      </c>
      <c r="E36" s="35" t="s">
        <v>239</v>
      </c>
      <c r="F36" s="24">
        <v>201.0</v>
      </c>
      <c r="G36" s="24">
        <v>22800.0</v>
      </c>
      <c r="H36" s="22">
        <v>1.0</v>
      </c>
      <c r="I36" s="24">
        <v>1687.0</v>
      </c>
      <c r="J36" s="24">
        <v>40.9941</v>
      </c>
      <c r="K36" s="30">
        <v>0.0243</v>
      </c>
      <c r="L36" s="22">
        <v>13.0</v>
      </c>
      <c r="M36" s="24">
        <v>1897.0</v>
      </c>
      <c r="N36" s="24">
        <v>25.6095</v>
      </c>
      <c r="O36" s="30">
        <v>0.0135</v>
      </c>
      <c r="P36" s="22">
        <v>16.0</v>
      </c>
      <c r="Q36" s="24">
        <v>2009.0</v>
      </c>
      <c r="R36" s="24">
        <v>27.1215</v>
      </c>
      <c r="S36" s="30">
        <v>0.0135</v>
      </c>
      <c r="T36" s="25">
        <v>0.0881140350877193</v>
      </c>
      <c r="U36" s="31">
        <v>-0.05574912891986061</v>
      </c>
      <c r="V36" s="22" t="s">
        <v>897</v>
      </c>
      <c r="W36" s="26" t="s">
        <v>898</v>
      </c>
      <c r="X36" s="21" t="s">
        <v>899</v>
      </c>
      <c r="Y36" s="21" t="s">
        <v>726</v>
      </c>
      <c r="Z36" s="7" t="str">
        <f t="array" ref="Z36">_xlfn.XLOOKUP(X36,'측정 관리'!$A$5:$A$204,'측정 관리'!$K$5:$K$204,"",0)</f>
        <v/>
      </c>
    </row>
    <row r="37" ht="15.75" customHeight="1">
      <c r="A37" s="22">
        <v>30.0</v>
      </c>
      <c r="B37" s="22" t="s">
        <v>909</v>
      </c>
      <c r="C37" s="37" t="s">
        <v>48</v>
      </c>
      <c r="D37" s="27">
        <v>57.0</v>
      </c>
      <c r="E37" s="36" t="s">
        <v>410</v>
      </c>
      <c r="F37" s="24">
        <v>403.0</v>
      </c>
      <c r="G37" s="24">
        <v>46100.0</v>
      </c>
      <c r="H37" s="22">
        <v>1.0</v>
      </c>
      <c r="I37" s="24">
        <v>949.0</v>
      </c>
      <c r="J37" s="24">
        <v>11.0084</v>
      </c>
      <c r="K37" s="30">
        <v>0.0116</v>
      </c>
      <c r="L37" s="22">
        <v>6.0</v>
      </c>
      <c r="M37" s="24">
        <v>1263.0</v>
      </c>
      <c r="N37" s="24">
        <v>16.5453</v>
      </c>
      <c r="O37" s="30">
        <v>0.0131</v>
      </c>
      <c r="P37" s="22">
        <v>39.0</v>
      </c>
      <c r="Q37" s="24">
        <v>3489.0</v>
      </c>
      <c r="R37" s="24">
        <v>26.5164</v>
      </c>
      <c r="S37" s="30">
        <v>0.0076</v>
      </c>
      <c r="T37" s="25">
        <v>0.07568329718004338</v>
      </c>
      <c r="U37" s="31">
        <v>-0.6380051590713671</v>
      </c>
      <c r="V37" s="22"/>
      <c r="W37" s="26" t="s">
        <v>920</v>
      </c>
      <c r="X37" s="21" t="s">
        <v>922</v>
      </c>
      <c r="Y37" s="21" t="s">
        <v>907</v>
      </c>
      <c r="Z37" s="7" t="str">
        <f t="array" ref="Z37">_xlfn.XLOOKUP(X37,'측정 관리'!$A$5:$A$204,'측정 관리'!$K$5:$K$204,"",0)</f>
        <v/>
      </c>
    </row>
    <row r="38" ht="15.75" customHeight="1">
      <c r="A38" s="22">
        <v>31.0</v>
      </c>
      <c r="B38" s="22" t="s">
        <v>930</v>
      </c>
      <c r="C38" s="37" t="s">
        <v>48</v>
      </c>
      <c r="D38" s="27">
        <v>3.0</v>
      </c>
      <c r="E38" s="28" t="s">
        <v>137</v>
      </c>
      <c r="F38" s="24">
        <v>6.0</v>
      </c>
      <c r="G38" s="24">
        <v>21200.0</v>
      </c>
      <c r="H38" s="22"/>
      <c r="I38" s="22"/>
      <c r="J38" s="22"/>
      <c r="K38" s="22"/>
      <c r="L38" s="22">
        <v>8.0</v>
      </c>
      <c r="M38" s="24">
        <v>1865.0</v>
      </c>
      <c r="N38" s="24">
        <v>22.753</v>
      </c>
      <c r="O38" s="30">
        <v>0.0122</v>
      </c>
      <c r="P38" s="22">
        <v>28.0</v>
      </c>
      <c r="Q38" s="24">
        <v>3431.0</v>
      </c>
      <c r="R38" s="24">
        <v>23.6739</v>
      </c>
      <c r="S38" s="30">
        <v>0.0069</v>
      </c>
      <c r="T38" s="25">
        <v>0.1618396226415094</v>
      </c>
      <c r="U38" s="31">
        <v>-0.4564266977557564</v>
      </c>
      <c r="V38" s="22" t="s">
        <v>760</v>
      </c>
      <c r="W38" s="26" t="s">
        <v>933</v>
      </c>
      <c r="X38" s="21" t="s">
        <v>935</v>
      </c>
      <c r="Y38" s="21" t="s">
        <v>754</v>
      </c>
      <c r="Z38" s="7" t="str">
        <f t="array" ref="Z38">_xlfn.XLOOKUP(X38,'측정 관리'!$A$5:$A$204,'측정 관리'!$K$5:$K$204,"",0)</f>
        <v/>
      </c>
    </row>
    <row r="39" ht="15.75" customHeight="1">
      <c r="A39" s="22">
        <v>32.0</v>
      </c>
      <c r="B39" s="22" t="s">
        <v>942</v>
      </c>
      <c r="C39" s="37" t="s">
        <v>48</v>
      </c>
      <c r="D39" s="27">
        <v>65.0</v>
      </c>
      <c r="E39" s="36" t="s">
        <v>410</v>
      </c>
      <c r="F39" s="24">
        <v>524.0</v>
      </c>
      <c r="G39" s="24">
        <v>31000.0</v>
      </c>
      <c r="H39" s="22">
        <v>1.0</v>
      </c>
      <c r="I39" s="24">
        <v>1646.0</v>
      </c>
      <c r="J39" s="24">
        <v>16.9538</v>
      </c>
      <c r="K39" s="30">
        <v>0.0103</v>
      </c>
      <c r="L39" s="22">
        <v>19.0</v>
      </c>
      <c r="M39" s="24">
        <v>3725.0</v>
      </c>
      <c r="N39" s="24">
        <v>28.31</v>
      </c>
      <c r="O39" s="30">
        <v>0.0076</v>
      </c>
      <c r="P39" s="22">
        <v>74.0</v>
      </c>
      <c r="Q39" s="24">
        <v>5332.0</v>
      </c>
      <c r="R39" s="24">
        <v>21.328</v>
      </c>
      <c r="S39" s="30">
        <v>0.004</v>
      </c>
      <c r="T39" s="25">
        <v>0.172</v>
      </c>
      <c r="U39" s="31">
        <v>-0.3013878469617405</v>
      </c>
      <c r="V39" s="22"/>
      <c r="W39" s="26" t="s">
        <v>944</v>
      </c>
      <c r="X39" s="21" t="s">
        <v>945</v>
      </c>
      <c r="Y39" s="21" t="s">
        <v>894</v>
      </c>
      <c r="Z39" s="7" t="str">
        <f t="array" ref="Z39">_xlfn.XLOOKUP(X39,'측정 관리'!$A$5:$A$204,'측정 관리'!$K$5:$K$204,"",0)</f>
        <v/>
      </c>
    </row>
    <row r="40" ht="15.75" customHeight="1">
      <c r="A40" s="22">
        <v>33.0</v>
      </c>
      <c r="B40" s="22" t="s">
        <v>950</v>
      </c>
      <c r="C40" s="37" t="s">
        <v>48</v>
      </c>
      <c r="D40" s="27">
        <v>30.0</v>
      </c>
      <c r="E40" s="35" t="s">
        <v>239</v>
      </c>
      <c r="F40" s="24">
        <v>261.0</v>
      </c>
      <c r="G40" s="24">
        <v>25800.0</v>
      </c>
      <c r="H40" s="22"/>
      <c r="I40" s="22"/>
      <c r="J40" s="22"/>
      <c r="K40" s="22"/>
      <c r="L40" s="22">
        <v>6.0</v>
      </c>
      <c r="M40" s="24">
        <v>665.0</v>
      </c>
      <c r="N40" s="24">
        <v>4.8545</v>
      </c>
      <c r="O40" s="30">
        <v>0.0073</v>
      </c>
      <c r="P40" s="22">
        <v>9.0</v>
      </c>
      <c r="Q40" s="24">
        <v>714.0</v>
      </c>
      <c r="R40" s="24">
        <v>3.57</v>
      </c>
      <c r="S40" s="30">
        <v>0.005</v>
      </c>
      <c r="T40" s="25">
        <v>0.02767441860465116</v>
      </c>
      <c r="U40" s="31">
        <v>-0.06862745098039214</v>
      </c>
      <c r="V40" s="22"/>
      <c r="W40" s="26" t="s">
        <v>952</v>
      </c>
      <c r="X40" s="21" t="s">
        <v>953</v>
      </c>
      <c r="Y40" s="21" t="s">
        <v>919</v>
      </c>
      <c r="Z40" s="7" t="str">
        <f t="array" ref="Z40">_xlfn.XLOOKUP(X40,'측정 관리'!$A$5:$A$204,'측정 관리'!$K$5:$K$204,"",0)</f>
        <v/>
      </c>
    </row>
    <row r="41" ht="15.75" customHeight="1">
      <c r="A41" s="22">
        <v>34.0</v>
      </c>
      <c r="B41" s="22" t="s">
        <v>960</v>
      </c>
      <c r="C41" s="37" t="s">
        <v>48</v>
      </c>
      <c r="D41" s="27">
        <v>24.0</v>
      </c>
      <c r="E41" s="35" t="s">
        <v>239</v>
      </c>
      <c r="F41" s="24">
        <v>192.0</v>
      </c>
      <c r="G41" s="24">
        <v>44400.0</v>
      </c>
      <c r="H41" s="22">
        <v>1.0</v>
      </c>
      <c r="I41" s="24">
        <v>1465.0</v>
      </c>
      <c r="J41" s="24">
        <v>1.0255</v>
      </c>
      <c r="K41" s="30">
        <v>7.000000000000001E-4</v>
      </c>
      <c r="L41" s="22">
        <v>3.0</v>
      </c>
      <c r="M41" s="24">
        <v>1478.0</v>
      </c>
      <c r="N41" s="24">
        <v>2.6604</v>
      </c>
      <c r="O41" s="30">
        <v>0.0018</v>
      </c>
      <c r="P41" s="22">
        <v>24.0</v>
      </c>
      <c r="Q41" s="24">
        <v>1608.0</v>
      </c>
      <c r="R41" s="24">
        <v>2.8944</v>
      </c>
      <c r="S41" s="30">
        <v>0.0018</v>
      </c>
      <c r="T41" s="25">
        <v>0.03621621621621621</v>
      </c>
      <c r="U41" s="31">
        <v>-0.0808457711442786</v>
      </c>
      <c r="V41" s="22" t="s">
        <v>964</v>
      </c>
      <c r="W41" s="26" t="s">
        <v>965</v>
      </c>
      <c r="X41" s="21" t="s">
        <v>966</v>
      </c>
      <c r="Y41" s="21" t="s">
        <v>851</v>
      </c>
      <c r="Z41" s="7" t="str">
        <f t="array" ref="Z41">_xlfn.XLOOKUP(X41,'측정 관리'!$A$5:$A$204,'측정 관리'!$K$5:$K$204,"",0)</f>
        <v/>
      </c>
    </row>
    <row r="42" ht="15.75" customHeight="1">
      <c r="A42" s="22">
        <v>35.0</v>
      </c>
      <c r="B42" s="22" t="s">
        <v>973</v>
      </c>
      <c r="C42" s="37" t="s">
        <v>48</v>
      </c>
      <c r="D42" s="27">
        <v>22.0</v>
      </c>
      <c r="E42" s="35" t="s">
        <v>239</v>
      </c>
      <c r="F42" s="24">
        <v>163.0</v>
      </c>
      <c r="G42" s="24">
        <v>56200.0</v>
      </c>
      <c r="H42" s="22">
        <v>23.0</v>
      </c>
      <c r="I42" s="24">
        <v>704.0</v>
      </c>
      <c r="J42" s="24">
        <v>7.532800000000001</v>
      </c>
      <c r="K42" s="30">
        <v>0.0107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975</v>
      </c>
      <c r="W42" s="26" t="s">
        <v>976</v>
      </c>
      <c r="X42" s="21" t="s">
        <v>977</v>
      </c>
      <c r="Y42" s="21" t="s">
        <v>958</v>
      </c>
      <c r="Z42" s="7" t="str">
        <f t="array" ref="Z42">_xlfn.XLOOKUP(X42,'측정 관리'!$A$5:$A$204,'측정 관리'!$K$5:$K$204,"",0)</f>
        <v>일부 수집</v>
      </c>
    </row>
    <row r="43" ht="15.75" customHeight="1">
      <c r="A43" s="22">
        <v>36.0</v>
      </c>
      <c r="B43" s="22" t="s">
        <v>979</v>
      </c>
      <c r="C43" s="38" t="s">
        <v>54</v>
      </c>
      <c r="D43" s="27">
        <v>17.0</v>
      </c>
      <c r="E43" s="35" t="s">
        <v>239</v>
      </c>
      <c r="F43" s="24">
        <v>136.0</v>
      </c>
      <c r="G43" s="24">
        <v>52200.0</v>
      </c>
      <c r="H43" s="22"/>
      <c r="I43" s="22"/>
      <c r="J43" s="22"/>
      <c r="K43" s="22"/>
      <c r="L43" s="22"/>
      <c r="M43" s="22"/>
      <c r="N43" s="22"/>
      <c r="O43" s="22"/>
      <c r="P43" s="22">
        <v>1.0</v>
      </c>
      <c r="Q43" s="24">
        <v>3065.0</v>
      </c>
      <c r="R43" s="24">
        <v>52.105</v>
      </c>
      <c r="S43" s="30">
        <v>0.017</v>
      </c>
      <c r="T43" s="25">
        <v>0.05871647509578544</v>
      </c>
      <c r="U43" s="22"/>
      <c r="V43" s="22" t="s">
        <v>981</v>
      </c>
      <c r="W43" s="26" t="s">
        <v>982</v>
      </c>
      <c r="X43" s="21" t="s">
        <v>983</v>
      </c>
      <c r="Y43" s="21" t="s">
        <v>565</v>
      </c>
      <c r="Z43" s="7" t="str">
        <f t="array" ref="Z43">_xlfn.XLOOKUP(X43,'측정 관리'!$A$5:$A$204,'측정 관리'!$K$5:$K$204,"",0)</f>
        <v/>
      </c>
    </row>
    <row r="44" ht="15.75" customHeight="1">
      <c r="A44" s="22">
        <v>37.0</v>
      </c>
      <c r="B44" s="22" t="s">
        <v>911</v>
      </c>
      <c r="C44" s="38" t="s">
        <v>54</v>
      </c>
      <c r="D44" s="27">
        <v>39.0</v>
      </c>
      <c r="E44" s="35" t="s">
        <v>239</v>
      </c>
      <c r="F44" s="24">
        <v>255.0</v>
      </c>
      <c r="G44" s="24">
        <v>23300.0</v>
      </c>
      <c r="H44" s="22"/>
      <c r="I44" s="22"/>
      <c r="J44" s="22"/>
      <c r="K44" s="22"/>
      <c r="L44" s="22"/>
      <c r="M44" s="22"/>
      <c r="N44" s="22"/>
      <c r="O44" s="22"/>
      <c r="P44" s="22">
        <v>2.0</v>
      </c>
      <c r="Q44" s="24">
        <v>855.0</v>
      </c>
      <c r="R44" s="24">
        <v>8.977500000000001</v>
      </c>
      <c r="S44" s="30">
        <v>0.0105</v>
      </c>
      <c r="T44" s="25">
        <v>0.03669527896995708</v>
      </c>
      <c r="U44" s="22"/>
      <c r="V44" s="22" t="s">
        <v>986</v>
      </c>
      <c r="W44" s="26" t="s">
        <v>914</v>
      </c>
      <c r="X44" s="21" t="s">
        <v>987</v>
      </c>
      <c r="Y44" s="21" t="s">
        <v>238</v>
      </c>
      <c r="Z44" s="7" t="str">
        <f t="array" ref="Z44">_xlfn.XLOOKUP(X44,'측정 관리'!$A$5:$A$204,'측정 관리'!$K$5:$K$204,"",0)</f>
        <v/>
      </c>
    </row>
    <row r="45" ht="15.75" customHeight="1">
      <c r="A45" s="22">
        <v>38.0</v>
      </c>
      <c r="B45" s="22" t="s">
        <v>989</v>
      </c>
      <c r="C45" s="38" t="s">
        <v>54</v>
      </c>
      <c r="D45" s="27">
        <v>0.0</v>
      </c>
      <c r="E45" s="28" t="s">
        <v>137</v>
      </c>
      <c r="F45" s="24">
        <v>4.0</v>
      </c>
      <c r="G45" s="24">
        <v>1206.0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990</v>
      </c>
      <c r="W45" s="26" t="s">
        <v>991</v>
      </c>
      <c r="X45" s="21" t="s">
        <v>992</v>
      </c>
      <c r="Y45" s="21" t="s">
        <v>872</v>
      </c>
      <c r="Z45" s="7" t="str">
        <f t="array" ref="Z45">_xlfn.XLOOKUP(X45,'측정 관리'!$A$5:$A$204,'측정 관리'!$K$5:$K$204,"",0)</f>
        <v/>
      </c>
    </row>
    <row r="46" ht="15.75" customHeight="1">
      <c r="A46" s="22">
        <v>39.0</v>
      </c>
      <c r="B46" s="22" t="s">
        <v>996</v>
      </c>
      <c r="C46" s="38" t="s">
        <v>54</v>
      </c>
      <c r="D46" s="27">
        <v>21.0</v>
      </c>
      <c r="E46" s="35" t="s">
        <v>239</v>
      </c>
      <c r="F46" s="24">
        <v>199.0</v>
      </c>
      <c r="G46" s="24">
        <v>33700.0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998</v>
      </c>
      <c r="W46" s="26" t="s">
        <v>999</v>
      </c>
      <c r="X46" s="21" t="s">
        <v>1000</v>
      </c>
      <c r="Y46" s="21" t="s">
        <v>884</v>
      </c>
      <c r="Z46" s="7" t="str">
        <f t="array" ref="Z46">_xlfn.XLOOKUP(X46,'측정 관리'!$A$5:$A$204,'측정 관리'!$K$5:$K$204,"",0)</f>
        <v/>
      </c>
    </row>
    <row r="47" ht="15.75" customHeight="1">
      <c r="A47" s="22">
        <v>40.0</v>
      </c>
      <c r="B47" s="22" t="s">
        <v>1002</v>
      </c>
      <c r="C47" s="38" t="s">
        <v>54</v>
      </c>
      <c r="D47" s="27">
        <v>0.0</v>
      </c>
      <c r="E47" s="28" t="s">
        <v>137</v>
      </c>
      <c r="F47" s="22"/>
      <c r="G47" s="24">
        <v>798.0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1004</v>
      </c>
      <c r="W47" s="26" t="s">
        <v>1005</v>
      </c>
      <c r="X47" s="21" t="s">
        <v>1007</v>
      </c>
      <c r="Y47" s="21" t="s">
        <v>1008</v>
      </c>
      <c r="Z47" s="7" t="str">
        <f t="array" ref="Z47">_xlfn.XLOOKUP(X47,'측정 관리'!$A$5:$A$204,'측정 관리'!$K$5:$K$204,"",0)</f>
        <v/>
      </c>
    </row>
    <row r="48" ht="15.75" customHeight="1">
      <c r="A48" s="22">
        <v>41.0</v>
      </c>
      <c r="B48" s="22" t="s">
        <v>1010</v>
      </c>
      <c r="C48" s="38" t="s">
        <v>54</v>
      </c>
      <c r="D48" s="27">
        <v>7.0</v>
      </c>
      <c r="E48" s="28" t="s">
        <v>137</v>
      </c>
      <c r="F48" s="24">
        <v>62.0</v>
      </c>
      <c r="G48" s="24">
        <v>9056.0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1012</v>
      </c>
      <c r="W48" s="26" t="s">
        <v>1013</v>
      </c>
      <c r="X48" s="21" t="s">
        <v>1014</v>
      </c>
      <c r="Y48" s="21" t="s">
        <v>972</v>
      </c>
      <c r="Z48" s="7" t="str">
        <f t="array" ref="Z48">_xlfn.XLOOKUP(X48,'측정 관리'!$A$5:$A$204,'측정 관리'!$K$5:$K$204,"",0)</f>
        <v/>
      </c>
    </row>
    <row r="49" ht="15.75" customHeight="1">
      <c r="A49" s="22">
        <v>42.0</v>
      </c>
      <c r="B49" s="22" t="s">
        <v>1017</v>
      </c>
      <c r="C49" s="38" t="s">
        <v>1018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1020</v>
      </c>
      <c r="W49" s="26" t="s">
        <v>1021</v>
      </c>
      <c r="X49" s="21" t="s">
        <v>1022</v>
      </c>
      <c r="Y49" s="21" t="s">
        <v>774</v>
      </c>
      <c r="Z49" s="7" t="str">
        <f t="array" ref="Z49">_xlfn.XLOOKUP(X49,'측정 관리'!$A$5:$A$204,'측정 관리'!$K$5:$K$204,"",0)</f>
        <v/>
      </c>
    </row>
    <row r="50" ht="15.75" customHeight="1">
      <c r="A50" s="22">
        <v>43.0</v>
      </c>
      <c r="B50" s="22" t="s">
        <v>1024</v>
      </c>
      <c r="C50" s="38" t="s">
        <v>1018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1026</v>
      </c>
      <c r="W50" s="26" t="s">
        <v>1027</v>
      </c>
      <c r="X50" s="21" t="s">
        <v>1028</v>
      </c>
      <c r="Y50" s="21" t="s">
        <v>932</v>
      </c>
      <c r="Z50" s="7" t="str">
        <f t="array" ref="Z50">_xlfn.XLOOKUP(X50,'측정 관리'!$A$5:$A$204,'측정 관리'!$K$5:$K$204,"",0)</f>
        <v/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W$50"/>
  <mergeCells count="6">
    <mergeCell ref="A6:C6"/>
    <mergeCell ref="D6:G6"/>
    <mergeCell ref="H6:K6"/>
    <mergeCell ref="L6:O6"/>
    <mergeCell ref="P6:S6"/>
    <mergeCell ref="T6:W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6.0"/>
    <col customWidth="1" min="2" max="3" width="20.0"/>
    <col customWidth="1" min="4" max="4" width="9.0"/>
    <col customWidth="1" min="5" max="5" width="10.0"/>
    <col customWidth="1" min="6" max="6" width="9.0"/>
    <col customWidth="1" min="7" max="7" width="6.0"/>
    <col customWidth="1" min="8" max="8" width="10.0"/>
    <col customWidth="1" min="9" max="9" width="6.0"/>
    <col customWidth="1" min="10" max="11" width="10.0"/>
    <col customWidth="1" min="12" max="12" width="6.0"/>
    <col customWidth="1" min="13" max="15" width="10.0"/>
    <col customWidth="1" min="16" max="16" width="30.0"/>
    <col customWidth="1" min="17" max="17" width="36.0"/>
    <col customWidth="1" min="18" max="26" width="8.71"/>
  </cols>
  <sheetData>
    <row r="1">
      <c r="A1" s="2" t="s">
        <v>3</v>
      </c>
    </row>
    <row r="2">
      <c r="A2" s="4" t="s">
        <v>7</v>
      </c>
    </row>
    <row r="3">
      <c r="A3" s="4" t="s">
        <v>12</v>
      </c>
    </row>
    <row r="4">
      <c r="A4" s="4" t="s">
        <v>17</v>
      </c>
    </row>
    <row r="6">
      <c r="A6" s="8"/>
      <c r="B6" s="9"/>
      <c r="C6" s="9"/>
      <c r="D6" s="10"/>
      <c r="E6" s="8"/>
      <c r="F6" s="10"/>
      <c r="G6" s="14" t="s">
        <v>37</v>
      </c>
      <c r="H6" s="10"/>
      <c r="I6" s="16" t="s">
        <v>45</v>
      </c>
      <c r="J6" s="9"/>
      <c r="K6" s="10"/>
      <c r="L6" s="20" t="s">
        <v>52</v>
      </c>
      <c r="M6" s="9"/>
      <c r="N6" s="10"/>
      <c r="O6" s="8"/>
      <c r="P6" s="9"/>
      <c r="Q6" s="10"/>
    </row>
    <row r="7" ht="31.5" customHeight="1">
      <c r="A7" s="18" t="s">
        <v>84</v>
      </c>
      <c r="B7" s="18" t="s">
        <v>89</v>
      </c>
      <c r="C7" s="18" t="s">
        <v>93</v>
      </c>
      <c r="D7" s="18" t="s">
        <v>60</v>
      </c>
      <c r="E7" s="18" t="s">
        <v>97</v>
      </c>
      <c r="F7" s="18" t="s">
        <v>99</v>
      </c>
      <c r="G7" s="18" t="s">
        <v>101</v>
      </c>
      <c r="H7" s="18" t="s">
        <v>68</v>
      </c>
      <c r="I7" s="18" t="s">
        <v>101</v>
      </c>
      <c r="J7" s="18" t="s">
        <v>68</v>
      </c>
      <c r="K7" s="18" t="s">
        <v>107</v>
      </c>
      <c r="L7" s="18" t="s">
        <v>101</v>
      </c>
      <c r="M7" s="18" t="s">
        <v>68</v>
      </c>
      <c r="N7" s="18" t="s">
        <v>107</v>
      </c>
      <c r="O7" s="18" t="s">
        <v>111</v>
      </c>
      <c r="P7" s="18" t="s">
        <v>112</v>
      </c>
      <c r="Q7" s="18" t="s">
        <v>47</v>
      </c>
      <c r="X7" s="21" t="s">
        <v>113</v>
      </c>
      <c r="Y7" s="21" t="s">
        <v>86</v>
      </c>
      <c r="Z7" s="21" t="s">
        <v>116</v>
      </c>
    </row>
    <row r="8">
      <c r="A8" s="22">
        <v>1.0</v>
      </c>
      <c r="B8" s="22" t="s">
        <v>120</v>
      </c>
      <c r="C8" s="22" t="s">
        <v>121</v>
      </c>
      <c r="D8" s="23" t="s">
        <v>31</v>
      </c>
      <c r="E8" s="24">
        <v>35200.0</v>
      </c>
      <c r="F8" s="22">
        <v>2.0</v>
      </c>
      <c r="G8" s="22"/>
      <c r="H8" s="22"/>
      <c r="I8" s="22">
        <v>3.0</v>
      </c>
      <c r="J8" s="24">
        <v>12000.0</v>
      </c>
      <c r="K8" s="24">
        <v>12000.0</v>
      </c>
      <c r="L8" s="22">
        <v>12.0</v>
      </c>
      <c r="M8" s="24">
        <v>52358.0</v>
      </c>
      <c r="N8" s="24">
        <v>14000.0</v>
      </c>
      <c r="O8" s="25">
        <v>0.3977272727272727</v>
      </c>
      <c r="P8" s="22"/>
      <c r="Q8" s="26" t="s">
        <v>138</v>
      </c>
      <c r="X8" s="21" t="s">
        <v>141</v>
      </c>
      <c r="Y8" s="21" t="s">
        <v>143</v>
      </c>
      <c r="Z8" s="7" t="str">
        <f t="array" ref="Z8">_xlfn.XLOOKUP(X8,'측정 관리'!$A$5:$A$204,'측정 관리'!$K$5:$K$204,"",0)</f>
        <v/>
      </c>
    </row>
    <row r="9">
      <c r="A9" s="22">
        <v>2.0</v>
      </c>
      <c r="B9" s="22" t="s">
        <v>183</v>
      </c>
      <c r="C9" s="22" t="s">
        <v>185</v>
      </c>
      <c r="D9" s="23" t="s">
        <v>31</v>
      </c>
      <c r="E9" s="24">
        <v>42500.0</v>
      </c>
      <c r="F9" s="22">
        <v>0.0</v>
      </c>
      <c r="G9" s="22">
        <v>1.0</v>
      </c>
      <c r="H9" s="24">
        <v>1300.0</v>
      </c>
      <c r="I9" s="22">
        <v>5.0</v>
      </c>
      <c r="J9" s="24">
        <v>10220.0</v>
      </c>
      <c r="K9" s="24">
        <v>11000.0</v>
      </c>
      <c r="L9" s="22">
        <v>18.0</v>
      </c>
      <c r="M9" s="24">
        <v>12339.0</v>
      </c>
      <c r="N9" s="24">
        <v>13000.0</v>
      </c>
      <c r="O9" s="25">
        <v>0.3058823529411765</v>
      </c>
      <c r="P9" s="22"/>
      <c r="Q9" s="26" t="s">
        <v>192</v>
      </c>
      <c r="X9" s="21" t="s">
        <v>194</v>
      </c>
      <c r="Y9" s="21" t="s">
        <v>196</v>
      </c>
      <c r="Z9" s="7" t="str">
        <f t="array" ref="Z9">_xlfn.XLOOKUP(X9,'측정 관리'!$A$5:$A$204,'측정 관리'!$K$5:$K$204,"",0)</f>
        <v/>
      </c>
    </row>
    <row r="10">
      <c r="A10" s="22">
        <v>3.0</v>
      </c>
      <c r="B10" s="22" t="s">
        <v>208</v>
      </c>
      <c r="C10" s="22" t="s">
        <v>209</v>
      </c>
      <c r="D10" s="23" t="s">
        <v>31</v>
      </c>
      <c r="E10" s="24">
        <v>21600.0</v>
      </c>
      <c r="F10" s="22">
        <v>4.0</v>
      </c>
      <c r="G10" s="22"/>
      <c r="H10" s="22"/>
      <c r="I10" s="22">
        <v>1.0</v>
      </c>
      <c r="J10" s="24">
        <v>10000.0</v>
      </c>
      <c r="K10" s="24">
        <v>10000.0</v>
      </c>
      <c r="L10" s="22">
        <v>2.0</v>
      </c>
      <c r="M10" s="24">
        <v>5600.0</v>
      </c>
      <c r="N10" s="24">
        <v>10000.0</v>
      </c>
      <c r="O10" s="25">
        <v>0.462962962962963</v>
      </c>
      <c r="P10" s="22"/>
      <c r="Q10" s="26" t="s">
        <v>216</v>
      </c>
      <c r="X10" s="21" t="s">
        <v>217</v>
      </c>
      <c r="Y10" s="21" t="s">
        <v>219</v>
      </c>
      <c r="Z10" s="7" t="str">
        <f t="array" ref="Z10">_xlfn.XLOOKUP(X10,'측정 관리'!$A$5:$A$204,'측정 관리'!$K$5:$K$204,"",0)</f>
        <v/>
      </c>
    </row>
    <row r="11">
      <c r="A11" s="22">
        <v>4.0</v>
      </c>
      <c r="B11" s="22" t="s">
        <v>233</v>
      </c>
      <c r="C11" s="22" t="s">
        <v>234</v>
      </c>
      <c r="D11" s="29" t="s">
        <v>38</v>
      </c>
      <c r="E11" s="24">
        <v>35900.0</v>
      </c>
      <c r="F11" s="22">
        <v>2.0</v>
      </c>
      <c r="G11" s="22"/>
      <c r="H11" s="22"/>
      <c r="I11" s="22">
        <v>1.0</v>
      </c>
      <c r="J11" s="24">
        <v>3400.0</v>
      </c>
      <c r="K11" s="24">
        <v>3400.0</v>
      </c>
      <c r="L11" s="22">
        <v>5.0</v>
      </c>
      <c r="M11" s="24">
        <v>6820.0</v>
      </c>
      <c r="N11" s="24">
        <v>5600.0</v>
      </c>
      <c r="O11" s="25">
        <v>0.1559888579387187</v>
      </c>
      <c r="P11" s="22"/>
      <c r="Q11" s="26" t="s">
        <v>236</v>
      </c>
      <c r="X11" s="21" t="s">
        <v>237</v>
      </c>
      <c r="Y11" s="21" t="s">
        <v>238</v>
      </c>
      <c r="Z11" s="7" t="str">
        <f t="array" ref="Z11">_xlfn.XLOOKUP(X11,'측정 관리'!$A$5:$A$204,'측정 관리'!$K$5:$K$204,"",0)</f>
        <v/>
      </c>
    </row>
    <row r="12">
      <c r="A12" s="22">
        <v>5.0</v>
      </c>
      <c r="B12" s="22" t="s">
        <v>258</v>
      </c>
      <c r="C12" s="22" t="s">
        <v>259</v>
      </c>
      <c r="D12" s="29" t="s">
        <v>38</v>
      </c>
      <c r="E12" s="24">
        <v>85700.0</v>
      </c>
      <c r="F12" s="22">
        <v>1.0</v>
      </c>
      <c r="G12" s="22">
        <v>1.0</v>
      </c>
      <c r="H12" s="24">
        <v>3500.0</v>
      </c>
      <c r="I12" s="22">
        <v>2.0</v>
      </c>
      <c r="J12" s="24">
        <v>4400.0</v>
      </c>
      <c r="K12" s="24">
        <v>5300.0</v>
      </c>
      <c r="L12" s="22">
        <v>3.0</v>
      </c>
      <c r="M12" s="24">
        <v>4967.0</v>
      </c>
      <c r="N12" s="24">
        <v>5300.0</v>
      </c>
      <c r="O12" s="25">
        <v>0.06184364060676779</v>
      </c>
      <c r="P12" s="22"/>
      <c r="Q12" s="26" t="s">
        <v>267</v>
      </c>
      <c r="X12" s="21" t="s">
        <v>269</v>
      </c>
      <c r="Y12" s="21" t="s">
        <v>270</v>
      </c>
      <c r="Z12" s="7" t="str">
        <f t="array" ref="Z12">_xlfn.XLOOKUP(X12,'측정 관리'!$A$5:$A$204,'측정 관리'!$K$5:$K$204,"",0)</f>
        <v/>
      </c>
    </row>
    <row r="13">
      <c r="A13" s="22">
        <v>6.0</v>
      </c>
      <c r="B13" s="22" t="s">
        <v>278</v>
      </c>
      <c r="C13" s="22" t="s">
        <v>279</v>
      </c>
      <c r="D13" s="34" t="s">
        <v>42</v>
      </c>
      <c r="E13" s="24">
        <v>106000.0</v>
      </c>
      <c r="F13" s="22">
        <v>5.0</v>
      </c>
      <c r="G13" s="22"/>
      <c r="H13" s="22"/>
      <c r="I13" s="22">
        <v>1.0</v>
      </c>
      <c r="J13" s="24">
        <v>2400.0</v>
      </c>
      <c r="K13" s="24">
        <v>2400.0</v>
      </c>
      <c r="L13" s="22">
        <v>4.0</v>
      </c>
      <c r="M13" s="24">
        <v>2750.0</v>
      </c>
      <c r="N13" s="24">
        <v>2600.0</v>
      </c>
      <c r="O13" s="25">
        <v>0.02452830188679245</v>
      </c>
      <c r="P13" s="22"/>
      <c r="Q13" s="26" t="s">
        <v>286</v>
      </c>
      <c r="X13" s="21" t="s">
        <v>287</v>
      </c>
      <c r="Y13" s="21" t="s">
        <v>288</v>
      </c>
      <c r="Z13" s="7" t="str">
        <f t="array" ref="Z13">_xlfn.XLOOKUP(X13,'측정 관리'!$A$5:$A$204,'측정 관리'!$K$5:$K$204,"",0)</f>
        <v/>
      </c>
    </row>
    <row r="14">
      <c r="A14" s="22">
        <v>7.0</v>
      </c>
      <c r="B14" s="22" t="s">
        <v>300</v>
      </c>
      <c r="C14" s="22" t="s">
        <v>301</v>
      </c>
      <c r="D14" s="34" t="s">
        <v>42</v>
      </c>
      <c r="E14" s="24">
        <v>33600.0</v>
      </c>
      <c r="F14" s="22">
        <v>21.0</v>
      </c>
      <c r="G14" s="22"/>
      <c r="H14" s="22"/>
      <c r="I14" s="22"/>
      <c r="J14" s="22"/>
      <c r="K14" s="22"/>
      <c r="L14" s="22">
        <v>2.0</v>
      </c>
      <c r="M14" s="24">
        <v>1350.0</v>
      </c>
      <c r="N14" s="24">
        <v>1600.0</v>
      </c>
      <c r="O14" s="25">
        <v>0.04761904761904762</v>
      </c>
      <c r="P14" s="22"/>
      <c r="Q14" s="26" t="s">
        <v>307</v>
      </c>
      <c r="X14" s="21" t="s">
        <v>308</v>
      </c>
      <c r="Y14" s="21" t="s">
        <v>309</v>
      </c>
      <c r="Z14" s="7" t="str">
        <f t="array" ref="Z14">_xlfn.XLOOKUP(X14,'측정 관리'!$A$5:$A$204,'측정 관리'!$K$5:$K$204,"",0)</f>
        <v/>
      </c>
    </row>
    <row r="15">
      <c r="A15" s="22">
        <v>8.0</v>
      </c>
      <c r="B15" s="22" t="s">
        <v>321</v>
      </c>
      <c r="C15" s="22" t="s">
        <v>323</v>
      </c>
      <c r="D15" s="34" t="s">
        <v>42</v>
      </c>
      <c r="E15" s="24">
        <v>41300.0</v>
      </c>
      <c r="F15" s="22">
        <v>0.0</v>
      </c>
      <c r="G15" s="22">
        <v>1.0</v>
      </c>
      <c r="H15" s="24">
        <v>867.0</v>
      </c>
      <c r="I15" s="22">
        <v>2.0</v>
      </c>
      <c r="J15" s="24">
        <v>2934.0</v>
      </c>
      <c r="K15" s="24">
        <v>5000.0</v>
      </c>
      <c r="L15" s="22">
        <v>6.0</v>
      </c>
      <c r="M15" s="24">
        <v>2074.0</v>
      </c>
      <c r="N15" s="24">
        <v>1500.0</v>
      </c>
      <c r="O15" s="25">
        <v>0.03631961259079903</v>
      </c>
      <c r="P15" s="22"/>
      <c r="Q15" s="26" t="s">
        <v>327</v>
      </c>
      <c r="X15" s="21" t="s">
        <v>330</v>
      </c>
      <c r="Y15" s="21" t="s">
        <v>331</v>
      </c>
      <c r="Z15" s="7" t="str">
        <f t="array" ref="Z15">_xlfn.XLOOKUP(X15,'측정 관리'!$A$5:$A$204,'측정 관리'!$K$5:$K$204,"",0)</f>
        <v/>
      </c>
    </row>
    <row r="16">
      <c r="A16" s="22">
        <v>9.0</v>
      </c>
      <c r="B16" s="22" t="s">
        <v>341</v>
      </c>
      <c r="C16" s="22" t="s">
        <v>342</v>
      </c>
      <c r="D16" s="34" t="s">
        <v>42</v>
      </c>
      <c r="E16" s="24">
        <v>14500.0</v>
      </c>
      <c r="F16" s="22">
        <v>3.0</v>
      </c>
      <c r="G16" s="22"/>
      <c r="H16" s="22"/>
      <c r="I16" s="22">
        <v>3.0</v>
      </c>
      <c r="J16" s="24">
        <v>3241.0</v>
      </c>
      <c r="K16" s="24">
        <v>1400.0</v>
      </c>
      <c r="L16" s="22">
        <v>5.0</v>
      </c>
      <c r="M16" s="24">
        <v>2545.0</v>
      </c>
      <c r="N16" s="24">
        <v>1400.0</v>
      </c>
      <c r="O16" s="25">
        <v>0.09655172413793103</v>
      </c>
      <c r="P16" s="22"/>
      <c r="Q16" s="26" t="s">
        <v>348</v>
      </c>
      <c r="X16" s="21" t="s">
        <v>349</v>
      </c>
      <c r="Y16" s="21" t="s">
        <v>350</v>
      </c>
      <c r="Z16" s="7" t="str">
        <f t="array" ref="Z16">_xlfn.XLOOKUP(X16,'측정 관리'!$A$5:$A$204,'측정 관리'!$K$5:$K$204,"",0)</f>
        <v/>
      </c>
    </row>
    <row r="17">
      <c r="A17" s="22">
        <v>10.0</v>
      </c>
      <c r="B17" s="22" t="s">
        <v>363</v>
      </c>
      <c r="C17" s="22" t="s">
        <v>365</v>
      </c>
      <c r="D17" s="34" t="s">
        <v>42</v>
      </c>
      <c r="E17" s="24">
        <v>10400.0</v>
      </c>
      <c r="F17" s="22">
        <v>10.0</v>
      </c>
      <c r="G17" s="22"/>
      <c r="H17" s="22"/>
      <c r="I17" s="22"/>
      <c r="J17" s="22"/>
      <c r="K17" s="22"/>
      <c r="L17" s="22">
        <v>2.0</v>
      </c>
      <c r="M17" s="24">
        <v>896.0</v>
      </c>
      <c r="N17" s="24">
        <v>1400.0</v>
      </c>
      <c r="O17" s="25">
        <v>0.1346153846153846</v>
      </c>
      <c r="P17" s="22"/>
      <c r="Q17" s="26" t="s">
        <v>371</v>
      </c>
      <c r="X17" s="21" t="s">
        <v>372</v>
      </c>
      <c r="Y17" s="21" t="s">
        <v>373</v>
      </c>
      <c r="Z17" s="7" t="str">
        <f t="array" ref="Z17">_xlfn.XLOOKUP(X17,'측정 관리'!$A$5:$A$204,'측정 관리'!$K$5:$K$204,"",0)</f>
        <v/>
      </c>
    </row>
    <row r="18">
      <c r="A18" s="22">
        <v>11.0</v>
      </c>
      <c r="B18" s="22" t="s">
        <v>385</v>
      </c>
      <c r="C18" s="22" t="s">
        <v>387</v>
      </c>
      <c r="D18" s="34" t="s">
        <v>42</v>
      </c>
      <c r="E18" s="24">
        <v>36300.0</v>
      </c>
      <c r="F18" s="22">
        <v>1.0</v>
      </c>
      <c r="G18" s="22">
        <v>1.0</v>
      </c>
      <c r="H18" s="24">
        <v>1700.0</v>
      </c>
      <c r="I18" s="22">
        <v>8.0</v>
      </c>
      <c r="J18" s="24">
        <v>2219.0</v>
      </c>
      <c r="K18" s="24">
        <v>1700.0</v>
      </c>
      <c r="L18" s="22">
        <v>13.0</v>
      </c>
      <c r="M18" s="24">
        <v>3348.0</v>
      </c>
      <c r="N18" s="24">
        <v>1200.0</v>
      </c>
      <c r="O18" s="25">
        <v>0.03305785123966942</v>
      </c>
      <c r="P18" s="22"/>
      <c r="Q18" s="26" t="s">
        <v>392</v>
      </c>
      <c r="X18" s="21" t="s">
        <v>394</v>
      </c>
      <c r="Y18" s="21" t="s">
        <v>395</v>
      </c>
      <c r="Z18" s="7" t="str">
        <f t="array" ref="Z18">_xlfn.XLOOKUP(X18,'측정 관리'!$A$5:$A$204,'측정 관리'!$K$5:$K$204,"",0)</f>
        <v/>
      </c>
    </row>
    <row r="19">
      <c r="A19" s="22">
        <v>12.0</v>
      </c>
      <c r="B19" s="22" t="s">
        <v>405</v>
      </c>
      <c r="C19" s="22" t="s">
        <v>368</v>
      </c>
      <c r="D19" s="34" t="s">
        <v>42</v>
      </c>
      <c r="E19" s="24">
        <v>7210.0</v>
      </c>
      <c r="F19" s="22">
        <v>0.0</v>
      </c>
      <c r="G19" s="22">
        <v>1.0</v>
      </c>
      <c r="H19" s="24">
        <v>565.0</v>
      </c>
      <c r="I19" s="22">
        <v>3.0</v>
      </c>
      <c r="J19" s="24">
        <v>847.0</v>
      </c>
      <c r="K19" s="24">
        <v>775.0</v>
      </c>
      <c r="L19" s="22">
        <v>7.0</v>
      </c>
      <c r="M19" s="24">
        <v>1196.0</v>
      </c>
      <c r="N19" s="24">
        <v>1200.0</v>
      </c>
      <c r="O19" s="25">
        <v>0.1664355062413315</v>
      </c>
      <c r="P19" s="22"/>
      <c r="Q19" s="26" t="s">
        <v>414</v>
      </c>
      <c r="X19" s="21" t="s">
        <v>415</v>
      </c>
      <c r="Y19" s="21" t="s">
        <v>380</v>
      </c>
      <c r="Z19" s="7" t="str">
        <f t="array" ref="Z19">_xlfn.XLOOKUP(X19,'측정 관리'!$A$5:$A$204,'측정 관리'!$K$5:$K$204,"",0)</f>
        <v/>
      </c>
    </row>
    <row r="20">
      <c r="A20" s="22">
        <v>13.0</v>
      </c>
      <c r="B20" s="22" t="s">
        <v>430</v>
      </c>
      <c r="C20" s="22" t="s">
        <v>431</v>
      </c>
      <c r="D20" s="37" t="s">
        <v>48</v>
      </c>
      <c r="E20" s="24">
        <v>64400.0</v>
      </c>
      <c r="F20" s="22">
        <v>3.0</v>
      </c>
      <c r="G20" s="22"/>
      <c r="H20" s="22"/>
      <c r="I20" s="22">
        <v>3.0</v>
      </c>
      <c r="J20" s="24">
        <v>7767.0</v>
      </c>
      <c r="K20" s="24">
        <v>11000.0</v>
      </c>
      <c r="L20" s="22">
        <v>8.0</v>
      </c>
      <c r="M20" s="24">
        <v>3170.0</v>
      </c>
      <c r="N20" s="24">
        <v>746.0</v>
      </c>
      <c r="O20" s="25">
        <v>0.01158385093167702</v>
      </c>
      <c r="P20" s="22"/>
      <c r="Q20" s="26" t="s">
        <v>439</v>
      </c>
      <c r="X20" s="21" t="s">
        <v>440</v>
      </c>
      <c r="Y20" s="21" t="s">
        <v>442</v>
      </c>
      <c r="Z20" s="7" t="str">
        <f t="array" ref="Z20">_xlfn.XLOOKUP(X20,'측정 관리'!$A$5:$A$204,'측정 관리'!$K$5:$K$204,"",0)</f>
        <v/>
      </c>
    </row>
    <row r="21" ht="15.75" customHeight="1">
      <c r="A21" s="22">
        <v>14.0</v>
      </c>
      <c r="B21" s="22" t="s">
        <v>462</v>
      </c>
      <c r="C21" s="22" t="s">
        <v>463</v>
      </c>
      <c r="D21" s="37" t="s">
        <v>48</v>
      </c>
      <c r="E21" s="24">
        <v>14300.0</v>
      </c>
      <c r="F21" s="22">
        <v>14.0</v>
      </c>
      <c r="G21" s="22"/>
      <c r="H21" s="22"/>
      <c r="I21" s="22"/>
      <c r="J21" s="22"/>
      <c r="K21" s="22"/>
      <c r="L21" s="22">
        <v>4.0</v>
      </c>
      <c r="M21" s="24">
        <v>535.0</v>
      </c>
      <c r="N21" s="24">
        <v>667.0</v>
      </c>
      <c r="O21" s="25">
        <v>0.04664335664335664</v>
      </c>
      <c r="P21" s="22"/>
      <c r="Q21" s="26" t="s">
        <v>469</v>
      </c>
      <c r="X21" s="21" t="s">
        <v>471</v>
      </c>
      <c r="Y21" s="21" t="s">
        <v>473</v>
      </c>
      <c r="Z21" s="7" t="str">
        <f t="array" ref="Z21">_xlfn.XLOOKUP(X21,'측정 관리'!$A$5:$A$204,'측정 관리'!$K$5:$K$204,"",0)</f>
        <v/>
      </c>
    </row>
    <row r="22" ht="15.75" customHeight="1">
      <c r="A22" s="22">
        <v>15.0</v>
      </c>
      <c r="B22" s="22" t="s">
        <v>491</v>
      </c>
      <c r="C22" s="22" t="s">
        <v>492</v>
      </c>
      <c r="D22" s="37" t="s">
        <v>48</v>
      </c>
      <c r="E22" s="24">
        <v>17100.0</v>
      </c>
      <c r="F22" s="22">
        <v>10.0</v>
      </c>
      <c r="G22" s="22"/>
      <c r="H22" s="22"/>
      <c r="I22" s="22"/>
      <c r="J22" s="22"/>
      <c r="K22" s="22"/>
      <c r="L22" s="22">
        <v>2.0</v>
      </c>
      <c r="M22" s="24">
        <v>417.0</v>
      </c>
      <c r="N22" s="24">
        <v>440.0</v>
      </c>
      <c r="O22" s="25">
        <v>0.02573099415204678</v>
      </c>
      <c r="P22" s="22"/>
      <c r="Q22" s="26" t="s">
        <v>499</v>
      </c>
      <c r="X22" s="21" t="s">
        <v>501</v>
      </c>
      <c r="Y22" s="21" t="s">
        <v>502</v>
      </c>
      <c r="Z22" s="7" t="str">
        <f t="array" ref="Z22">_xlfn.XLOOKUP(X22,'측정 관리'!$A$5:$A$204,'측정 관리'!$K$5:$K$204,"",0)</f>
        <v/>
      </c>
    </row>
    <row r="23" ht="15.75" customHeight="1">
      <c r="A23" s="22">
        <v>16.0</v>
      </c>
      <c r="B23" s="22" t="s">
        <v>515</v>
      </c>
      <c r="C23" s="22" t="s">
        <v>516</v>
      </c>
      <c r="D23" s="38" t="s">
        <v>54</v>
      </c>
      <c r="E23" s="24">
        <v>474000.0</v>
      </c>
      <c r="F23" s="22">
        <v>195.0</v>
      </c>
      <c r="G23" s="22"/>
      <c r="H23" s="22"/>
      <c r="I23" s="22"/>
      <c r="J23" s="22"/>
      <c r="K23" s="22"/>
      <c r="L23" s="22"/>
      <c r="M23" s="22"/>
      <c r="N23" s="22"/>
      <c r="O23" s="22"/>
      <c r="P23" s="22" t="s">
        <v>524</v>
      </c>
      <c r="Q23" s="26" t="s">
        <v>525</v>
      </c>
      <c r="X23" s="21" t="s">
        <v>526</v>
      </c>
      <c r="Y23" s="21" t="s">
        <v>528</v>
      </c>
      <c r="Z23" s="7" t="str">
        <f t="array" ref="Z23">_xlfn.XLOOKUP(X23,'측정 관리'!$A$5:$A$204,'측정 관리'!$K$5:$K$204,"",0)</f>
        <v/>
      </c>
    </row>
    <row r="24" ht="15.75" customHeight="1">
      <c r="A24" s="22">
        <v>17.0</v>
      </c>
      <c r="B24" s="22" t="s">
        <v>536</v>
      </c>
      <c r="C24" s="22" t="s">
        <v>539</v>
      </c>
      <c r="D24" s="38" t="s">
        <v>54</v>
      </c>
      <c r="E24" s="24">
        <v>114000.0</v>
      </c>
      <c r="F24" s="22">
        <v>45.0</v>
      </c>
      <c r="G24" s="22"/>
      <c r="H24" s="22"/>
      <c r="I24" s="22"/>
      <c r="J24" s="22"/>
      <c r="K24" s="22"/>
      <c r="L24" s="22"/>
      <c r="M24" s="22"/>
      <c r="N24" s="22"/>
      <c r="O24" s="22"/>
      <c r="P24" s="22" t="s">
        <v>543</v>
      </c>
      <c r="Q24" s="26" t="s">
        <v>544</v>
      </c>
      <c r="X24" s="21" t="s">
        <v>545</v>
      </c>
      <c r="Y24" s="21" t="s">
        <v>316</v>
      </c>
      <c r="Z24" s="7" t="str">
        <f t="array" ref="Z24">_xlfn.XLOOKUP(X24,'측정 관리'!$A$5:$A$204,'측정 관리'!$K$5:$K$204,"",0)</f>
        <v/>
      </c>
    </row>
    <row r="25" ht="15.75" customHeight="1">
      <c r="A25" s="22">
        <v>18.0</v>
      </c>
      <c r="B25" s="22" t="s">
        <v>555</v>
      </c>
      <c r="C25" s="22" t="s">
        <v>556</v>
      </c>
      <c r="D25" s="38" t="s">
        <v>54</v>
      </c>
      <c r="E25" s="24">
        <v>69800.0</v>
      </c>
      <c r="F25" s="22">
        <v>165.0</v>
      </c>
      <c r="G25" s="22"/>
      <c r="H25" s="22"/>
      <c r="I25" s="22"/>
      <c r="J25" s="22"/>
      <c r="K25" s="22"/>
      <c r="L25" s="22"/>
      <c r="M25" s="22"/>
      <c r="N25" s="22"/>
      <c r="O25" s="22"/>
      <c r="P25" s="22" t="s">
        <v>562</v>
      </c>
      <c r="Q25" s="26" t="s">
        <v>563</v>
      </c>
      <c r="X25" s="21" t="s">
        <v>564</v>
      </c>
      <c r="Y25" s="21" t="s">
        <v>565</v>
      </c>
      <c r="Z25" s="7" t="str">
        <f t="array" ref="Z25">_xlfn.XLOOKUP(X25,'측정 관리'!$A$5:$A$204,'측정 관리'!$K$5:$K$204,"",0)</f>
        <v/>
      </c>
    </row>
    <row r="26" ht="15.75" customHeight="1">
      <c r="A26" s="22">
        <v>19.0</v>
      </c>
      <c r="B26" s="22" t="s">
        <v>575</v>
      </c>
      <c r="C26" s="22" t="s">
        <v>577</v>
      </c>
      <c r="D26" s="38" t="s">
        <v>54</v>
      </c>
      <c r="E26" s="24">
        <v>61200.0</v>
      </c>
      <c r="F26" s="22">
        <v>75.0</v>
      </c>
      <c r="G26" s="22"/>
      <c r="H26" s="22"/>
      <c r="I26" s="22"/>
      <c r="J26" s="22"/>
      <c r="K26" s="22"/>
      <c r="L26" s="22"/>
      <c r="M26" s="22"/>
      <c r="N26" s="22"/>
      <c r="O26" s="22"/>
      <c r="P26" s="22" t="s">
        <v>584</v>
      </c>
      <c r="Q26" s="26" t="s">
        <v>585</v>
      </c>
      <c r="X26" s="21" t="s">
        <v>586</v>
      </c>
      <c r="Y26" s="21" t="s">
        <v>265</v>
      </c>
      <c r="Z26" s="7" t="str">
        <f t="array" ref="Z26">_xlfn.XLOOKUP(X26,'측정 관리'!$A$5:$A$204,'측정 관리'!$K$5:$K$204,"",0)</f>
        <v/>
      </c>
    </row>
    <row r="27" ht="15.75" customHeight="1">
      <c r="A27" s="22">
        <v>20.0</v>
      </c>
      <c r="B27" s="22" t="s">
        <v>616</v>
      </c>
      <c r="C27" s="22" t="s">
        <v>618</v>
      </c>
      <c r="D27" s="38" t="s">
        <v>54</v>
      </c>
      <c r="E27" s="24">
        <v>58900.0</v>
      </c>
      <c r="F27" s="22">
        <v>225.0</v>
      </c>
      <c r="G27" s="22"/>
      <c r="H27" s="22"/>
      <c r="I27" s="22"/>
      <c r="J27" s="22"/>
      <c r="K27" s="22"/>
      <c r="L27" s="22"/>
      <c r="M27" s="22"/>
      <c r="N27" s="22"/>
      <c r="O27" s="22"/>
      <c r="P27" s="22" t="s">
        <v>625</v>
      </c>
      <c r="Q27" s="26" t="s">
        <v>628</v>
      </c>
      <c r="X27" s="21" t="s">
        <v>630</v>
      </c>
      <c r="Y27" s="21" t="s">
        <v>631</v>
      </c>
      <c r="Z27" s="7" t="str">
        <f t="array" ref="Z27">_xlfn.XLOOKUP(X27,'측정 관리'!$A$5:$A$204,'측정 관리'!$K$5:$K$204,"",0)</f>
        <v/>
      </c>
    </row>
    <row r="28" ht="15.75" customHeight="1">
      <c r="A28" s="22">
        <v>21.0</v>
      </c>
      <c r="B28" s="22" t="s">
        <v>643</v>
      </c>
      <c r="C28" s="22" t="s">
        <v>644</v>
      </c>
      <c r="D28" s="38" t="s">
        <v>54</v>
      </c>
      <c r="E28" s="24">
        <v>28100.0</v>
      </c>
      <c r="F28" s="22">
        <v>365.0</v>
      </c>
      <c r="G28" s="22"/>
      <c r="H28" s="22"/>
      <c r="I28" s="22"/>
      <c r="J28" s="22"/>
      <c r="K28" s="22"/>
      <c r="L28" s="22"/>
      <c r="M28" s="22"/>
      <c r="N28" s="22"/>
      <c r="O28" s="22"/>
      <c r="P28" s="22" t="s">
        <v>653</v>
      </c>
      <c r="Q28" s="26" t="s">
        <v>654</v>
      </c>
      <c r="X28" s="21" t="s">
        <v>656</v>
      </c>
      <c r="Y28" s="21" t="s">
        <v>245</v>
      </c>
      <c r="Z28" s="7" t="str">
        <f t="array" ref="Z28">_xlfn.XLOOKUP(X28,'측정 관리'!$A$5:$A$204,'측정 관리'!$K$5:$K$204,"",0)</f>
        <v/>
      </c>
    </row>
    <row r="29" ht="15.75" customHeight="1">
      <c r="A29" s="22">
        <v>22.0</v>
      </c>
      <c r="B29" s="22" t="s">
        <v>676</v>
      </c>
      <c r="C29" s="22" t="s">
        <v>677</v>
      </c>
      <c r="D29" s="38" t="s">
        <v>54</v>
      </c>
      <c r="E29" s="24">
        <v>14900.0</v>
      </c>
      <c r="F29" s="22">
        <v>365.0</v>
      </c>
      <c r="G29" s="22"/>
      <c r="H29" s="22"/>
      <c r="I29" s="22"/>
      <c r="J29" s="22"/>
      <c r="K29" s="22"/>
      <c r="L29" s="22"/>
      <c r="M29" s="22"/>
      <c r="N29" s="22"/>
      <c r="O29" s="22"/>
      <c r="P29" s="22" t="s">
        <v>653</v>
      </c>
      <c r="Q29" s="26" t="s">
        <v>684</v>
      </c>
      <c r="X29" s="21" t="s">
        <v>685</v>
      </c>
      <c r="Y29" s="21" t="s">
        <v>398</v>
      </c>
      <c r="Z29" s="7" t="str">
        <f t="array" ref="Z29">_xlfn.XLOOKUP(X29,'측정 관리'!$A$5:$A$204,'측정 관리'!$K$5:$K$204,"",0)</f>
        <v/>
      </c>
    </row>
    <row r="30" ht="15.75" customHeight="1">
      <c r="A30" s="22">
        <v>23.0</v>
      </c>
      <c r="B30" s="22" t="s">
        <v>704</v>
      </c>
      <c r="C30" s="22" t="s">
        <v>706</v>
      </c>
      <c r="D30" s="38" t="s">
        <v>54</v>
      </c>
      <c r="E30" s="24">
        <v>11800.0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 t="s">
        <v>713</v>
      </c>
      <c r="Q30" s="26" t="s">
        <v>714</v>
      </c>
      <c r="X30" s="21" t="s">
        <v>716</v>
      </c>
      <c r="Y30" s="21" t="s">
        <v>356</v>
      </c>
      <c r="Z30" s="7" t="str">
        <f t="array" ref="Z30">_xlfn.XLOOKUP(X30,'측정 관리'!$A$5:$A$204,'측정 관리'!$K$5:$K$204,"",0)</f>
        <v/>
      </c>
    </row>
    <row r="31" ht="15.75" customHeight="1">
      <c r="A31" s="22">
        <v>24.0</v>
      </c>
      <c r="B31" s="22" t="s">
        <v>735</v>
      </c>
      <c r="C31" s="22" t="s">
        <v>737</v>
      </c>
      <c r="D31" s="38" t="s">
        <v>54</v>
      </c>
      <c r="E31" s="24">
        <v>11600.0</v>
      </c>
      <c r="F31" s="22">
        <v>195.0</v>
      </c>
      <c r="G31" s="22"/>
      <c r="H31" s="22"/>
      <c r="I31" s="22"/>
      <c r="J31" s="22"/>
      <c r="K31" s="22"/>
      <c r="L31" s="22"/>
      <c r="M31" s="22"/>
      <c r="N31" s="22"/>
      <c r="O31" s="22"/>
      <c r="P31" s="22" t="s">
        <v>524</v>
      </c>
      <c r="Q31" s="26" t="s">
        <v>740</v>
      </c>
      <c r="X31" s="21" t="s">
        <v>742</v>
      </c>
      <c r="Y31" s="21" t="s">
        <v>629</v>
      </c>
      <c r="Z31" s="7" t="str">
        <f t="array" ref="Z31">_xlfn.XLOOKUP(X31,'측정 관리'!$A$5:$A$204,'측정 관리'!$K$5:$K$204,"",0)</f>
        <v/>
      </c>
    </row>
    <row r="32" ht="15.75" customHeight="1">
      <c r="A32" s="22">
        <v>25.0</v>
      </c>
      <c r="B32" s="22" t="s">
        <v>758</v>
      </c>
      <c r="C32" s="22" t="s">
        <v>186</v>
      </c>
      <c r="D32" s="38" t="s">
        <v>54</v>
      </c>
      <c r="E32" s="24">
        <v>8570.0</v>
      </c>
      <c r="F32" s="22">
        <v>285.0</v>
      </c>
      <c r="G32" s="22"/>
      <c r="H32" s="22"/>
      <c r="I32" s="22"/>
      <c r="J32" s="22"/>
      <c r="K32" s="22"/>
      <c r="L32" s="22"/>
      <c r="M32" s="22"/>
      <c r="N32" s="22"/>
      <c r="O32" s="22"/>
      <c r="P32" s="22" t="s">
        <v>775</v>
      </c>
      <c r="Q32" s="26" t="s">
        <v>782</v>
      </c>
      <c r="X32" s="21" t="s">
        <v>784</v>
      </c>
      <c r="Y32" s="21" t="s">
        <v>202</v>
      </c>
      <c r="Z32" s="7" t="str">
        <f t="array" ref="Z32">_xlfn.XLOOKUP(X32,'측정 관리'!$A$5:$A$204,'측정 관리'!$K$5:$K$204,"",0)</f>
        <v/>
      </c>
    </row>
    <row r="33" ht="15.75" customHeight="1">
      <c r="A33" s="22">
        <v>26.0</v>
      </c>
      <c r="B33" s="22" t="s">
        <v>803</v>
      </c>
      <c r="C33" s="22" t="s">
        <v>806</v>
      </c>
      <c r="D33" s="38" t="s">
        <v>54</v>
      </c>
      <c r="E33" s="24">
        <v>7150.0</v>
      </c>
      <c r="F33" s="22">
        <v>225.0</v>
      </c>
      <c r="G33" s="22"/>
      <c r="H33" s="22"/>
      <c r="I33" s="22"/>
      <c r="J33" s="22"/>
      <c r="K33" s="22"/>
      <c r="L33" s="22"/>
      <c r="M33" s="22"/>
      <c r="N33" s="22"/>
      <c r="O33" s="22"/>
      <c r="P33" s="22" t="s">
        <v>625</v>
      </c>
      <c r="Q33" s="26" t="s">
        <v>810</v>
      </c>
      <c r="X33" s="21" t="s">
        <v>811</v>
      </c>
      <c r="Y33" s="21" t="s">
        <v>594</v>
      </c>
      <c r="Z33" s="7" t="str">
        <f t="array" ref="Z33">_xlfn.XLOOKUP(X33,'측정 관리'!$A$5:$A$204,'측정 관리'!$K$5:$K$204,"",0)</f>
        <v/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Q$33"/>
  <mergeCells count="6">
    <mergeCell ref="A6:D6"/>
    <mergeCell ref="E6:F6"/>
    <mergeCell ref="G6:H6"/>
    <mergeCell ref="I6:K6"/>
    <mergeCell ref="L6:N6"/>
    <mergeCell ref="O6:Q6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8.0"/>
    <col customWidth="1" min="4" max="4" width="9.0"/>
    <col customWidth="1" min="5" max="5" width="10.0"/>
    <col customWidth="1" min="6" max="6" width="11.0"/>
    <col customWidth="1" min="7" max="7" width="6.0"/>
    <col customWidth="1" min="8" max="8" width="10.0"/>
    <col customWidth="1" min="9" max="9" width="6.0"/>
    <col customWidth="1" min="10" max="11" width="10.0"/>
    <col customWidth="1" min="12" max="12" width="6.0"/>
    <col customWidth="1" min="13" max="14" width="10.0"/>
    <col customWidth="1" min="15" max="16" width="9.0"/>
    <col customWidth="1" min="17" max="18" width="30.0"/>
    <col customWidth="1" min="19" max="26" width="8.71"/>
  </cols>
  <sheetData>
    <row r="1">
      <c r="A1" s="2" t="s">
        <v>357</v>
      </c>
    </row>
    <row r="2">
      <c r="A2" s="4" t="s">
        <v>361</v>
      </c>
    </row>
    <row r="3">
      <c r="A3" s="4" t="s">
        <v>364</v>
      </c>
    </row>
    <row r="4">
      <c r="A4" s="4" t="s">
        <v>366</v>
      </c>
    </row>
    <row r="6">
      <c r="A6" s="8"/>
      <c r="B6" s="9"/>
      <c r="C6" s="9"/>
      <c r="D6" s="10"/>
      <c r="E6" s="8"/>
      <c r="F6" s="10"/>
      <c r="G6" s="14" t="s">
        <v>37</v>
      </c>
      <c r="H6" s="10"/>
      <c r="I6" s="16" t="s">
        <v>45</v>
      </c>
      <c r="J6" s="9"/>
      <c r="K6" s="10"/>
      <c r="L6" s="20" t="s">
        <v>52</v>
      </c>
      <c r="M6" s="9"/>
      <c r="N6" s="10"/>
      <c r="O6" s="8"/>
      <c r="P6" s="9"/>
      <c r="Q6" s="9"/>
      <c r="R6" s="10"/>
    </row>
    <row r="7" ht="31.5" customHeight="1">
      <c r="A7" s="18" t="s">
        <v>84</v>
      </c>
      <c r="B7" s="18" t="s">
        <v>403</v>
      </c>
      <c r="C7" s="18" t="s">
        <v>89</v>
      </c>
      <c r="D7" s="18" t="s">
        <v>60</v>
      </c>
      <c r="E7" s="18" t="s">
        <v>97</v>
      </c>
      <c r="F7" s="18" t="s">
        <v>406</v>
      </c>
      <c r="G7" s="18" t="s">
        <v>104</v>
      </c>
      <c r="H7" s="18" t="s">
        <v>68</v>
      </c>
      <c r="I7" s="18" t="s">
        <v>104</v>
      </c>
      <c r="J7" s="18" t="s">
        <v>68</v>
      </c>
      <c r="K7" s="18" t="s">
        <v>107</v>
      </c>
      <c r="L7" s="18" t="s">
        <v>104</v>
      </c>
      <c r="M7" s="18" t="s">
        <v>68</v>
      </c>
      <c r="N7" s="18" t="s">
        <v>107</v>
      </c>
      <c r="O7" s="18" t="s">
        <v>67</v>
      </c>
      <c r="P7" s="18" t="s">
        <v>118</v>
      </c>
      <c r="Q7" s="18" t="s">
        <v>112</v>
      </c>
      <c r="R7" s="18" t="s">
        <v>47</v>
      </c>
      <c r="X7" s="21" t="s">
        <v>113</v>
      </c>
      <c r="Y7" s="21" t="s">
        <v>86</v>
      </c>
      <c r="Z7" s="21" t="s">
        <v>116</v>
      </c>
    </row>
    <row r="8">
      <c r="A8" s="22">
        <v>1.0</v>
      </c>
      <c r="B8" s="22" t="s">
        <v>424</v>
      </c>
      <c r="C8" s="22" t="s">
        <v>425</v>
      </c>
      <c r="D8" s="29" t="s">
        <v>38</v>
      </c>
      <c r="E8" s="24">
        <v>77200.0</v>
      </c>
      <c r="F8" s="22" t="s">
        <v>433</v>
      </c>
      <c r="G8" s="22"/>
      <c r="H8" s="22"/>
      <c r="I8" s="22">
        <v>9.0</v>
      </c>
      <c r="J8" s="24">
        <v>2837.0</v>
      </c>
      <c r="K8" s="24">
        <v>2860.0</v>
      </c>
      <c r="L8" s="22">
        <v>9.0</v>
      </c>
      <c r="M8" s="24">
        <v>2837.0</v>
      </c>
      <c r="N8" s="24">
        <v>2860.0</v>
      </c>
      <c r="O8" s="25">
        <v>0.03704663212435233</v>
      </c>
      <c r="P8" s="31">
        <v>0.0</v>
      </c>
      <c r="Q8" s="22"/>
      <c r="R8" s="26" t="s">
        <v>446</v>
      </c>
      <c r="X8" s="21" t="s">
        <v>449</v>
      </c>
      <c r="Y8" s="21" t="s">
        <v>338</v>
      </c>
      <c r="Z8" s="7" t="str">
        <f t="array" ref="Z8">_xlfn.XLOOKUP(X8,'측정 관리'!$A$5:$A$204,'측정 관리'!$K$5:$K$204,"",0)</f>
        <v/>
      </c>
    </row>
    <row r="9">
      <c r="A9" s="22">
        <v>2.0</v>
      </c>
      <c r="B9" s="22" t="s">
        <v>487</v>
      </c>
      <c r="C9" s="22" t="s">
        <v>490</v>
      </c>
      <c r="D9" s="29" t="s">
        <v>38</v>
      </c>
      <c r="E9" s="24">
        <v>31300.0</v>
      </c>
      <c r="F9" s="22" t="s">
        <v>433</v>
      </c>
      <c r="G9" s="22"/>
      <c r="H9" s="22"/>
      <c r="I9" s="22">
        <v>10.0</v>
      </c>
      <c r="J9" s="24">
        <v>4727.0</v>
      </c>
      <c r="K9" s="24">
        <v>2600.0</v>
      </c>
      <c r="L9" s="22">
        <v>105.0</v>
      </c>
      <c r="M9" s="24">
        <v>3058.0</v>
      </c>
      <c r="N9" s="24">
        <v>2710.0</v>
      </c>
      <c r="O9" s="25">
        <v>0.0865814696485623</v>
      </c>
      <c r="P9" s="31">
        <v>0.5457815565729234</v>
      </c>
      <c r="Q9" s="22"/>
      <c r="R9" s="26" t="s">
        <v>497</v>
      </c>
      <c r="X9" s="21" t="s">
        <v>498</v>
      </c>
      <c r="Y9" s="21" t="s">
        <v>456</v>
      </c>
      <c r="Z9" s="7" t="str">
        <f t="array" ref="Z9">_xlfn.XLOOKUP(X9,'측정 관리'!$A$5:$A$204,'측정 관리'!$K$5:$K$204,"",0)</f>
        <v/>
      </c>
    </row>
    <row r="10">
      <c r="A10" s="22">
        <v>3.0</v>
      </c>
      <c r="B10" s="22" t="s">
        <v>517</v>
      </c>
      <c r="C10" s="22" t="s">
        <v>518</v>
      </c>
      <c r="D10" s="34" t="s">
        <v>42</v>
      </c>
      <c r="E10" s="24">
        <v>11000.0</v>
      </c>
      <c r="F10" s="22" t="s">
        <v>520</v>
      </c>
      <c r="G10" s="22"/>
      <c r="H10" s="22"/>
      <c r="I10" s="22">
        <v>15.0</v>
      </c>
      <c r="J10" s="24">
        <v>1128.0</v>
      </c>
      <c r="K10" s="24">
        <v>1070.0</v>
      </c>
      <c r="L10" s="22">
        <v>102.0</v>
      </c>
      <c r="M10" s="24">
        <v>1101.0</v>
      </c>
      <c r="N10" s="24">
        <v>1090.0</v>
      </c>
      <c r="O10" s="25">
        <v>0.09909090909090909</v>
      </c>
      <c r="P10" s="31">
        <v>0.02452316076294281</v>
      </c>
      <c r="Q10" s="22"/>
      <c r="R10" s="26" t="s">
        <v>529</v>
      </c>
      <c r="X10" s="21" t="s">
        <v>530</v>
      </c>
      <c r="Y10" s="21" t="s">
        <v>227</v>
      </c>
      <c r="Z10" s="7" t="str">
        <f t="array" ref="Z10">_xlfn.XLOOKUP(X10,'측정 관리'!$A$5:$A$204,'측정 관리'!$K$5:$K$204,"",0)</f>
        <v/>
      </c>
    </row>
    <row r="11">
      <c r="A11" s="22">
        <v>4.0</v>
      </c>
      <c r="B11" s="22" t="s">
        <v>541</v>
      </c>
      <c r="C11" s="22" t="s">
        <v>542</v>
      </c>
      <c r="D11" s="34" t="s">
        <v>42</v>
      </c>
      <c r="E11" s="24">
        <v>7940.0</v>
      </c>
      <c r="F11" s="22" t="s">
        <v>546</v>
      </c>
      <c r="G11" s="22"/>
      <c r="H11" s="22"/>
      <c r="I11" s="22"/>
      <c r="J11" s="22"/>
      <c r="K11" s="22"/>
      <c r="L11" s="22">
        <v>4.0</v>
      </c>
      <c r="M11" s="24">
        <v>659.0</v>
      </c>
      <c r="N11" s="24">
        <v>675.0</v>
      </c>
      <c r="O11" s="25">
        <v>0.08501259445843828</v>
      </c>
      <c r="P11" s="22"/>
      <c r="Q11" s="22"/>
      <c r="R11" s="26" t="s">
        <v>552</v>
      </c>
      <c r="X11" s="21" t="s">
        <v>553</v>
      </c>
      <c r="Y11" s="21" t="s">
        <v>554</v>
      </c>
      <c r="Z11" s="7" t="str">
        <f t="array" ref="Z11">_xlfn.XLOOKUP(X11,'측정 관리'!$A$5:$A$204,'측정 관리'!$K$5:$K$204,"",0)</f>
        <v/>
      </c>
    </row>
    <row r="12">
      <c r="A12" s="22">
        <v>5.0</v>
      </c>
      <c r="B12" s="22" t="s">
        <v>569</v>
      </c>
      <c r="C12" s="22" t="s">
        <v>571</v>
      </c>
      <c r="D12" s="37" t="s">
        <v>48</v>
      </c>
      <c r="E12" s="24">
        <v>5210.0</v>
      </c>
      <c r="F12" s="22" t="s">
        <v>573</v>
      </c>
      <c r="G12" s="22">
        <v>3.0</v>
      </c>
      <c r="H12" s="24">
        <v>238.0</v>
      </c>
      <c r="I12" s="22">
        <v>13.0</v>
      </c>
      <c r="J12" s="24">
        <v>381.0</v>
      </c>
      <c r="K12" s="24">
        <v>400.0</v>
      </c>
      <c r="L12" s="22">
        <v>100.0</v>
      </c>
      <c r="M12" s="24">
        <v>445.0</v>
      </c>
      <c r="N12" s="24">
        <v>451.0</v>
      </c>
      <c r="O12" s="25">
        <v>0.08656429942418425</v>
      </c>
      <c r="P12" s="31">
        <v>-0.1438202247191012</v>
      </c>
      <c r="Q12" s="22"/>
      <c r="R12" s="26" t="s">
        <v>580</v>
      </c>
      <c r="X12" s="21" t="s">
        <v>582</v>
      </c>
      <c r="Y12" s="21" t="s">
        <v>583</v>
      </c>
      <c r="Z12" s="7" t="str">
        <f t="array" ref="Z12">_xlfn.XLOOKUP(X12,'측정 관리'!$A$5:$A$204,'측정 관리'!$K$5:$K$204,"",0)</f>
        <v/>
      </c>
    </row>
    <row r="13">
      <c r="A13" s="22">
        <v>6.0</v>
      </c>
      <c r="B13" s="22" t="s">
        <v>599</v>
      </c>
      <c r="C13" s="22" t="s">
        <v>601</v>
      </c>
      <c r="D13" s="37" t="s">
        <v>48</v>
      </c>
      <c r="E13" s="24">
        <v>8000.0</v>
      </c>
      <c r="F13" s="22" t="s">
        <v>573</v>
      </c>
      <c r="G13" s="22">
        <v>1.0</v>
      </c>
      <c r="H13" s="24">
        <v>53.0</v>
      </c>
      <c r="I13" s="22">
        <v>6.0</v>
      </c>
      <c r="J13" s="24">
        <v>134.0</v>
      </c>
      <c r="K13" s="24">
        <v>162.0</v>
      </c>
      <c r="L13" s="22">
        <v>32.0</v>
      </c>
      <c r="M13" s="24">
        <v>177.0</v>
      </c>
      <c r="N13" s="24">
        <v>179.0</v>
      </c>
      <c r="O13" s="25">
        <v>0.022375</v>
      </c>
      <c r="P13" s="31">
        <v>-0.2429378531073446</v>
      </c>
      <c r="Q13" s="22"/>
      <c r="R13" s="26" t="s">
        <v>610</v>
      </c>
      <c r="X13" s="21" t="s">
        <v>613</v>
      </c>
      <c r="Y13" s="21" t="s">
        <v>614</v>
      </c>
      <c r="Z13" s="7" t="str">
        <f t="array" ref="Z13">_xlfn.XLOOKUP(X13,'측정 관리'!$A$5:$A$204,'측정 관리'!$K$5:$K$204,"",0)</f>
        <v/>
      </c>
    </row>
    <row r="14">
      <c r="A14" s="22">
        <v>7.0</v>
      </c>
      <c r="B14" s="22" t="s">
        <v>635</v>
      </c>
      <c r="C14" s="22" t="s">
        <v>636</v>
      </c>
      <c r="D14" s="37" t="s">
        <v>48</v>
      </c>
      <c r="E14" s="24">
        <v>549.0</v>
      </c>
      <c r="F14" s="22" t="s">
        <v>637</v>
      </c>
      <c r="G14" s="22"/>
      <c r="H14" s="22"/>
      <c r="I14" s="22"/>
      <c r="J14" s="22"/>
      <c r="K14" s="22"/>
      <c r="L14" s="22">
        <v>3.0</v>
      </c>
      <c r="M14" s="24">
        <v>43.0</v>
      </c>
      <c r="N14" s="24">
        <v>41.0</v>
      </c>
      <c r="O14" s="25">
        <v>0.07468123861566485</v>
      </c>
      <c r="P14" s="22"/>
      <c r="Q14" s="22"/>
      <c r="R14" s="26" t="s">
        <v>646</v>
      </c>
      <c r="X14" s="21" t="s">
        <v>647</v>
      </c>
      <c r="Y14" s="21" t="s">
        <v>649</v>
      </c>
      <c r="Z14" s="7" t="str">
        <f t="array" ref="Z14">_xlfn.XLOOKUP(X14,'측정 관리'!$A$5:$A$204,'측정 관리'!$K$5:$K$204,"",0)</f>
        <v/>
      </c>
    </row>
    <row r="15">
      <c r="A15" s="22">
        <v>8.0</v>
      </c>
      <c r="B15" s="22" t="s">
        <v>671</v>
      </c>
      <c r="C15" s="22" t="s">
        <v>674</v>
      </c>
      <c r="D15" s="38" t="s">
        <v>54</v>
      </c>
      <c r="E15" s="24">
        <v>1810.0</v>
      </c>
      <c r="F15" s="22" t="s">
        <v>679</v>
      </c>
      <c r="G15" s="22"/>
      <c r="H15" s="22"/>
      <c r="I15" s="22"/>
      <c r="J15" s="22"/>
      <c r="K15" s="22"/>
      <c r="L15" s="22">
        <v>1.0</v>
      </c>
      <c r="M15" s="24">
        <v>1730.0</v>
      </c>
      <c r="N15" s="24">
        <v>1730.0</v>
      </c>
      <c r="O15" s="25">
        <v>0.9558011049723757</v>
      </c>
      <c r="P15" s="22"/>
      <c r="Q15" s="22" t="s">
        <v>688</v>
      </c>
      <c r="R15" s="26" t="s">
        <v>691</v>
      </c>
      <c r="X15" s="21" t="s">
        <v>693</v>
      </c>
      <c r="Y15" s="21" t="s">
        <v>663</v>
      </c>
      <c r="Z15" s="7" t="str">
        <f t="array" ref="Z15">_xlfn.XLOOKUP(X15,'측정 관리'!$A$5:$A$204,'측정 관리'!$K$5:$K$204,"",0)</f>
        <v/>
      </c>
    </row>
    <row r="16">
      <c r="A16" s="22">
        <v>9.0</v>
      </c>
      <c r="B16" s="22" t="s">
        <v>710</v>
      </c>
      <c r="C16" s="22" t="s">
        <v>711</v>
      </c>
      <c r="D16" s="38" t="s">
        <v>54</v>
      </c>
      <c r="E16" s="24">
        <v>2480.0</v>
      </c>
      <c r="F16" s="22" t="s">
        <v>717</v>
      </c>
      <c r="G16" s="22"/>
      <c r="H16" s="22"/>
      <c r="I16" s="22"/>
      <c r="J16" s="22"/>
      <c r="K16" s="22"/>
      <c r="L16" s="22">
        <v>2.0</v>
      </c>
      <c r="M16" s="24">
        <v>138.0</v>
      </c>
      <c r="N16" s="24">
        <v>183.0</v>
      </c>
      <c r="O16" s="25">
        <v>0.07379032258064516</v>
      </c>
      <c r="P16" s="22"/>
      <c r="Q16" s="22" t="s">
        <v>722</v>
      </c>
      <c r="R16" s="26" t="s">
        <v>723</v>
      </c>
      <c r="X16" s="21" t="s">
        <v>725</v>
      </c>
      <c r="Y16" s="21" t="s">
        <v>726</v>
      </c>
      <c r="Z16" s="7" t="str">
        <f t="array" ref="Z16">_xlfn.XLOOKUP(X16,'측정 관리'!$A$5:$A$204,'측정 관리'!$K$5:$K$204,"",0)</f>
        <v/>
      </c>
    </row>
    <row r="17">
      <c r="A17" s="22">
        <v>10.0</v>
      </c>
      <c r="B17" s="22" t="s">
        <v>744</v>
      </c>
      <c r="C17" s="22" t="s">
        <v>745</v>
      </c>
      <c r="D17" s="38" t="s">
        <v>54</v>
      </c>
      <c r="E17" s="24">
        <v>2010.0</v>
      </c>
      <c r="F17" s="22" t="s">
        <v>717</v>
      </c>
      <c r="G17" s="22"/>
      <c r="H17" s="22"/>
      <c r="I17" s="22"/>
      <c r="J17" s="22"/>
      <c r="K17" s="22"/>
      <c r="L17" s="22">
        <v>2.0</v>
      </c>
      <c r="M17" s="24">
        <v>125.0</v>
      </c>
      <c r="N17" s="24">
        <v>156.0</v>
      </c>
      <c r="O17" s="25">
        <v>0.07761194029850746</v>
      </c>
      <c r="P17" s="22"/>
      <c r="Q17" s="22" t="s">
        <v>722</v>
      </c>
      <c r="R17" s="26" t="s">
        <v>751</v>
      </c>
      <c r="X17" s="21" t="s">
        <v>752</v>
      </c>
      <c r="Y17" s="21" t="s">
        <v>754</v>
      </c>
      <c r="Z17" s="7" t="str">
        <f t="array" ref="Z17">_xlfn.XLOOKUP(X17,'측정 관리'!$A$5:$A$204,'측정 관리'!$K$5:$K$204,"",0)</f>
        <v/>
      </c>
    </row>
    <row r="18">
      <c r="A18" s="22">
        <v>11.0</v>
      </c>
      <c r="B18" s="22" t="s">
        <v>767</v>
      </c>
      <c r="C18" s="22" t="s">
        <v>768</v>
      </c>
      <c r="D18" s="38" t="s">
        <v>54</v>
      </c>
      <c r="E18" s="24">
        <v>7820.0</v>
      </c>
      <c r="F18" s="22" t="s">
        <v>433</v>
      </c>
      <c r="G18" s="22"/>
      <c r="H18" s="22"/>
      <c r="I18" s="22">
        <v>1.0</v>
      </c>
      <c r="J18" s="24">
        <v>147.0</v>
      </c>
      <c r="K18" s="24">
        <v>147.0</v>
      </c>
      <c r="L18" s="22">
        <v>1.0</v>
      </c>
      <c r="M18" s="24">
        <v>147.0</v>
      </c>
      <c r="N18" s="24">
        <v>147.0</v>
      </c>
      <c r="O18" s="25">
        <v>0.01879795396419437</v>
      </c>
      <c r="P18" s="31">
        <v>0.0</v>
      </c>
      <c r="Q18" s="22" t="s">
        <v>770</v>
      </c>
      <c r="R18" s="26" t="s">
        <v>772</v>
      </c>
      <c r="X18" s="21" t="s">
        <v>773</v>
      </c>
      <c r="Y18" s="21" t="s">
        <v>774</v>
      </c>
      <c r="Z18" s="7" t="str">
        <f t="array" ref="Z18">_xlfn.XLOOKUP(X18,'측정 관리'!$A$5:$A$204,'측정 관리'!$K$5:$K$204,"",0)</f>
        <v/>
      </c>
    </row>
    <row r="19">
      <c r="A19" s="22">
        <v>12.0</v>
      </c>
      <c r="B19" s="22" t="s">
        <v>385</v>
      </c>
      <c r="C19" s="22" t="s">
        <v>793</v>
      </c>
      <c r="D19" s="38" t="s">
        <v>54</v>
      </c>
      <c r="E19" s="24">
        <v>156.0</v>
      </c>
      <c r="F19" s="22" t="s">
        <v>794</v>
      </c>
      <c r="G19" s="22"/>
      <c r="H19" s="22"/>
      <c r="I19" s="22">
        <v>1.0</v>
      </c>
      <c r="J19" s="24">
        <v>24.0</v>
      </c>
      <c r="K19" s="24">
        <v>24.0</v>
      </c>
      <c r="L19" s="22">
        <v>2.0</v>
      </c>
      <c r="M19" s="24">
        <v>50.0</v>
      </c>
      <c r="N19" s="24">
        <v>76.0</v>
      </c>
      <c r="O19" s="25">
        <v>0.4871794871794872</v>
      </c>
      <c r="P19" s="31">
        <v>-0.52</v>
      </c>
      <c r="Q19" s="22" t="s">
        <v>799</v>
      </c>
      <c r="R19" s="26" t="s">
        <v>800</v>
      </c>
      <c r="X19" s="21" t="s">
        <v>801</v>
      </c>
      <c r="Y19" s="21" t="s">
        <v>395</v>
      </c>
      <c r="Z19" s="7" t="str">
        <f t="array" ref="Z19">_xlfn.XLOOKUP(X19,'측정 관리'!$A$5:$A$204,'측정 관리'!$K$5:$K$204,"",0)</f>
        <v/>
      </c>
    </row>
    <row r="20">
      <c r="A20" s="22">
        <v>13.0</v>
      </c>
      <c r="B20" s="22" t="s">
        <v>813</v>
      </c>
      <c r="C20" s="22" t="s">
        <v>814</v>
      </c>
      <c r="D20" s="38" t="s">
        <v>54</v>
      </c>
      <c r="E20" s="24">
        <v>36800.0</v>
      </c>
      <c r="F20" s="22" t="s">
        <v>815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 t="s">
        <v>817</v>
      </c>
      <c r="R20" s="26" t="s">
        <v>818</v>
      </c>
      <c r="X20" s="21" t="s">
        <v>819</v>
      </c>
      <c r="Y20" s="21" t="s">
        <v>763</v>
      </c>
      <c r="Z20" s="7" t="str">
        <f t="array" ref="Z20">_xlfn.XLOOKUP(X20,'측정 관리'!$A$5:$A$204,'측정 관리'!$K$5:$K$204,"",0)</f>
        <v/>
      </c>
    </row>
    <row r="21" ht="15.75" customHeight="1">
      <c r="A21" s="22">
        <v>14.0</v>
      </c>
      <c r="B21" s="22" t="s">
        <v>824</v>
      </c>
      <c r="C21" s="22" t="s">
        <v>826</v>
      </c>
      <c r="D21" s="38" t="s">
        <v>54</v>
      </c>
      <c r="E21" s="24">
        <v>16000.0</v>
      </c>
      <c r="F21" s="22" t="s">
        <v>827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 t="s">
        <v>828</v>
      </c>
      <c r="R21" s="26" t="s">
        <v>829</v>
      </c>
      <c r="X21" s="21" t="s">
        <v>830</v>
      </c>
      <c r="Y21" s="21" t="s">
        <v>831</v>
      </c>
      <c r="Z21" s="7" t="str">
        <f t="array" ref="Z21">_xlfn.XLOOKUP(X21,'측정 관리'!$A$5:$A$204,'측정 관리'!$K$5:$K$204,"",0)</f>
        <v/>
      </c>
    </row>
    <row r="22" ht="15.75" customHeight="1">
      <c r="A22" s="22">
        <v>15.0</v>
      </c>
      <c r="B22" s="22" t="s">
        <v>834</v>
      </c>
      <c r="C22" s="22" t="s">
        <v>835</v>
      </c>
      <c r="D22" s="38" t="s">
        <v>54</v>
      </c>
      <c r="E22" s="24">
        <v>11600.0</v>
      </c>
      <c r="F22" s="22" t="s">
        <v>836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 t="s">
        <v>837</v>
      </c>
      <c r="R22" s="26" t="s">
        <v>838</v>
      </c>
      <c r="X22" s="21" t="s">
        <v>839</v>
      </c>
      <c r="Y22" s="21" t="s">
        <v>293</v>
      </c>
      <c r="Z22" s="7" t="str">
        <f t="array" ref="Z22">_xlfn.XLOOKUP(X22,'측정 관리'!$A$5:$A$204,'측정 관리'!$K$5:$K$204,"",0)</f>
        <v/>
      </c>
    </row>
    <row r="23" ht="15.75" customHeight="1">
      <c r="A23" s="22">
        <v>16.0</v>
      </c>
      <c r="B23" s="22" t="s">
        <v>844</v>
      </c>
      <c r="C23" s="22" t="s">
        <v>845</v>
      </c>
      <c r="D23" s="38" t="s">
        <v>54</v>
      </c>
      <c r="E23" s="24">
        <v>9340.0</v>
      </c>
      <c r="F23" s="22" t="s">
        <v>846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 t="s">
        <v>848</v>
      </c>
      <c r="R23" s="26" t="s">
        <v>849</v>
      </c>
      <c r="X23" s="21" t="s">
        <v>850</v>
      </c>
      <c r="Y23" s="21" t="s">
        <v>851</v>
      </c>
      <c r="Z23" s="7" t="str">
        <f t="array" ref="Z23">_xlfn.XLOOKUP(X23,'측정 관리'!$A$5:$A$204,'측정 관리'!$K$5:$K$204,"",0)</f>
        <v/>
      </c>
    </row>
    <row r="24" ht="15.75" customHeight="1">
      <c r="A24" s="22">
        <v>17.0</v>
      </c>
      <c r="B24" s="22" t="s">
        <v>856</v>
      </c>
      <c r="C24" s="22" t="s">
        <v>857</v>
      </c>
      <c r="D24" s="38" t="s">
        <v>54</v>
      </c>
      <c r="E24" s="24">
        <v>8310.0</v>
      </c>
      <c r="F24" s="22" t="s">
        <v>858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 t="s">
        <v>859</v>
      </c>
      <c r="R24" s="26" t="s">
        <v>860</v>
      </c>
      <c r="X24" s="21" t="s">
        <v>861</v>
      </c>
      <c r="Y24" s="21" t="s">
        <v>822</v>
      </c>
      <c r="Z24" s="7" t="str">
        <f t="array" ref="Z24">_xlfn.XLOOKUP(X24,'측정 관리'!$A$5:$A$204,'측정 관리'!$K$5:$K$204,"",0)</f>
        <v/>
      </c>
    </row>
    <row r="25" ht="15.75" customHeight="1">
      <c r="A25" s="22">
        <v>18.0</v>
      </c>
      <c r="B25" s="22" t="s">
        <v>866</v>
      </c>
      <c r="C25" s="22" t="s">
        <v>867</v>
      </c>
      <c r="D25" s="38" t="s">
        <v>54</v>
      </c>
      <c r="E25" s="24">
        <v>3940.0</v>
      </c>
      <c r="F25" s="22" t="s">
        <v>868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 t="s">
        <v>869</v>
      </c>
      <c r="R25" s="26" t="s">
        <v>870</v>
      </c>
      <c r="X25" s="21" t="s">
        <v>871</v>
      </c>
      <c r="Y25" s="21" t="s">
        <v>872</v>
      </c>
      <c r="Z25" s="7" t="str">
        <f t="array" ref="Z25">_xlfn.XLOOKUP(X25,'측정 관리'!$A$5:$A$204,'측정 관리'!$K$5:$K$204,"",0)</f>
        <v/>
      </c>
    </row>
    <row r="26" ht="15.75" customHeight="1">
      <c r="A26" s="22">
        <v>19.0</v>
      </c>
      <c r="B26" s="22" t="s">
        <v>875</v>
      </c>
      <c r="C26" s="22" t="s">
        <v>876</v>
      </c>
      <c r="D26" s="38" t="s">
        <v>54</v>
      </c>
      <c r="E26" s="24">
        <v>3870.0</v>
      </c>
      <c r="F26" s="22" t="s">
        <v>878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 t="s">
        <v>879</v>
      </c>
      <c r="R26" s="26" t="s">
        <v>881</v>
      </c>
      <c r="X26" s="21" t="s">
        <v>882</v>
      </c>
      <c r="Y26" s="21" t="s">
        <v>884</v>
      </c>
      <c r="Z26" s="7" t="str">
        <f t="array" ref="Z26">_xlfn.XLOOKUP(X26,'측정 관리'!$A$5:$A$204,'측정 관리'!$K$5:$K$204,"",0)</f>
        <v/>
      </c>
    </row>
    <row r="27" ht="15.75" customHeight="1">
      <c r="A27" s="22">
        <v>20.0</v>
      </c>
      <c r="B27" s="22" t="s">
        <v>887</v>
      </c>
      <c r="C27" s="22" t="s">
        <v>888</v>
      </c>
      <c r="D27" s="38" t="s">
        <v>54</v>
      </c>
      <c r="E27" s="24">
        <v>2450.0</v>
      </c>
      <c r="F27" s="22" t="s">
        <v>889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 t="s">
        <v>891</v>
      </c>
      <c r="R27" s="26" t="s">
        <v>892</v>
      </c>
      <c r="X27" s="21" t="s">
        <v>893</v>
      </c>
      <c r="Y27" s="21" t="s">
        <v>894</v>
      </c>
      <c r="Z27" s="7" t="str">
        <f t="array" ref="Z27">_xlfn.XLOOKUP(X27,'측정 관리'!$A$5:$A$204,'측정 관리'!$K$5:$K$204,"",0)</f>
        <v/>
      </c>
    </row>
    <row r="28" ht="15.75" customHeight="1">
      <c r="A28" s="22">
        <v>21.0</v>
      </c>
      <c r="B28" s="22" t="s">
        <v>900</v>
      </c>
      <c r="C28" s="22" t="s">
        <v>901</v>
      </c>
      <c r="D28" s="38" t="s">
        <v>54</v>
      </c>
      <c r="E28" s="24">
        <v>2150.0</v>
      </c>
      <c r="F28" s="22" t="s">
        <v>902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 t="s">
        <v>904</v>
      </c>
      <c r="R28" s="26" t="s">
        <v>905</v>
      </c>
      <c r="X28" s="21" t="s">
        <v>906</v>
      </c>
      <c r="Y28" s="21" t="s">
        <v>907</v>
      </c>
      <c r="Z28" s="7" t="str">
        <f t="array" ref="Z28">_xlfn.XLOOKUP(X28,'측정 관리'!$A$5:$A$204,'측정 관리'!$K$5:$K$204,"",0)</f>
        <v/>
      </c>
    </row>
    <row r="29" ht="15.75" customHeight="1">
      <c r="A29" s="22">
        <v>22.0</v>
      </c>
      <c r="B29" s="22" t="s">
        <v>912</v>
      </c>
      <c r="C29" s="22" t="s">
        <v>913</v>
      </c>
      <c r="D29" s="38" t="s">
        <v>54</v>
      </c>
      <c r="E29" s="24">
        <v>429.0</v>
      </c>
      <c r="F29" s="22" t="s">
        <v>915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 t="s">
        <v>916</v>
      </c>
      <c r="R29" s="26" t="s">
        <v>917</v>
      </c>
      <c r="X29" s="21" t="s">
        <v>918</v>
      </c>
      <c r="Y29" s="21" t="s">
        <v>919</v>
      </c>
      <c r="Z29" s="7" t="str">
        <f t="array" ref="Z29">_xlfn.XLOOKUP(X29,'측정 관리'!$A$5:$A$204,'측정 관리'!$K$5:$K$204,"",0)</f>
        <v/>
      </c>
    </row>
    <row r="30" ht="15.75" customHeight="1">
      <c r="A30" s="22">
        <v>23.0</v>
      </c>
      <c r="B30" s="22" t="s">
        <v>924</v>
      </c>
      <c r="C30" s="22" t="s">
        <v>925</v>
      </c>
      <c r="D30" s="38" t="s">
        <v>54</v>
      </c>
      <c r="E30" s="24">
        <v>175.0</v>
      </c>
      <c r="F30" s="22" t="s">
        <v>926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 t="s">
        <v>928</v>
      </c>
      <c r="R30" s="26" t="s">
        <v>929</v>
      </c>
      <c r="X30" s="21" t="s">
        <v>931</v>
      </c>
      <c r="Y30" s="21" t="s">
        <v>932</v>
      </c>
      <c r="Z30" s="7" t="str">
        <f t="array" ref="Z30">_xlfn.XLOOKUP(X30,'측정 관리'!$A$5:$A$204,'측정 관리'!$K$5:$K$204,"",0)</f>
        <v/>
      </c>
    </row>
    <row r="31" ht="15.75" customHeight="1">
      <c r="A31" s="22">
        <v>24.0</v>
      </c>
      <c r="B31" s="22" t="s">
        <v>936</v>
      </c>
      <c r="C31" s="22" t="s">
        <v>937</v>
      </c>
      <c r="D31" s="38" t="s">
        <v>54</v>
      </c>
      <c r="E31" s="24">
        <v>73.0</v>
      </c>
      <c r="F31" s="22" t="s">
        <v>938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 t="s">
        <v>939</v>
      </c>
      <c r="R31" s="26" t="s">
        <v>940</v>
      </c>
      <c r="X31" s="21" t="s">
        <v>941</v>
      </c>
      <c r="Y31" s="21" t="s">
        <v>809</v>
      </c>
      <c r="Z31" s="7" t="str">
        <f t="array" ref="Z31">_xlfn.XLOOKUP(X31,'측정 관리'!$A$5:$A$204,'측정 관리'!$K$5:$K$204,"",0)</f>
        <v/>
      </c>
    </row>
    <row r="32" ht="15.75" customHeight="1">
      <c r="A32" s="22">
        <v>25.0</v>
      </c>
      <c r="B32" s="22" t="s">
        <v>946</v>
      </c>
      <c r="C32" s="22" t="s">
        <v>946</v>
      </c>
      <c r="D32" s="39" t="s">
        <v>947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 t="s">
        <v>949</v>
      </c>
      <c r="R32" s="26" t="s">
        <v>847</v>
      </c>
      <c r="X32" s="21" t="s">
        <v>951</v>
      </c>
      <c r="Y32" s="21" t="s">
        <v>170</v>
      </c>
      <c r="Z32" s="7" t="str">
        <f t="array" ref="Z32">_xlfn.XLOOKUP(X32,'측정 관리'!$A$5:$A$204,'측정 관리'!$K$5:$K$204,"",0)</f>
        <v/>
      </c>
    </row>
    <row r="33" ht="15.75" customHeight="1">
      <c r="A33" s="22">
        <v>26.0</v>
      </c>
      <c r="B33" s="22" t="s">
        <v>955</v>
      </c>
      <c r="C33" s="22" t="s">
        <v>955</v>
      </c>
      <c r="D33" s="39" t="s">
        <v>947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 t="s">
        <v>949</v>
      </c>
      <c r="R33" s="26" t="s">
        <v>956</v>
      </c>
      <c r="X33" s="21" t="s">
        <v>957</v>
      </c>
      <c r="Y33" s="21" t="s">
        <v>958</v>
      </c>
      <c r="Z33" s="7" t="str">
        <f t="array" ref="Z33">_xlfn.XLOOKUP(X33,'측정 관리'!$A$5:$A$204,'측정 관리'!$K$5:$K$204,"",0)</f>
        <v/>
      </c>
    </row>
    <row r="34" ht="15.75" customHeight="1">
      <c r="A34" s="22">
        <v>27.0</v>
      </c>
      <c r="B34" s="22" t="s">
        <v>961</v>
      </c>
      <c r="C34" s="22" t="s">
        <v>961</v>
      </c>
      <c r="D34" s="39" t="s">
        <v>947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 t="s">
        <v>949</v>
      </c>
      <c r="R34" s="26" t="s">
        <v>923</v>
      </c>
      <c r="X34" s="21" t="s">
        <v>962</v>
      </c>
      <c r="Y34" s="21" t="s">
        <v>486</v>
      </c>
      <c r="Z34" s="7" t="str">
        <f t="array" ref="Z34">_xlfn.XLOOKUP(X34,'측정 관리'!$A$5:$A$204,'측정 관리'!$K$5:$K$204,"",0)</f>
        <v/>
      </c>
    </row>
    <row r="35" ht="15.75" customHeight="1">
      <c r="A35" s="22">
        <v>28.0</v>
      </c>
      <c r="B35" s="22" t="s">
        <v>968</v>
      </c>
      <c r="C35" s="22" t="s">
        <v>968</v>
      </c>
      <c r="D35" s="39" t="s">
        <v>947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 t="s">
        <v>949</v>
      </c>
      <c r="R35" s="26" t="s">
        <v>970</v>
      </c>
      <c r="X35" s="21" t="s">
        <v>971</v>
      </c>
      <c r="Y35" s="21" t="s">
        <v>972</v>
      </c>
      <c r="Z35" s="7" t="str">
        <f t="array" ref="Z35">_xlfn.XLOOKUP(X35,'측정 관리'!$A$5:$A$204,'측정 관리'!$K$5:$K$204,"",0)</f>
        <v>조회 불가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R$35"/>
  <mergeCells count="6">
    <mergeCell ref="A6:D6"/>
    <mergeCell ref="E6:F6"/>
    <mergeCell ref="G6:H6"/>
    <mergeCell ref="I6:K6"/>
    <mergeCell ref="L6:N6"/>
    <mergeCell ref="O6:R6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8.0"/>
    <col customWidth="1" min="4" max="4" width="9.0"/>
    <col customWidth="1" min="5" max="5" width="10.0"/>
    <col customWidth="1" min="6" max="6" width="11.0"/>
    <col customWidth="1" min="7" max="7" width="6.0"/>
    <col customWidth="1" min="8" max="8" width="10.0"/>
    <col customWidth="1" min="9" max="9" width="6.0"/>
    <col customWidth="1" min="10" max="10" width="10.0"/>
    <col customWidth="1" min="11" max="11" width="6.0"/>
    <col customWidth="1" min="12" max="13" width="10.0"/>
    <col customWidth="1" min="14" max="16" width="9.0"/>
    <col customWidth="1" min="17" max="18" width="30.0"/>
    <col customWidth="1" min="19" max="26" width="8.71"/>
  </cols>
  <sheetData>
    <row r="1">
      <c r="A1" s="2" t="s">
        <v>1042</v>
      </c>
    </row>
    <row r="2">
      <c r="A2" s="4" t="s">
        <v>361</v>
      </c>
    </row>
    <row r="3">
      <c r="A3" s="4" t="s">
        <v>364</v>
      </c>
    </row>
    <row r="4">
      <c r="A4" s="4" t="s">
        <v>1043</v>
      </c>
    </row>
    <row r="6">
      <c r="A6" s="8"/>
      <c r="B6" s="9"/>
      <c r="C6" s="9"/>
      <c r="D6" s="10"/>
      <c r="E6" s="8"/>
      <c r="F6" s="10"/>
      <c r="G6" s="14" t="s">
        <v>37</v>
      </c>
      <c r="H6" s="10"/>
      <c r="I6" s="16" t="s">
        <v>45</v>
      </c>
      <c r="J6" s="10"/>
      <c r="K6" s="20" t="s">
        <v>52</v>
      </c>
      <c r="L6" s="9"/>
      <c r="M6" s="10"/>
      <c r="N6" s="8"/>
      <c r="O6" s="9"/>
      <c r="P6" s="9"/>
      <c r="Q6" s="9"/>
      <c r="R6" s="10"/>
    </row>
    <row r="7" ht="31.5" customHeight="1">
      <c r="A7" s="18" t="s">
        <v>84</v>
      </c>
      <c r="B7" s="18" t="s">
        <v>88</v>
      </c>
      <c r="C7" s="18" t="s">
        <v>89</v>
      </c>
      <c r="D7" s="18" t="s">
        <v>60</v>
      </c>
      <c r="E7" s="18" t="s">
        <v>97</v>
      </c>
      <c r="F7" s="18" t="s">
        <v>406</v>
      </c>
      <c r="G7" s="18" t="s">
        <v>104</v>
      </c>
      <c r="H7" s="18" t="s">
        <v>68</v>
      </c>
      <c r="I7" s="18" t="s">
        <v>104</v>
      </c>
      <c r="J7" s="18" t="s">
        <v>68</v>
      </c>
      <c r="K7" s="18" t="s">
        <v>104</v>
      </c>
      <c r="L7" s="18" t="s">
        <v>68</v>
      </c>
      <c r="M7" s="18" t="s">
        <v>107</v>
      </c>
      <c r="N7" s="18" t="s">
        <v>67</v>
      </c>
      <c r="O7" s="18" t="s">
        <v>118</v>
      </c>
      <c r="P7" s="18" t="s">
        <v>1049</v>
      </c>
      <c r="Q7" s="18" t="s">
        <v>112</v>
      </c>
      <c r="R7" s="18" t="s">
        <v>47</v>
      </c>
      <c r="X7" s="21" t="s">
        <v>113</v>
      </c>
      <c r="Y7" s="21" t="s">
        <v>86</v>
      </c>
      <c r="Z7" s="21" t="s">
        <v>116</v>
      </c>
    </row>
    <row r="8">
      <c r="A8" s="22">
        <v>1.0</v>
      </c>
      <c r="B8" s="22" t="s">
        <v>1051</v>
      </c>
      <c r="C8" s="22" t="s">
        <v>1052</v>
      </c>
      <c r="D8" s="23" t="s">
        <v>31</v>
      </c>
      <c r="E8" s="24">
        <v>6630.0</v>
      </c>
      <c r="F8" s="22" t="s">
        <v>637</v>
      </c>
      <c r="G8" s="22"/>
      <c r="H8" s="22"/>
      <c r="I8" s="22"/>
      <c r="J8" s="22"/>
      <c r="K8" s="22">
        <v>4.0</v>
      </c>
      <c r="L8" s="24">
        <v>2255.0</v>
      </c>
      <c r="M8" s="24">
        <v>3290.0</v>
      </c>
      <c r="N8" s="25">
        <v>0.4962292609351433</v>
      </c>
      <c r="O8" s="22"/>
      <c r="P8" s="24">
        <v>1942.0</v>
      </c>
      <c r="Q8" s="22" t="s">
        <v>1055</v>
      </c>
      <c r="R8" s="26" t="s">
        <v>140</v>
      </c>
      <c r="X8" s="21" t="s">
        <v>146</v>
      </c>
      <c r="Y8" s="21" t="s">
        <v>145</v>
      </c>
      <c r="Z8" s="7" t="str">
        <f t="array" ref="Z8">_xlfn.XLOOKUP(X8,'측정 관리'!$A$5:$A$204,'측정 관리'!$K$5:$K$204,"",0)</f>
        <v/>
      </c>
    </row>
    <row r="9">
      <c r="A9" s="22">
        <v>2.0</v>
      </c>
      <c r="B9" s="22" t="s">
        <v>103</v>
      </c>
      <c r="C9" s="22" t="s">
        <v>1059</v>
      </c>
      <c r="D9" s="23" t="s">
        <v>31</v>
      </c>
      <c r="E9" s="24">
        <v>30100.0</v>
      </c>
      <c r="F9" s="22" t="s">
        <v>126</v>
      </c>
      <c r="G9" s="22">
        <v>4.0</v>
      </c>
      <c r="H9" s="24">
        <v>2623.0</v>
      </c>
      <c r="I9" s="22">
        <v>24.0</v>
      </c>
      <c r="J9" s="24">
        <v>5280.0</v>
      </c>
      <c r="K9" s="22">
        <v>133.0</v>
      </c>
      <c r="L9" s="24">
        <v>6033.0</v>
      </c>
      <c r="M9" s="24">
        <v>5000.0</v>
      </c>
      <c r="N9" s="25">
        <v>0.1661129568106312</v>
      </c>
      <c r="O9" s="31">
        <v>-0.1248135256091497</v>
      </c>
      <c r="P9" s="24">
        <v>3947.0</v>
      </c>
      <c r="Q9" s="22" t="s">
        <v>128</v>
      </c>
      <c r="R9" s="26" t="s">
        <v>122</v>
      </c>
      <c r="X9" s="21" t="s">
        <v>131</v>
      </c>
      <c r="Y9" s="21" t="s">
        <v>130</v>
      </c>
      <c r="Z9" s="7" t="str">
        <f t="array" ref="Z9">_xlfn.XLOOKUP(X9,'측정 관리'!$A$5:$A$204,'측정 관리'!$K$5:$K$204,"",0)</f>
        <v/>
      </c>
    </row>
    <row r="10">
      <c r="A10" s="22">
        <v>3.0</v>
      </c>
      <c r="B10" s="22" t="s">
        <v>148</v>
      </c>
      <c r="C10" s="22" t="s">
        <v>1066</v>
      </c>
      <c r="D10" s="23" t="s">
        <v>31</v>
      </c>
      <c r="E10" s="24">
        <v>49700.0</v>
      </c>
      <c r="F10" s="22" t="s">
        <v>126</v>
      </c>
      <c r="G10" s="22">
        <v>19.0</v>
      </c>
      <c r="H10" s="24">
        <v>1705.0</v>
      </c>
      <c r="I10" s="22">
        <v>93.0</v>
      </c>
      <c r="J10" s="24">
        <v>2728.0</v>
      </c>
      <c r="K10" s="22">
        <v>431.0</v>
      </c>
      <c r="L10" s="24">
        <v>3065.0</v>
      </c>
      <c r="M10" s="24">
        <v>3010.0</v>
      </c>
      <c r="N10" s="25">
        <v>0.06056338028169014</v>
      </c>
      <c r="O10" s="31">
        <v>-0.1099510603588907</v>
      </c>
      <c r="P10" s="24">
        <v>3006.0</v>
      </c>
      <c r="Q10" s="22" t="s">
        <v>150</v>
      </c>
      <c r="R10" s="26" t="s">
        <v>149</v>
      </c>
      <c r="X10" s="21" t="s">
        <v>152</v>
      </c>
      <c r="Y10" s="21" t="s">
        <v>151</v>
      </c>
      <c r="Z10" s="7" t="str">
        <f t="array" ref="Z10">_xlfn.XLOOKUP(X10,'측정 관리'!$A$5:$A$204,'측정 관리'!$K$5:$K$204,"",0)</f>
        <v/>
      </c>
    </row>
    <row r="11">
      <c r="A11" s="22">
        <v>4.0</v>
      </c>
      <c r="B11" s="22" t="s">
        <v>199</v>
      </c>
      <c r="C11" s="22" t="s">
        <v>1069</v>
      </c>
      <c r="D11" s="29" t="s">
        <v>38</v>
      </c>
      <c r="E11" s="24">
        <v>6050.0</v>
      </c>
      <c r="F11" s="22" t="s">
        <v>1070</v>
      </c>
      <c r="G11" s="22"/>
      <c r="H11" s="22"/>
      <c r="I11" s="22"/>
      <c r="J11" s="22"/>
      <c r="K11" s="22">
        <v>6.0</v>
      </c>
      <c r="L11" s="24">
        <v>1540.0</v>
      </c>
      <c r="M11" s="24">
        <v>1750.0</v>
      </c>
      <c r="N11" s="25">
        <v>0.2892561983471074</v>
      </c>
      <c r="O11" s="22"/>
      <c r="P11" s="24">
        <v>589.0</v>
      </c>
      <c r="Q11" s="22" t="s">
        <v>1072</v>
      </c>
      <c r="R11" s="26" t="s">
        <v>203</v>
      </c>
      <c r="X11" s="21" t="s">
        <v>206</v>
      </c>
      <c r="Y11" s="21" t="s">
        <v>205</v>
      </c>
      <c r="Z11" s="7" t="str">
        <f t="array" ref="Z11">_xlfn.XLOOKUP(X11,'측정 관리'!$A$5:$A$204,'측정 관리'!$K$5:$K$204,"",0)</f>
        <v/>
      </c>
    </row>
    <row r="12">
      <c r="A12" s="22">
        <v>5.0</v>
      </c>
      <c r="B12" s="22" t="s">
        <v>191</v>
      </c>
      <c r="C12" s="22" t="s">
        <v>1077</v>
      </c>
      <c r="D12" s="29" t="s">
        <v>38</v>
      </c>
      <c r="E12" s="24">
        <v>11000.0</v>
      </c>
      <c r="F12" s="22" t="s">
        <v>126</v>
      </c>
      <c r="G12" s="22">
        <v>2.0</v>
      </c>
      <c r="H12" s="24">
        <v>1604.0</v>
      </c>
      <c r="I12" s="22">
        <v>6.0</v>
      </c>
      <c r="J12" s="24">
        <v>1925.0</v>
      </c>
      <c r="K12" s="22">
        <v>25.0</v>
      </c>
      <c r="L12" s="24">
        <v>2052.0</v>
      </c>
      <c r="M12" s="24">
        <v>1830.0</v>
      </c>
      <c r="N12" s="25">
        <v>0.1663636363636364</v>
      </c>
      <c r="O12" s="31">
        <v>-0.06189083820662766</v>
      </c>
      <c r="P12" s="24">
        <v>786.0</v>
      </c>
      <c r="Q12" s="22" t="s">
        <v>195</v>
      </c>
      <c r="R12" s="26" t="s">
        <v>193</v>
      </c>
      <c r="X12" s="21" t="s">
        <v>198</v>
      </c>
      <c r="Y12" s="21" t="s">
        <v>197</v>
      </c>
      <c r="Z12" s="7" t="str">
        <f t="array" ref="Z12">_xlfn.XLOOKUP(X12,'측정 관리'!$A$5:$A$204,'측정 관리'!$K$5:$K$204,"",0)</f>
        <v/>
      </c>
    </row>
    <row r="13">
      <c r="A13" s="22">
        <v>6.0</v>
      </c>
      <c r="B13" s="22" t="s">
        <v>179</v>
      </c>
      <c r="C13" s="22" t="s">
        <v>1081</v>
      </c>
      <c r="D13" s="29" t="s">
        <v>38</v>
      </c>
      <c r="E13" s="24">
        <v>14900.0</v>
      </c>
      <c r="F13" s="22" t="s">
        <v>126</v>
      </c>
      <c r="G13" s="22">
        <v>11.0</v>
      </c>
      <c r="H13" s="24">
        <v>1035.0</v>
      </c>
      <c r="I13" s="22">
        <v>75.0</v>
      </c>
      <c r="J13" s="24">
        <v>1989.0</v>
      </c>
      <c r="K13" s="22">
        <v>329.0</v>
      </c>
      <c r="L13" s="24">
        <v>2293.0</v>
      </c>
      <c r="M13" s="24">
        <v>2200.0</v>
      </c>
      <c r="N13" s="25">
        <v>0.1476510067114094</v>
      </c>
      <c r="O13" s="31">
        <v>-0.1325774095071958</v>
      </c>
      <c r="P13" s="24">
        <v>1050.0</v>
      </c>
      <c r="Q13" s="22"/>
      <c r="R13" s="26" t="s">
        <v>180</v>
      </c>
      <c r="X13" s="21" t="s">
        <v>182</v>
      </c>
      <c r="Y13" s="21" t="s">
        <v>181</v>
      </c>
      <c r="Z13" s="7" t="str">
        <f t="array" ref="Z13">_xlfn.XLOOKUP(X13,'측정 관리'!$A$5:$A$204,'측정 관리'!$K$5:$K$204,"",0)</f>
        <v/>
      </c>
    </row>
    <row r="14">
      <c r="A14" s="22">
        <v>7.0</v>
      </c>
      <c r="B14" s="22" t="s">
        <v>174</v>
      </c>
      <c r="C14" s="22" t="s">
        <v>1088</v>
      </c>
      <c r="D14" s="29" t="s">
        <v>38</v>
      </c>
      <c r="E14" s="24">
        <v>17400.0</v>
      </c>
      <c r="F14" s="22" t="s">
        <v>126</v>
      </c>
      <c r="G14" s="22">
        <v>23.0</v>
      </c>
      <c r="H14" s="24">
        <v>1873.0</v>
      </c>
      <c r="I14" s="22">
        <v>282.0</v>
      </c>
      <c r="J14" s="24">
        <v>2331.0</v>
      </c>
      <c r="K14" s="22">
        <v>839.0</v>
      </c>
      <c r="L14" s="24">
        <v>2416.0</v>
      </c>
      <c r="M14" s="24">
        <v>2210.0</v>
      </c>
      <c r="N14" s="25">
        <v>0.1270114942528736</v>
      </c>
      <c r="O14" s="31">
        <v>-0.03518211920529801</v>
      </c>
      <c r="P14" s="24">
        <v>1085.0</v>
      </c>
      <c r="Q14" s="22" t="s">
        <v>1092</v>
      </c>
      <c r="R14" s="26" t="s">
        <v>175</v>
      </c>
      <c r="X14" s="21" t="s">
        <v>178</v>
      </c>
      <c r="Y14" s="21" t="s">
        <v>177</v>
      </c>
      <c r="Z14" s="7" t="str">
        <f t="array" ref="Z14">_xlfn.XLOOKUP(X14,'측정 관리'!$A$5:$A$204,'측정 관리'!$K$5:$K$204,"",0)</f>
        <v>일부 수집</v>
      </c>
    </row>
    <row r="15">
      <c r="A15" s="22">
        <v>8.0</v>
      </c>
      <c r="B15" s="22" t="s">
        <v>167</v>
      </c>
      <c r="C15" s="22" t="s">
        <v>1097</v>
      </c>
      <c r="D15" s="29" t="s">
        <v>38</v>
      </c>
      <c r="E15" s="24">
        <v>23000.0</v>
      </c>
      <c r="F15" s="22" t="s">
        <v>126</v>
      </c>
      <c r="G15" s="22">
        <v>5.0</v>
      </c>
      <c r="H15" s="24">
        <v>1455.0</v>
      </c>
      <c r="I15" s="22">
        <v>35.0</v>
      </c>
      <c r="J15" s="24">
        <v>2824.0</v>
      </c>
      <c r="K15" s="22">
        <v>157.0</v>
      </c>
      <c r="L15" s="24">
        <v>3193.0</v>
      </c>
      <c r="M15" s="24">
        <v>2830.0</v>
      </c>
      <c r="N15" s="25">
        <v>0.1230434782608696</v>
      </c>
      <c r="O15" s="31">
        <v>-0.1155652990917633</v>
      </c>
      <c r="P15" s="24">
        <v>1753.0</v>
      </c>
      <c r="Q15" s="22"/>
      <c r="R15" s="26" t="s">
        <v>171</v>
      </c>
      <c r="X15" s="21" t="s">
        <v>173</v>
      </c>
      <c r="Y15" s="21" t="s">
        <v>172</v>
      </c>
      <c r="Z15" s="7" t="str">
        <f t="array" ref="Z15">_xlfn.XLOOKUP(X15,'측정 관리'!$A$5:$A$204,'측정 관리'!$K$5:$K$204,"",0)</f>
        <v/>
      </c>
    </row>
    <row r="16">
      <c r="A16" s="22">
        <v>9.0</v>
      </c>
      <c r="B16" s="22" t="s">
        <v>223</v>
      </c>
      <c r="C16" s="22" t="s">
        <v>1108</v>
      </c>
      <c r="D16" s="29" t="s">
        <v>38</v>
      </c>
      <c r="E16" s="24">
        <v>15100.0</v>
      </c>
      <c r="F16" s="22" t="s">
        <v>126</v>
      </c>
      <c r="G16" s="22">
        <v>4.0</v>
      </c>
      <c r="H16" s="24">
        <v>317.0</v>
      </c>
      <c r="I16" s="22">
        <v>14.0</v>
      </c>
      <c r="J16" s="24">
        <v>1034.0</v>
      </c>
      <c r="K16" s="22">
        <v>38.0</v>
      </c>
      <c r="L16" s="24">
        <v>1659.0</v>
      </c>
      <c r="M16" s="24">
        <v>1650.0</v>
      </c>
      <c r="N16" s="25">
        <v>0.1092715231788079</v>
      </c>
      <c r="O16" s="31">
        <v>-0.3767329716696806</v>
      </c>
      <c r="P16" s="24">
        <v>2231.0</v>
      </c>
      <c r="Q16" s="22" t="s">
        <v>229</v>
      </c>
      <c r="R16" s="26" t="s">
        <v>228</v>
      </c>
      <c r="X16" s="21" t="s">
        <v>231</v>
      </c>
      <c r="Y16" s="21" t="s">
        <v>230</v>
      </c>
      <c r="Z16" s="7" t="str">
        <f t="array" ref="Z16">_xlfn.XLOOKUP(X16,'측정 관리'!$A$5:$A$204,'측정 관리'!$K$5:$K$204,"",0)</f>
        <v/>
      </c>
    </row>
    <row r="17">
      <c r="A17" s="22">
        <v>10.0</v>
      </c>
      <c r="B17" s="22" t="s">
        <v>184</v>
      </c>
      <c r="C17" s="22" t="s">
        <v>1117</v>
      </c>
      <c r="D17" s="29" t="s">
        <v>38</v>
      </c>
      <c r="E17" s="24">
        <v>22900.0</v>
      </c>
      <c r="F17" s="22" t="s">
        <v>126</v>
      </c>
      <c r="G17" s="22">
        <v>2.0</v>
      </c>
      <c r="H17" s="24">
        <v>756.0</v>
      </c>
      <c r="I17" s="22">
        <v>38.0</v>
      </c>
      <c r="J17" s="24">
        <v>1985.0</v>
      </c>
      <c r="K17" s="22">
        <v>137.0</v>
      </c>
      <c r="L17" s="24">
        <v>1972.0</v>
      </c>
      <c r="M17" s="24">
        <v>1840.0</v>
      </c>
      <c r="N17" s="25">
        <v>0.08034934497816594</v>
      </c>
      <c r="O17" s="31">
        <v>0.006592292089249385</v>
      </c>
      <c r="P17" s="24">
        <v>755.0</v>
      </c>
      <c r="Q17" s="22"/>
      <c r="R17" s="26" t="s">
        <v>187</v>
      </c>
      <c r="X17" s="21" t="s">
        <v>189</v>
      </c>
      <c r="Y17" s="21" t="s">
        <v>188</v>
      </c>
      <c r="Z17" s="7" t="str">
        <f t="array" ref="Z17">_xlfn.XLOOKUP(X17,'측정 관리'!$A$5:$A$204,'측정 관리'!$K$5:$K$204,"",0)</f>
        <v/>
      </c>
    </row>
    <row r="18">
      <c r="A18" s="22">
        <v>11.0</v>
      </c>
      <c r="B18" s="22" t="s">
        <v>207</v>
      </c>
      <c r="C18" s="22" t="s">
        <v>1123</v>
      </c>
      <c r="D18" s="29" t="s">
        <v>38</v>
      </c>
      <c r="E18" s="24">
        <v>21700.0</v>
      </c>
      <c r="F18" s="22" t="s">
        <v>126</v>
      </c>
      <c r="G18" s="22">
        <v>3.0</v>
      </c>
      <c r="H18" s="24">
        <v>446.0</v>
      </c>
      <c r="I18" s="22">
        <v>28.0</v>
      </c>
      <c r="J18" s="24">
        <v>1537.0</v>
      </c>
      <c r="K18" s="22">
        <v>154.0</v>
      </c>
      <c r="L18" s="24">
        <v>1848.0</v>
      </c>
      <c r="M18" s="24">
        <v>1730.0</v>
      </c>
      <c r="N18" s="25">
        <v>0.07972350230414746</v>
      </c>
      <c r="O18" s="31">
        <v>-0.1682900432900433</v>
      </c>
      <c r="P18" s="24">
        <v>1244.0</v>
      </c>
      <c r="Q18" s="22"/>
      <c r="R18" s="26" t="s">
        <v>210</v>
      </c>
      <c r="X18" s="21" t="s">
        <v>213</v>
      </c>
      <c r="Y18" s="21" t="s">
        <v>212</v>
      </c>
      <c r="Z18" s="7" t="str">
        <f t="array" ref="Z18">_xlfn.XLOOKUP(X18,'측정 관리'!$A$5:$A$204,'측정 관리'!$K$5:$K$204,"",0)</f>
        <v/>
      </c>
    </row>
    <row r="19">
      <c r="A19" s="22">
        <v>12.0</v>
      </c>
      <c r="B19" s="22" t="s">
        <v>215</v>
      </c>
      <c r="C19" s="22" t="s">
        <v>1132</v>
      </c>
      <c r="D19" s="29" t="s">
        <v>38</v>
      </c>
      <c r="E19" s="24">
        <v>26200.0</v>
      </c>
      <c r="F19" s="22" t="s">
        <v>126</v>
      </c>
      <c r="G19" s="22">
        <v>24.0</v>
      </c>
      <c r="H19" s="24">
        <v>1126.0</v>
      </c>
      <c r="I19" s="22">
        <v>135.0</v>
      </c>
      <c r="J19" s="24">
        <v>1557.0</v>
      </c>
      <c r="K19" s="22">
        <v>430.0</v>
      </c>
      <c r="L19" s="24">
        <v>1764.0</v>
      </c>
      <c r="M19" s="24">
        <v>1690.0</v>
      </c>
      <c r="N19" s="25">
        <v>0.06450381679389312</v>
      </c>
      <c r="O19" s="31">
        <v>-0.1173469387755102</v>
      </c>
      <c r="P19" s="24">
        <v>1158.0</v>
      </c>
      <c r="Q19" s="22"/>
      <c r="R19" s="26" t="s">
        <v>218</v>
      </c>
      <c r="X19" s="21" t="s">
        <v>222</v>
      </c>
      <c r="Y19" s="21" t="s">
        <v>221</v>
      </c>
      <c r="Z19" s="7" t="str">
        <f t="array" ref="Z19">_xlfn.XLOOKUP(X19,'측정 관리'!$A$5:$A$204,'측정 관리'!$K$5:$K$204,"",0)</f>
        <v/>
      </c>
    </row>
    <row r="20">
      <c r="A20" s="22">
        <v>13.0</v>
      </c>
      <c r="B20" s="22" t="s">
        <v>353</v>
      </c>
      <c r="C20" s="22" t="s">
        <v>1138</v>
      </c>
      <c r="D20" s="34" t="s">
        <v>42</v>
      </c>
      <c r="E20" s="24">
        <v>3920.0</v>
      </c>
      <c r="F20" s="22" t="s">
        <v>573</v>
      </c>
      <c r="G20" s="22">
        <v>1.0</v>
      </c>
      <c r="H20" s="24">
        <v>195.0</v>
      </c>
      <c r="I20" s="22">
        <v>5.0</v>
      </c>
      <c r="J20" s="24">
        <v>378.0</v>
      </c>
      <c r="K20" s="22">
        <v>18.0</v>
      </c>
      <c r="L20" s="24">
        <v>654.0</v>
      </c>
      <c r="M20" s="24">
        <v>707.0</v>
      </c>
      <c r="N20" s="25">
        <v>0.1803571428571429</v>
      </c>
      <c r="O20" s="31">
        <v>-0.4220183486238532</v>
      </c>
      <c r="P20" s="24">
        <v>1807.0</v>
      </c>
      <c r="Q20" s="22" t="s">
        <v>229</v>
      </c>
      <c r="R20" s="26" t="s">
        <v>358</v>
      </c>
      <c r="X20" s="21" t="s">
        <v>360</v>
      </c>
      <c r="Y20" s="21" t="s">
        <v>359</v>
      </c>
      <c r="Z20" s="7" t="str">
        <f t="array" ref="Z20">_xlfn.XLOOKUP(X20,'측정 관리'!$A$5:$A$204,'측정 관리'!$K$5:$K$204,"",0)</f>
        <v/>
      </c>
    </row>
    <row r="21" ht="15.75" customHeight="1">
      <c r="A21" s="22">
        <v>14.0</v>
      </c>
      <c r="B21" s="22" t="s">
        <v>346</v>
      </c>
      <c r="C21" s="22" t="s">
        <v>1147</v>
      </c>
      <c r="D21" s="34" t="s">
        <v>42</v>
      </c>
      <c r="E21" s="24">
        <v>4840.0</v>
      </c>
      <c r="F21" s="22" t="s">
        <v>573</v>
      </c>
      <c r="G21" s="22">
        <v>1.0</v>
      </c>
      <c r="H21" s="24">
        <v>197.0</v>
      </c>
      <c r="I21" s="22">
        <v>2.0</v>
      </c>
      <c r="J21" s="24">
        <v>388.0</v>
      </c>
      <c r="K21" s="22">
        <v>6.0</v>
      </c>
      <c r="L21" s="24">
        <v>918.0</v>
      </c>
      <c r="M21" s="24">
        <v>718.0</v>
      </c>
      <c r="N21" s="25">
        <v>0.1483471074380165</v>
      </c>
      <c r="O21" s="31">
        <v>-0.5773420479302832</v>
      </c>
      <c r="P21" s="24">
        <v>154.0</v>
      </c>
      <c r="Q21" s="22"/>
      <c r="R21" s="26" t="s">
        <v>347</v>
      </c>
      <c r="X21" s="21" t="s">
        <v>352</v>
      </c>
      <c r="Y21" s="21" t="s">
        <v>351</v>
      </c>
      <c r="Z21" s="7" t="str">
        <f t="array" ref="Z21">_xlfn.XLOOKUP(X21,'측정 관리'!$A$5:$A$204,'측정 관리'!$K$5:$K$204,"",0)</f>
        <v/>
      </c>
    </row>
    <row r="22" ht="15.75" customHeight="1">
      <c r="A22" s="22">
        <v>15.0</v>
      </c>
      <c r="B22" s="22" t="s">
        <v>1155</v>
      </c>
      <c r="C22" s="22" t="s">
        <v>1156</v>
      </c>
      <c r="D22" s="34" t="s">
        <v>42</v>
      </c>
      <c r="E22" s="24">
        <v>6530.0</v>
      </c>
      <c r="F22" s="22" t="s">
        <v>520</v>
      </c>
      <c r="G22" s="22"/>
      <c r="H22" s="22"/>
      <c r="I22" s="22">
        <v>2.0</v>
      </c>
      <c r="J22" s="24">
        <v>412.0</v>
      </c>
      <c r="K22" s="22">
        <v>14.0</v>
      </c>
      <c r="L22" s="24">
        <v>814.0</v>
      </c>
      <c r="M22" s="24">
        <v>880.0</v>
      </c>
      <c r="N22" s="25">
        <v>0.1347626339969372</v>
      </c>
      <c r="O22" s="31">
        <v>-0.4938574938574939</v>
      </c>
      <c r="P22" s="24">
        <v>556.0</v>
      </c>
      <c r="Q22" s="22"/>
      <c r="R22" s="26" t="s">
        <v>312</v>
      </c>
      <c r="X22" s="21" t="s">
        <v>314</v>
      </c>
      <c r="Y22" s="21" t="s">
        <v>313</v>
      </c>
      <c r="Z22" s="7" t="str">
        <f t="array" ref="Z22">_xlfn.XLOOKUP(X22,'측정 관리'!$A$5:$A$204,'측정 관리'!$K$5:$K$204,"",0)</f>
        <v/>
      </c>
    </row>
    <row r="23" ht="15.75" customHeight="1">
      <c r="A23" s="22">
        <v>16.0</v>
      </c>
      <c r="B23" s="22" t="s">
        <v>276</v>
      </c>
      <c r="C23" s="22" t="s">
        <v>1160</v>
      </c>
      <c r="D23" s="34" t="s">
        <v>42</v>
      </c>
      <c r="E23" s="24">
        <v>8060.0</v>
      </c>
      <c r="F23" s="22" t="s">
        <v>126</v>
      </c>
      <c r="G23" s="22">
        <v>16.0</v>
      </c>
      <c r="H23" s="24">
        <v>797.0</v>
      </c>
      <c r="I23" s="22">
        <v>51.0</v>
      </c>
      <c r="J23" s="24">
        <v>972.0</v>
      </c>
      <c r="K23" s="22">
        <v>256.0</v>
      </c>
      <c r="L23" s="24">
        <v>1033.0</v>
      </c>
      <c r="M23" s="24">
        <v>1010.0</v>
      </c>
      <c r="N23" s="25">
        <v>0.1253101736972705</v>
      </c>
      <c r="O23" s="31">
        <v>-0.05905130687318494</v>
      </c>
      <c r="P23" s="24">
        <v>1658.0</v>
      </c>
      <c r="Q23" s="22"/>
      <c r="R23" s="26" t="s">
        <v>280</v>
      </c>
      <c r="X23" s="21" t="s">
        <v>1165</v>
      </c>
      <c r="Y23" s="21" t="s">
        <v>283</v>
      </c>
      <c r="Z23" s="7" t="str">
        <f t="array" ref="Z23">_xlfn.XLOOKUP(X23,'측정 관리'!$A$5:$A$204,'측정 관리'!$K$5:$K$204,"",0)</f>
        <v/>
      </c>
    </row>
    <row r="24" ht="15.75" customHeight="1">
      <c r="A24" s="22">
        <v>17.0</v>
      </c>
      <c r="B24" s="22" t="s">
        <v>266</v>
      </c>
      <c r="C24" s="22" t="s">
        <v>1169</v>
      </c>
      <c r="D24" s="34" t="s">
        <v>42</v>
      </c>
      <c r="E24" s="24">
        <v>10800.0</v>
      </c>
      <c r="F24" s="22" t="s">
        <v>573</v>
      </c>
      <c r="G24" s="22">
        <v>1.0</v>
      </c>
      <c r="H24" s="24">
        <v>776.0</v>
      </c>
      <c r="I24" s="22">
        <v>4.0</v>
      </c>
      <c r="J24" s="24">
        <v>965.0</v>
      </c>
      <c r="K24" s="22">
        <v>101.0</v>
      </c>
      <c r="L24" s="24">
        <v>1223.0</v>
      </c>
      <c r="M24" s="24">
        <v>1300.0</v>
      </c>
      <c r="N24" s="25">
        <v>0.1203703703703704</v>
      </c>
      <c r="O24" s="31">
        <v>-0.2109566639411283</v>
      </c>
      <c r="P24" s="24">
        <v>506.0</v>
      </c>
      <c r="Q24" s="22"/>
      <c r="R24" s="26" t="s">
        <v>272</v>
      </c>
      <c r="X24" s="21" t="s">
        <v>275</v>
      </c>
      <c r="Y24" s="21" t="s">
        <v>274</v>
      </c>
      <c r="Z24" s="7" t="str">
        <f t="array" ref="Z24">_xlfn.XLOOKUP(X24,'측정 관리'!$A$5:$A$204,'측정 관리'!$K$5:$K$204,"",0)</f>
        <v/>
      </c>
    </row>
    <row r="25" ht="15.75" customHeight="1">
      <c r="A25" s="22">
        <v>18.0</v>
      </c>
      <c r="B25" s="22" t="s">
        <v>388</v>
      </c>
      <c r="C25" s="22" t="s">
        <v>1175</v>
      </c>
      <c r="D25" s="34" t="s">
        <v>42</v>
      </c>
      <c r="E25" s="24">
        <v>5910.0</v>
      </c>
      <c r="F25" s="22" t="s">
        <v>126</v>
      </c>
      <c r="G25" s="22">
        <v>5.0</v>
      </c>
      <c r="H25" s="24">
        <v>477.0</v>
      </c>
      <c r="I25" s="22">
        <v>25.0</v>
      </c>
      <c r="J25" s="24">
        <v>556.0</v>
      </c>
      <c r="K25" s="22">
        <v>82.0</v>
      </c>
      <c r="L25" s="24">
        <v>626.0</v>
      </c>
      <c r="M25" s="24">
        <v>615.0</v>
      </c>
      <c r="N25" s="25">
        <v>0.1040609137055838</v>
      </c>
      <c r="O25" s="31">
        <v>-0.1118210862619808</v>
      </c>
      <c r="P25" s="24">
        <v>423.0</v>
      </c>
      <c r="Q25" s="22"/>
      <c r="R25" s="26" t="s">
        <v>389</v>
      </c>
      <c r="X25" s="21" t="s">
        <v>391</v>
      </c>
      <c r="Y25" s="21" t="s">
        <v>390</v>
      </c>
      <c r="Z25" s="7" t="str">
        <f t="array" ref="Z25">_xlfn.XLOOKUP(X25,'측정 관리'!$A$5:$A$204,'측정 관리'!$K$5:$K$204,"",0)</f>
        <v/>
      </c>
    </row>
    <row r="26" ht="15.75" customHeight="1">
      <c r="A26" s="22">
        <v>19.0</v>
      </c>
      <c r="B26" s="22" t="s">
        <v>393</v>
      </c>
      <c r="C26" s="22" t="s">
        <v>1182</v>
      </c>
      <c r="D26" s="34" t="s">
        <v>42</v>
      </c>
      <c r="E26" s="24">
        <v>5540.0</v>
      </c>
      <c r="F26" s="22" t="s">
        <v>1183</v>
      </c>
      <c r="G26" s="22"/>
      <c r="H26" s="22"/>
      <c r="I26" s="22">
        <v>2.0</v>
      </c>
      <c r="J26" s="24">
        <v>411.0</v>
      </c>
      <c r="K26" s="22">
        <v>8.0</v>
      </c>
      <c r="L26" s="24">
        <v>556.0</v>
      </c>
      <c r="M26" s="24">
        <v>567.0</v>
      </c>
      <c r="N26" s="25">
        <v>0.1023465703971119</v>
      </c>
      <c r="O26" s="31">
        <v>-0.2607913669064749</v>
      </c>
      <c r="P26" s="24">
        <v>2093.0</v>
      </c>
      <c r="Q26" s="22" t="s">
        <v>229</v>
      </c>
      <c r="R26" s="26" t="s">
        <v>399</v>
      </c>
      <c r="X26" s="21" t="s">
        <v>401</v>
      </c>
      <c r="Y26" s="21" t="s">
        <v>400</v>
      </c>
      <c r="Z26" s="7" t="str">
        <f t="array" ref="Z26">_xlfn.XLOOKUP(X26,'측정 관리'!$A$5:$A$204,'측정 관리'!$K$5:$K$204,"",0)</f>
        <v/>
      </c>
    </row>
    <row r="27" ht="15.75" customHeight="1">
      <c r="A27" s="22">
        <v>20.0</v>
      </c>
      <c r="B27" s="22" t="s">
        <v>302</v>
      </c>
      <c r="C27" s="22" t="s">
        <v>1194</v>
      </c>
      <c r="D27" s="34" t="s">
        <v>42</v>
      </c>
      <c r="E27" s="24">
        <v>8760.0</v>
      </c>
      <c r="F27" s="22" t="s">
        <v>520</v>
      </c>
      <c r="G27" s="22"/>
      <c r="H27" s="22"/>
      <c r="I27" s="22">
        <v>1.0</v>
      </c>
      <c r="J27" s="24">
        <v>323.0</v>
      </c>
      <c r="K27" s="22">
        <v>10.0</v>
      </c>
      <c r="L27" s="24">
        <v>928.0</v>
      </c>
      <c r="M27" s="24">
        <v>892.0</v>
      </c>
      <c r="N27" s="25">
        <v>0.1018264840182648</v>
      </c>
      <c r="O27" s="31">
        <v>-0.6519396551724138</v>
      </c>
      <c r="P27" s="24">
        <v>985.0</v>
      </c>
      <c r="Q27" s="22"/>
      <c r="R27" s="26" t="s">
        <v>304</v>
      </c>
      <c r="X27" s="21" t="s">
        <v>306</v>
      </c>
      <c r="Y27" s="21" t="s">
        <v>305</v>
      </c>
      <c r="Z27" s="7" t="str">
        <f t="array" ref="Z27">_xlfn.XLOOKUP(X27,'측정 관리'!$A$5:$A$204,'측정 관리'!$K$5:$K$204,"",0)</f>
        <v/>
      </c>
    </row>
    <row r="28" ht="15.75" customHeight="1">
      <c r="A28" s="22">
        <v>21.0</v>
      </c>
      <c r="B28" s="22" t="s">
        <v>339</v>
      </c>
      <c r="C28" s="22" t="s">
        <v>1203</v>
      </c>
      <c r="D28" s="34" t="s">
        <v>42</v>
      </c>
      <c r="E28" s="24">
        <v>7620.0</v>
      </c>
      <c r="F28" s="22" t="s">
        <v>573</v>
      </c>
      <c r="G28" s="22">
        <v>2.0</v>
      </c>
      <c r="H28" s="24">
        <v>601.0</v>
      </c>
      <c r="I28" s="22">
        <v>10.0</v>
      </c>
      <c r="J28" s="24">
        <v>999.0</v>
      </c>
      <c r="K28" s="22">
        <v>35.0</v>
      </c>
      <c r="L28" s="24">
        <v>962.0</v>
      </c>
      <c r="M28" s="24">
        <v>766.0</v>
      </c>
      <c r="N28" s="25">
        <v>0.1005249343832021</v>
      </c>
      <c r="O28" s="31">
        <v>0.03846153846153855</v>
      </c>
      <c r="P28" s="24">
        <v>573.0</v>
      </c>
      <c r="Q28" s="22"/>
      <c r="R28" s="26" t="s">
        <v>340</v>
      </c>
      <c r="X28" s="21" t="s">
        <v>344</v>
      </c>
      <c r="Y28" s="21" t="s">
        <v>343</v>
      </c>
      <c r="Z28" s="7" t="str">
        <f t="array" ref="Z28">_xlfn.XLOOKUP(X28,'측정 관리'!$A$5:$A$204,'측정 관리'!$K$5:$K$204,"",0)</f>
        <v/>
      </c>
    </row>
    <row r="29" ht="15.75" customHeight="1">
      <c r="A29" s="22">
        <v>22.0</v>
      </c>
      <c r="B29" s="22" t="s">
        <v>296</v>
      </c>
      <c r="C29" s="22" t="s">
        <v>1216</v>
      </c>
      <c r="D29" s="34" t="s">
        <v>42</v>
      </c>
      <c r="E29" s="24">
        <v>9730.0</v>
      </c>
      <c r="F29" s="22" t="s">
        <v>126</v>
      </c>
      <c r="G29" s="22">
        <v>1.0</v>
      </c>
      <c r="H29" s="24">
        <v>403.0</v>
      </c>
      <c r="I29" s="22">
        <v>17.0</v>
      </c>
      <c r="J29" s="24">
        <v>899.0</v>
      </c>
      <c r="K29" s="22">
        <v>67.0</v>
      </c>
      <c r="L29" s="24">
        <v>1251.0</v>
      </c>
      <c r="M29" s="24">
        <v>976.0</v>
      </c>
      <c r="N29" s="25">
        <v>0.1003083247687564</v>
      </c>
      <c r="O29" s="31">
        <v>-0.281374900079936</v>
      </c>
      <c r="P29" s="24">
        <v>726.0</v>
      </c>
      <c r="Q29" s="22"/>
      <c r="R29" s="26" t="s">
        <v>297</v>
      </c>
      <c r="X29" s="21" t="s">
        <v>299</v>
      </c>
      <c r="Y29" s="21" t="s">
        <v>298</v>
      </c>
      <c r="Z29" s="7" t="str">
        <f t="array" ref="Z29">_xlfn.XLOOKUP(X29,'측정 관리'!$A$5:$A$204,'측정 관리'!$K$5:$K$204,"",0)</f>
        <v/>
      </c>
    </row>
    <row r="30" ht="15.75" customHeight="1">
      <c r="A30" s="22">
        <v>23.0</v>
      </c>
      <c r="B30" s="22" t="s">
        <v>285</v>
      </c>
      <c r="C30" s="22" t="s">
        <v>1229</v>
      </c>
      <c r="D30" s="34" t="s">
        <v>42</v>
      </c>
      <c r="E30" s="24">
        <v>13700.0</v>
      </c>
      <c r="F30" s="22" t="s">
        <v>126</v>
      </c>
      <c r="G30" s="22">
        <v>4.0</v>
      </c>
      <c r="H30" s="24">
        <v>629.0</v>
      </c>
      <c r="I30" s="22">
        <v>39.0</v>
      </c>
      <c r="J30" s="24">
        <v>1869.0</v>
      </c>
      <c r="K30" s="22">
        <v>84.0</v>
      </c>
      <c r="L30" s="24">
        <v>1622.0</v>
      </c>
      <c r="M30" s="24">
        <v>1200.0</v>
      </c>
      <c r="N30" s="25">
        <v>0.08759124087591241</v>
      </c>
      <c r="O30" s="31">
        <v>0.1522811344019728</v>
      </c>
      <c r="P30" s="24">
        <v>1248.0</v>
      </c>
      <c r="Q30" s="22"/>
      <c r="R30" s="26" t="s">
        <v>291</v>
      </c>
      <c r="X30" s="21" t="s">
        <v>295</v>
      </c>
      <c r="Y30" s="21" t="s">
        <v>294</v>
      </c>
      <c r="Z30" s="7" t="str">
        <f t="array" ref="Z30">_xlfn.XLOOKUP(X30,'측정 관리'!$A$5:$A$204,'측정 관리'!$K$5:$K$204,"",0)</f>
        <v/>
      </c>
    </row>
    <row r="31" ht="15.75" customHeight="1">
      <c r="A31" s="22">
        <v>24.0</v>
      </c>
      <c r="B31" s="22" t="s">
        <v>324</v>
      </c>
      <c r="C31" s="22" t="s">
        <v>1238</v>
      </c>
      <c r="D31" s="34" t="s">
        <v>42</v>
      </c>
      <c r="E31" s="24">
        <v>9600.0</v>
      </c>
      <c r="F31" s="22" t="s">
        <v>573</v>
      </c>
      <c r="G31" s="22">
        <v>1.0</v>
      </c>
      <c r="H31" s="24">
        <v>281.0</v>
      </c>
      <c r="I31" s="22">
        <v>12.0</v>
      </c>
      <c r="J31" s="24">
        <v>519.0</v>
      </c>
      <c r="K31" s="22">
        <v>98.0</v>
      </c>
      <c r="L31" s="24">
        <v>1000.0</v>
      </c>
      <c r="M31" s="24">
        <v>821.0</v>
      </c>
      <c r="N31" s="25">
        <v>0.08552083333333334</v>
      </c>
      <c r="O31" s="31">
        <v>-0.481</v>
      </c>
      <c r="P31" s="24">
        <v>487.0</v>
      </c>
      <c r="Q31" s="22"/>
      <c r="R31" s="26" t="s">
        <v>326</v>
      </c>
      <c r="X31" s="21" t="s">
        <v>329</v>
      </c>
      <c r="Y31" s="21" t="s">
        <v>328</v>
      </c>
      <c r="Z31" s="7" t="str">
        <f t="array" ref="Z31">_xlfn.XLOOKUP(X31,'측정 관리'!$A$5:$A$204,'측정 관리'!$K$5:$K$204,"",0)</f>
        <v/>
      </c>
    </row>
    <row r="32" ht="15.75" customHeight="1">
      <c r="A32" s="22">
        <v>25.0</v>
      </c>
      <c r="B32" s="22" t="s">
        <v>1245</v>
      </c>
      <c r="C32" s="22" t="s">
        <v>1246</v>
      </c>
      <c r="D32" s="34" t="s">
        <v>42</v>
      </c>
      <c r="E32" s="24">
        <v>9360.0</v>
      </c>
      <c r="F32" s="22" t="s">
        <v>573</v>
      </c>
      <c r="G32" s="22">
        <v>5.0</v>
      </c>
      <c r="H32" s="24">
        <v>701.0</v>
      </c>
      <c r="I32" s="22">
        <v>51.0</v>
      </c>
      <c r="J32" s="24">
        <v>954.0</v>
      </c>
      <c r="K32" s="22">
        <v>305.0</v>
      </c>
      <c r="L32" s="24">
        <v>891.0</v>
      </c>
      <c r="M32" s="24">
        <v>720.0</v>
      </c>
      <c r="N32" s="25">
        <v>0.07692307692307693</v>
      </c>
      <c r="O32" s="31">
        <v>0.07070707070707072</v>
      </c>
      <c r="P32" s="24">
        <v>366.0</v>
      </c>
      <c r="Q32" s="22"/>
      <c r="R32" s="26" t="s">
        <v>241</v>
      </c>
      <c r="X32" s="21" t="s">
        <v>1249</v>
      </c>
      <c r="Y32" s="21" t="s">
        <v>247</v>
      </c>
      <c r="Z32" s="7" t="str">
        <f t="array" ref="Z32">_xlfn.XLOOKUP(X32,'측정 관리'!$A$5:$A$204,'측정 관리'!$K$5:$K$204,"",0)</f>
        <v/>
      </c>
    </row>
    <row r="33" ht="15.75" customHeight="1">
      <c r="A33" s="22">
        <v>26.0</v>
      </c>
      <c r="B33" s="22" t="s">
        <v>159</v>
      </c>
      <c r="C33" s="22" t="s">
        <v>1251</v>
      </c>
      <c r="D33" s="34" t="s">
        <v>42</v>
      </c>
      <c r="E33" s="24">
        <v>18000.0</v>
      </c>
      <c r="F33" s="22" t="s">
        <v>126</v>
      </c>
      <c r="G33" s="22">
        <v>12.0</v>
      </c>
      <c r="H33" s="24">
        <v>534.0</v>
      </c>
      <c r="I33" s="22">
        <v>78.0</v>
      </c>
      <c r="J33" s="24">
        <v>1168.0</v>
      </c>
      <c r="K33" s="22">
        <v>270.0</v>
      </c>
      <c r="L33" s="24">
        <v>1424.0</v>
      </c>
      <c r="M33" s="24">
        <v>1300.0</v>
      </c>
      <c r="N33" s="25">
        <v>0.07222222222222222</v>
      </c>
      <c r="O33" s="31">
        <v>-0.1797752808988764</v>
      </c>
      <c r="P33" s="24">
        <v>465.0</v>
      </c>
      <c r="Q33" s="22" t="s">
        <v>1252</v>
      </c>
      <c r="R33" s="26" t="s">
        <v>161</v>
      </c>
      <c r="X33" s="21" t="s">
        <v>1253</v>
      </c>
      <c r="Y33" s="21" t="s">
        <v>164</v>
      </c>
      <c r="Z33" s="7" t="str">
        <f t="array" ref="Z33">_xlfn.XLOOKUP(X33,'측정 관리'!$A$5:$A$204,'측정 관리'!$K$5:$K$204,"",0)</f>
        <v/>
      </c>
    </row>
    <row r="34" ht="15.75" customHeight="1">
      <c r="A34" s="22">
        <v>27.0</v>
      </c>
      <c r="B34" s="22" t="s">
        <v>1256</v>
      </c>
      <c r="C34" s="22" t="s">
        <v>1257</v>
      </c>
      <c r="D34" s="34" t="s">
        <v>42</v>
      </c>
      <c r="E34" s="24">
        <v>9320.0</v>
      </c>
      <c r="F34" s="22" t="s">
        <v>573</v>
      </c>
      <c r="G34" s="22"/>
      <c r="H34" s="22"/>
      <c r="I34" s="22">
        <v>12.0</v>
      </c>
      <c r="J34" s="24">
        <v>498.0</v>
      </c>
      <c r="K34" s="22">
        <v>38.0</v>
      </c>
      <c r="L34" s="24">
        <v>668.0</v>
      </c>
      <c r="M34" s="24">
        <v>624.0</v>
      </c>
      <c r="N34" s="25">
        <v>0.06695278969957082</v>
      </c>
      <c r="O34" s="31">
        <v>-0.2544910179640718</v>
      </c>
      <c r="P34" s="24">
        <v>414.0</v>
      </c>
      <c r="Q34" s="22"/>
      <c r="R34" s="26" t="s">
        <v>375</v>
      </c>
      <c r="X34" s="21" t="s">
        <v>377</v>
      </c>
      <c r="Y34" s="21" t="s">
        <v>376</v>
      </c>
      <c r="Z34" s="7" t="str">
        <f t="array" ref="Z34">_xlfn.XLOOKUP(X34,'측정 관리'!$A$5:$A$204,'측정 관리'!$K$5:$K$204,"",0)</f>
        <v/>
      </c>
    </row>
    <row r="35" ht="15.75" customHeight="1">
      <c r="A35" s="22">
        <v>28.0</v>
      </c>
      <c r="B35" s="22" t="s">
        <v>249</v>
      </c>
      <c r="C35" s="22" t="s">
        <v>1259</v>
      </c>
      <c r="D35" s="34" t="s">
        <v>42</v>
      </c>
      <c r="E35" s="24">
        <v>15600.0</v>
      </c>
      <c r="F35" s="22" t="s">
        <v>126</v>
      </c>
      <c r="G35" s="22">
        <v>15.0</v>
      </c>
      <c r="H35" s="24">
        <v>1006.0</v>
      </c>
      <c r="I35" s="22">
        <v>163.0</v>
      </c>
      <c r="J35" s="24">
        <v>1079.0</v>
      </c>
      <c r="K35" s="22">
        <v>616.0</v>
      </c>
      <c r="L35" s="24">
        <v>1197.0</v>
      </c>
      <c r="M35" s="24">
        <v>1030.0</v>
      </c>
      <c r="N35" s="25">
        <v>0.06602564102564103</v>
      </c>
      <c r="O35" s="31">
        <v>-0.0985797827903091</v>
      </c>
      <c r="P35" s="24">
        <v>796.0</v>
      </c>
      <c r="Q35" s="22" t="s">
        <v>1252</v>
      </c>
      <c r="R35" s="26" t="s">
        <v>251</v>
      </c>
      <c r="X35" s="21" t="s">
        <v>1260</v>
      </c>
      <c r="Y35" s="21" t="s">
        <v>255</v>
      </c>
      <c r="Z35" s="7" t="str">
        <f t="array" ref="Z35">_xlfn.XLOOKUP(X35,'측정 관리'!$A$5:$A$204,'측정 관리'!$K$5:$K$204,"",0)</f>
        <v/>
      </c>
    </row>
    <row r="36" ht="15.75" customHeight="1">
      <c r="A36" s="22">
        <v>29.0</v>
      </c>
      <c r="B36" s="22" t="s">
        <v>257</v>
      </c>
      <c r="C36" s="22" t="s">
        <v>1262</v>
      </c>
      <c r="D36" s="34" t="s">
        <v>42</v>
      </c>
      <c r="E36" s="24">
        <v>22700.0</v>
      </c>
      <c r="F36" s="22" t="s">
        <v>126</v>
      </c>
      <c r="G36" s="22">
        <v>12.0</v>
      </c>
      <c r="H36" s="24">
        <v>694.0</v>
      </c>
      <c r="I36" s="22">
        <v>45.0</v>
      </c>
      <c r="J36" s="24">
        <v>1294.0</v>
      </c>
      <c r="K36" s="22">
        <v>185.0</v>
      </c>
      <c r="L36" s="24">
        <v>1670.0</v>
      </c>
      <c r="M36" s="24">
        <v>1480.0</v>
      </c>
      <c r="N36" s="25">
        <v>0.06519823788546256</v>
      </c>
      <c r="O36" s="31">
        <v>-0.2251497005988023</v>
      </c>
      <c r="P36" s="24">
        <v>851.0</v>
      </c>
      <c r="Q36" s="22"/>
      <c r="R36" s="26" t="s">
        <v>260</v>
      </c>
      <c r="X36" s="21" t="s">
        <v>263</v>
      </c>
      <c r="Y36" s="21" t="s">
        <v>261</v>
      </c>
      <c r="Z36" s="7" t="str">
        <f t="array" ref="Z36">_xlfn.XLOOKUP(X36,'측정 관리'!$A$5:$A$204,'측정 관리'!$K$5:$K$204,"",0)</f>
        <v/>
      </c>
    </row>
    <row r="37" ht="15.75" customHeight="1">
      <c r="A37" s="22">
        <v>30.0</v>
      </c>
      <c r="B37" s="22" t="s">
        <v>362</v>
      </c>
      <c r="C37" s="22" t="s">
        <v>1263</v>
      </c>
      <c r="D37" s="34" t="s">
        <v>42</v>
      </c>
      <c r="E37" s="24">
        <v>11400.0</v>
      </c>
      <c r="F37" s="22" t="s">
        <v>126</v>
      </c>
      <c r="G37" s="22">
        <v>8.0</v>
      </c>
      <c r="H37" s="24">
        <v>386.0</v>
      </c>
      <c r="I37" s="22">
        <v>169.0</v>
      </c>
      <c r="J37" s="24">
        <v>642.0</v>
      </c>
      <c r="K37" s="22">
        <v>460.0</v>
      </c>
      <c r="L37" s="24">
        <v>683.0</v>
      </c>
      <c r="M37" s="24">
        <v>628.0</v>
      </c>
      <c r="N37" s="25">
        <v>0.05508771929824562</v>
      </c>
      <c r="O37" s="31">
        <v>-0.06002928257686679</v>
      </c>
      <c r="P37" s="24">
        <v>312.0</v>
      </c>
      <c r="Q37" s="22"/>
      <c r="R37" s="26" t="s">
        <v>367</v>
      </c>
      <c r="X37" s="21" t="s">
        <v>370</v>
      </c>
      <c r="Y37" s="21" t="s">
        <v>369</v>
      </c>
      <c r="Z37" s="7" t="str">
        <f t="array" ref="Z37">_xlfn.XLOOKUP(X37,'측정 관리'!$A$5:$A$204,'측정 관리'!$K$5:$K$204,"",0)</f>
        <v/>
      </c>
    </row>
    <row r="38" ht="15.75" customHeight="1">
      <c r="A38" s="22">
        <v>31.0</v>
      </c>
      <c r="B38" s="22" t="s">
        <v>332</v>
      </c>
      <c r="C38" s="22" t="s">
        <v>1264</v>
      </c>
      <c r="D38" s="34" t="s">
        <v>42</v>
      </c>
      <c r="E38" s="24">
        <v>14400.0</v>
      </c>
      <c r="F38" s="22" t="s">
        <v>573</v>
      </c>
      <c r="G38" s="22">
        <v>3.0</v>
      </c>
      <c r="H38" s="24">
        <v>446.0</v>
      </c>
      <c r="I38" s="22">
        <v>20.0</v>
      </c>
      <c r="J38" s="24">
        <v>586.0</v>
      </c>
      <c r="K38" s="22">
        <v>94.0</v>
      </c>
      <c r="L38" s="24">
        <v>732.0</v>
      </c>
      <c r="M38" s="24">
        <v>772.0</v>
      </c>
      <c r="N38" s="25">
        <v>0.05361111111111111</v>
      </c>
      <c r="O38" s="31">
        <v>-0.1994535519125683</v>
      </c>
      <c r="P38" s="24">
        <v>856.0</v>
      </c>
      <c r="Q38" s="22"/>
      <c r="R38" s="26" t="s">
        <v>333</v>
      </c>
      <c r="X38" s="21" t="s">
        <v>335</v>
      </c>
      <c r="Y38" s="21" t="s">
        <v>334</v>
      </c>
      <c r="Z38" s="7" t="str">
        <f t="array" ref="Z38">_xlfn.XLOOKUP(X38,'측정 관리'!$A$5:$A$204,'측정 관리'!$K$5:$K$204,"",0)</f>
        <v/>
      </c>
    </row>
    <row r="39" ht="15.75" customHeight="1">
      <c r="A39" s="22">
        <v>32.0</v>
      </c>
      <c r="B39" s="22" t="s">
        <v>402</v>
      </c>
      <c r="C39" s="22" t="s">
        <v>1265</v>
      </c>
      <c r="D39" s="34" t="s">
        <v>42</v>
      </c>
      <c r="E39" s="24">
        <v>12600.0</v>
      </c>
      <c r="F39" s="22" t="s">
        <v>126</v>
      </c>
      <c r="G39" s="22">
        <v>4.0</v>
      </c>
      <c r="H39" s="24">
        <v>229.0</v>
      </c>
      <c r="I39" s="22">
        <v>44.0</v>
      </c>
      <c r="J39" s="24">
        <v>459.0</v>
      </c>
      <c r="K39" s="22">
        <v>191.0</v>
      </c>
      <c r="L39" s="24">
        <v>530.0</v>
      </c>
      <c r="M39" s="24">
        <v>528.0</v>
      </c>
      <c r="N39" s="25">
        <v>0.0419047619047619</v>
      </c>
      <c r="O39" s="31">
        <v>-0.1339622641509434</v>
      </c>
      <c r="P39" s="24">
        <v>265.0</v>
      </c>
      <c r="Q39" s="22"/>
      <c r="R39" s="26" t="s">
        <v>404</v>
      </c>
      <c r="X39" s="21" t="s">
        <v>409</v>
      </c>
      <c r="Y39" s="21" t="s">
        <v>407</v>
      </c>
      <c r="Z39" s="7" t="str">
        <f t="array" ref="Z39">_xlfn.XLOOKUP(X39,'측정 관리'!$A$5:$A$204,'측정 관리'!$K$5:$K$204,"",0)</f>
        <v/>
      </c>
    </row>
    <row r="40" ht="15.75" customHeight="1">
      <c r="A40" s="22">
        <v>33.0</v>
      </c>
      <c r="B40" s="22" t="s">
        <v>317</v>
      </c>
      <c r="C40" s="22" t="s">
        <v>1266</v>
      </c>
      <c r="D40" s="34" t="s">
        <v>42</v>
      </c>
      <c r="E40" s="24">
        <v>21900.0</v>
      </c>
      <c r="F40" s="22" t="s">
        <v>126</v>
      </c>
      <c r="G40" s="22">
        <v>5.0</v>
      </c>
      <c r="H40" s="24">
        <v>360.0</v>
      </c>
      <c r="I40" s="22">
        <v>28.0</v>
      </c>
      <c r="J40" s="24">
        <v>779.0</v>
      </c>
      <c r="K40" s="22">
        <v>131.0</v>
      </c>
      <c r="L40" s="24">
        <v>959.0</v>
      </c>
      <c r="M40" s="24">
        <v>844.0</v>
      </c>
      <c r="N40" s="25">
        <v>0.03853881278538813</v>
      </c>
      <c r="O40" s="31">
        <v>-0.1876955161626694</v>
      </c>
      <c r="P40" s="24">
        <v>756.0</v>
      </c>
      <c r="Q40" s="22" t="s">
        <v>319</v>
      </c>
      <c r="R40" s="26" t="s">
        <v>318</v>
      </c>
      <c r="X40" s="21" t="s">
        <v>322</v>
      </c>
      <c r="Y40" s="21" t="s">
        <v>320</v>
      </c>
      <c r="Z40" s="7" t="str">
        <f t="array" ref="Z40">_xlfn.XLOOKUP(X40,'측정 관리'!$A$5:$A$204,'측정 관리'!$K$5:$K$204,"",0)</f>
        <v/>
      </c>
    </row>
    <row r="41" ht="15.75" customHeight="1">
      <c r="A41" s="22">
        <v>34.0</v>
      </c>
      <c r="B41" s="22" t="s">
        <v>381</v>
      </c>
      <c r="C41" s="22" t="s">
        <v>1267</v>
      </c>
      <c r="D41" s="34" t="s">
        <v>42</v>
      </c>
      <c r="E41" s="24">
        <v>16700.0</v>
      </c>
      <c r="F41" s="22" t="s">
        <v>126</v>
      </c>
      <c r="G41" s="22">
        <v>8.0</v>
      </c>
      <c r="H41" s="24">
        <v>221.0</v>
      </c>
      <c r="I41" s="22">
        <v>32.0</v>
      </c>
      <c r="J41" s="24">
        <v>451.0</v>
      </c>
      <c r="K41" s="22">
        <v>76.0</v>
      </c>
      <c r="L41" s="24">
        <v>625.0</v>
      </c>
      <c r="M41" s="24">
        <v>617.0</v>
      </c>
      <c r="N41" s="25">
        <v>0.03694610778443114</v>
      </c>
      <c r="O41" s="31">
        <v>-0.2784</v>
      </c>
      <c r="P41" s="24">
        <v>617.0</v>
      </c>
      <c r="Q41" s="22"/>
      <c r="R41" s="26" t="s">
        <v>382</v>
      </c>
      <c r="X41" s="21" t="s">
        <v>384</v>
      </c>
      <c r="Y41" s="21" t="s">
        <v>383</v>
      </c>
      <c r="Z41" s="7" t="str">
        <f t="array" ref="Z41">_xlfn.XLOOKUP(X41,'측정 관리'!$A$5:$A$204,'측정 관리'!$K$5:$K$204,"",0)</f>
        <v/>
      </c>
    </row>
    <row r="42" ht="15.75" customHeight="1">
      <c r="A42" s="22">
        <v>35.0</v>
      </c>
      <c r="B42" s="22" t="s">
        <v>606</v>
      </c>
      <c r="C42" s="22" t="s">
        <v>1268</v>
      </c>
      <c r="D42" s="37" t="s">
        <v>48</v>
      </c>
      <c r="E42" s="24">
        <v>92.0</v>
      </c>
      <c r="F42" s="22" t="s">
        <v>573</v>
      </c>
      <c r="G42" s="22">
        <v>1.0</v>
      </c>
      <c r="H42" s="24">
        <v>12.0</v>
      </c>
      <c r="I42" s="22">
        <v>14.0</v>
      </c>
      <c r="J42" s="24">
        <v>15.0</v>
      </c>
      <c r="K42" s="22">
        <v>105.0</v>
      </c>
      <c r="L42" s="24">
        <v>21.0</v>
      </c>
      <c r="M42" s="24">
        <v>21.0</v>
      </c>
      <c r="N42" s="25">
        <v>0.2282608695652174</v>
      </c>
      <c r="O42" s="31">
        <v>-0.2857142857142857</v>
      </c>
      <c r="P42" s="24">
        <v>8.0</v>
      </c>
      <c r="Q42" s="22"/>
      <c r="R42" s="26" t="s">
        <v>608</v>
      </c>
      <c r="X42" s="21" t="s">
        <v>612</v>
      </c>
      <c r="Y42" s="21" t="s">
        <v>611</v>
      </c>
      <c r="Z42" s="7" t="str">
        <f t="array" ref="Z42">_xlfn.XLOOKUP(X42,'측정 관리'!$A$5:$A$204,'측정 관리'!$K$5:$K$204,"",0)</f>
        <v/>
      </c>
    </row>
    <row r="43" ht="15.75" customHeight="1">
      <c r="A43" s="22">
        <v>36.0</v>
      </c>
      <c r="B43" s="22" t="s">
        <v>551</v>
      </c>
      <c r="C43" s="22" t="s">
        <v>1269</v>
      </c>
      <c r="D43" s="37" t="s">
        <v>48</v>
      </c>
      <c r="E43" s="24">
        <v>1300.0</v>
      </c>
      <c r="F43" s="22" t="s">
        <v>573</v>
      </c>
      <c r="G43" s="22">
        <v>1.0</v>
      </c>
      <c r="H43" s="24">
        <v>42.0</v>
      </c>
      <c r="I43" s="22">
        <v>1.0</v>
      </c>
      <c r="J43" s="24">
        <v>42.0</v>
      </c>
      <c r="K43" s="22">
        <v>7.0</v>
      </c>
      <c r="L43" s="24">
        <v>673.0</v>
      </c>
      <c r="M43" s="24">
        <v>166.0</v>
      </c>
      <c r="N43" s="25">
        <v>0.1276923076923077</v>
      </c>
      <c r="O43" s="31">
        <v>-0.937592867756315</v>
      </c>
      <c r="P43" s="24">
        <v>143.0</v>
      </c>
      <c r="Q43" s="22" t="s">
        <v>559</v>
      </c>
      <c r="R43" s="26" t="s">
        <v>558</v>
      </c>
      <c r="X43" s="21" t="s">
        <v>561</v>
      </c>
      <c r="Y43" s="21" t="s">
        <v>560</v>
      </c>
      <c r="Z43" s="7" t="str">
        <f t="array" ref="Z43">_xlfn.XLOOKUP(X43,'측정 관리'!$A$5:$A$204,'측정 관리'!$K$5:$K$204,"",0)</f>
        <v/>
      </c>
    </row>
    <row r="44" ht="15.75" customHeight="1">
      <c r="A44" s="22">
        <v>37.0</v>
      </c>
      <c r="B44" s="22" t="s">
        <v>581</v>
      </c>
      <c r="C44" s="22" t="s">
        <v>1270</v>
      </c>
      <c r="D44" s="37" t="s">
        <v>48</v>
      </c>
      <c r="E44" s="24">
        <v>1430.0</v>
      </c>
      <c r="F44" s="22" t="s">
        <v>573</v>
      </c>
      <c r="G44" s="22">
        <v>1.0</v>
      </c>
      <c r="H44" s="24">
        <v>54.0</v>
      </c>
      <c r="I44" s="22">
        <v>3.0</v>
      </c>
      <c r="J44" s="24">
        <v>73.0</v>
      </c>
      <c r="K44" s="22">
        <v>13.0</v>
      </c>
      <c r="L44" s="24">
        <v>127.0</v>
      </c>
      <c r="M44" s="24">
        <v>116.0</v>
      </c>
      <c r="N44" s="25">
        <v>0.08111888111888112</v>
      </c>
      <c r="O44" s="31">
        <v>-0.4251968503937008</v>
      </c>
      <c r="P44" s="24">
        <v>185.0</v>
      </c>
      <c r="Q44" s="22"/>
      <c r="R44" s="26" t="s">
        <v>587</v>
      </c>
      <c r="X44" s="21" t="s">
        <v>589</v>
      </c>
      <c r="Y44" s="21" t="s">
        <v>588</v>
      </c>
      <c r="Z44" s="7" t="str">
        <f t="array" ref="Z44">_xlfn.XLOOKUP(X44,'측정 관리'!$A$5:$A$204,'측정 관리'!$K$5:$K$204,"",0)</f>
        <v/>
      </c>
    </row>
    <row r="45" ht="15.75" customHeight="1">
      <c r="A45" s="22">
        <v>38.0</v>
      </c>
      <c r="B45" s="22" t="s">
        <v>445</v>
      </c>
      <c r="C45" s="22" t="s">
        <v>1271</v>
      </c>
      <c r="D45" s="37" t="s">
        <v>48</v>
      </c>
      <c r="E45" s="24">
        <v>5320.0</v>
      </c>
      <c r="F45" s="22" t="s">
        <v>1272</v>
      </c>
      <c r="G45" s="22"/>
      <c r="H45" s="22"/>
      <c r="I45" s="22">
        <v>14.0</v>
      </c>
      <c r="J45" s="24">
        <v>1468.0</v>
      </c>
      <c r="K45" s="22">
        <v>48.0</v>
      </c>
      <c r="L45" s="24">
        <v>778.0</v>
      </c>
      <c r="M45" s="24">
        <v>416.0</v>
      </c>
      <c r="N45" s="25">
        <v>0.07819548872180451</v>
      </c>
      <c r="O45" s="31">
        <v>0.8868894601542416</v>
      </c>
      <c r="P45" s="24">
        <v>381.0</v>
      </c>
      <c r="Q45" s="22" t="s">
        <v>1273</v>
      </c>
      <c r="R45" s="26" t="s">
        <v>447</v>
      </c>
      <c r="X45" s="21" t="s">
        <v>452</v>
      </c>
      <c r="Y45" s="21" t="s">
        <v>451</v>
      </c>
      <c r="Z45" s="7" t="str">
        <f t="array" ref="Z45">_xlfn.XLOOKUP(X45,'측정 관리'!$A$5:$A$204,'측정 관리'!$K$5:$K$204,"",0)</f>
        <v/>
      </c>
    </row>
    <row r="46" ht="15.75" customHeight="1">
      <c r="A46" s="22">
        <v>39.0</v>
      </c>
      <c r="B46" s="22" t="s">
        <v>1277</v>
      </c>
      <c r="C46" s="22" t="s">
        <v>1279</v>
      </c>
      <c r="D46" s="37" t="s">
        <v>48</v>
      </c>
      <c r="E46" s="24">
        <v>1900.0</v>
      </c>
      <c r="F46" s="22" t="s">
        <v>794</v>
      </c>
      <c r="G46" s="22"/>
      <c r="H46" s="22"/>
      <c r="I46" s="22">
        <v>2.0</v>
      </c>
      <c r="J46" s="24">
        <v>129.0</v>
      </c>
      <c r="K46" s="22">
        <v>3.0</v>
      </c>
      <c r="L46" s="24">
        <v>207.0</v>
      </c>
      <c r="M46" s="24">
        <v>132.0</v>
      </c>
      <c r="N46" s="25">
        <v>0.06947368421052631</v>
      </c>
      <c r="O46" s="31">
        <v>-0.3768115942028986</v>
      </c>
      <c r="P46" s="24">
        <v>204.0</v>
      </c>
      <c r="Q46" s="22"/>
      <c r="R46" s="26" t="s">
        <v>567</v>
      </c>
      <c r="X46" s="21" t="s">
        <v>570</v>
      </c>
      <c r="Y46" s="21" t="s">
        <v>568</v>
      </c>
      <c r="Z46" s="7" t="str">
        <f t="array" ref="Z46">_xlfn.XLOOKUP(X46,'측정 관리'!$A$5:$A$204,'측정 관리'!$K$5:$K$204,"",0)</f>
        <v/>
      </c>
    </row>
    <row r="47" ht="15.75" customHeight="1">
      <c r="A47" s="22">
        <v>40.0</v>
      </c>
      <c r="B47" s="22" t="s">
        <v>461</v>
      </c>
      <c r="C47" s="22" t="s">
        <v>1290</v>
      </c>
      <c r="D47" s="37" t="s">
        <v>48</v>
      </c>
      <c r="E47" s="24">
        <v>4690.0</v>
      </c>
      <c r="F47" s="22" t="s">
        <v>126</v>
      </c>
      <c r="G47" s="22">
        <v>3.0</v>
      </c>
      <c r="H47" s="24">
        <v>137.0</v>
      </c>
      <c r="I47" s="22">
        <v>18.0</v>
      </c>
      <c r="J47" s="24">
        <v>237.0</v>
      </c>
      <c r="K47" s="22">
        <v>70.0</v>
      </c>
      <c r="L47" s="24">
        <v>321.0</v>
      </c>
      <c r="M47" s="24">
        <v>318.0</v>
      </c>
      <c r="N47" s="25">
        <v>0.06780383795309168</v>
      </c>
      <c r="O47" s="31">
        <v>-0.2616822429906542</v>
      </c>
      <c r="P47" s="24">
        <v>378.0</v>
      </c>
      <c r="Q47" s="22"/>
      <c r="R47" s="26" t="s">
        <v>464</v>
      </c>
      <c r="X47" s="21" t="s">
        <v>466</v>
      </c>
      <c r="Y47" s="21" t="s">
        <v>465</v>
      </c>
      <c r="Z47" s="7" t="str">
        <f t="array" ref="Z47">_xlfn.XLOOKUP(X47,'측정 관리'!$A$5:$A$204,'측정 관리'!$K$5:$K$204,"",0)</f>
        <v/>
      </c>
    </row>
    <row r="48" ht="15.75" customHeight="1">
      <c r="A48" s="22">
        <v>41.0</v>
      </c>
      <c r="B48" s="22" t="s">
        <v>467</v>
      </c>
      <c r="C48" s="22" t="s">
        <v>1300</v>
      </c>
      <c r="D48" s="37" t="s">
        <v>48</v>
      </c>
      <c r="E48" s="24">
        <v>4570.0</v>
      </c>
      <c r="F48" s="22" t="s">
        <v>1070</v>
      </c>
      <c r="G48" s="22"/>
      <c r="H48" s="22"/>
      <c r="I48" s="22"/>
      <c r="J48" s="22"/>
      <c r="K48" s="22">
        <v>3.0</v>
      </c>
      <c r="L48" s="24">
        <v>324.0</v>
      </c>
      <c r="M48" s="24">
        <v>297.0</v>
      </c>
      <c r="N48" s="25">
        <v>0.06498905908096281</v>
      </c>
      <c r="O48" s="22"/>
      <c r="P48" s="24">
        <v>378.0</v>
      </c>
      <c r="Q48" s="22"/>
      <c r="R48" s="26" t="s">
        <v>468</v>
      </c>
      <c r="X48" s="21" t="s">
        <v>474</v>
      </c>
      <c r="Y48" s="21" t="s">
        <v>472</v>
      </c>
      <c r="Z48" s="7" t="str">
        <f t="array" ref="Z48">_xlfn.XLOOKUP(X48,'측정 관리'!$A$5:$A$204,'측정 관리'!$K$5:$K$204,"",0)</f>
        <v/>
      </c>
    </row>
    <row r="49" ht="15.75" customHeight="1">
      <c r="A49" s="22">
        <v>42.0</v>
      </c>
      <c r="B49" s="22" t="s">
        <v>1307</v>
      </c>
      <c r="C49" s="22" t="s">
        <v>1308</v>
      </c>
      <c r="D49" s="37" t="s">
        <v>48</v>
      </c>
      <c r="E49" s="24">
        <v>4140.0</v>
      </c>
      <c r="F49" s="22" t="s">
        <v>126</v>
      </c>
      <c r="G49" s="22">
        <v>8.0</v>
      </c>
      <c r="H49" s="24">
        <v>203.0</v>
      </c>
      <c r="I49" s="22">
        <v>28.0</v>
      </c>
      <c r="J49" s="24">
        <v>314.0</v>
      </c>
      <c r="K49" s="22">
        <v>146.0</v>
      </c>
      <c r="L49" s="24">
        <v>236.0</v>
      </c>
      <c r="M49" s="24">
        <v>181.0</v>
      </c>
      <c r="N49" s="25">
        <v>0.04371980676328503</v>
      </c>
      <c r="O49" s="31">
        <v>0.3305084745762712</v>
      </c>
      <c r="P49" s="24">
        <v>9.0</v>
      </c>
      <c r="Q49" s="22" t="s">
        <v>1312</v>
      </c>
      <c r="R49" s="26" t="s">
        <v>547</v>
      </c>
      <c r="X49" s="21" t="s">
        <v>550</v>
      </c>
      <c r="Y49" s="21" t="s">
        <v>549</v>
      </c>
      <c r="Z49" s="7" t="str">
        <f t="array" ref="Z49">_xlfn.XLOOKUP(X49,'측정 관리'!$A$5:$A$204,'측정 관리'!$K$5:$K$204,"",0)</f>
        <v/>
      </c>
    </row>
    <row r="50" ht="15.75" customHeight="1">
      <c r="A50" s="22">
        <v>43.0</v>
      </c>
      <c r="B50" s="22" t="s">
        <v>1335</v>
      </c>
      <c r="C50" s="22" t="s">
        <v>1337</v>
      </c>
      <c r="D50" s="37" t="s">
        <v>48</v>
      </c>
      <c r="E50" s="24">
        <v>6080.0</v>
      </c>
      <c r="F50" s="22" t="s">
        <v>126</v>
      </c>
      <c r="G50" s="22">
        <v>3.0</v>
      </c>
      <c r="H50" s="24">
        <v>88.0</v>
      </c>
      <c r="I50" s="22">
        <v>18.0</v>
      </c>
      <c r="J50" s="24">
        <v>341.0</v>
      </c>
      <c r="K50" s="22">
        <v>70.0</v>
      </c>
      <c r="L50" s="24">
        <v>312.0</v>
      </c>
      <c r="M50" s="24">
        <v>257.0</v>
      </c>
      <c r="N50" s="25">
        <v>0.04226973684210526</v>
      </c>
      <c r="O50" s="31">
        <v>0.09294871794871784</v>
      </c>
      <c r="P50" s="24">
        <v>171.0</v>
      </c>
      <c r="Q50" s="22"/>
      <c r="R50" s="26" t="s">
        <v>504</v>
      </c>
      <c r="X50" s="21" t="s">
        <v>506</v>
      </c>
      <c r="Y50" s="21" t="s">
        <v>505</v>
      </c>
      <c r="Z50" s="7" t="str">
        <f t="array" ref="Z50">_xlfn.XLOOKUP(X50,'측정 관리'!$A$5:$A$204,'측정 관리'!$K$5:$K$204,"",0)</f>
        <v/>
      </c>
    </row>
    <row r="51" ht="15.75" customHeight="1">
      <c r="A51" s="22">
        <v>44.0</v>
      </c>
      <c r="B51" s="22" t="s">
        <v>475</v>
      </c>
      <c r="C51" s="22" t="s">
        <v>1358</v>
      </c>
      <c r="D51" s="37" t="s">
        <v>48</v>
      </c>
      <c r="E51" s="24">
        <v>7210.0</v>
      </c>
      <c r="F51" s="22" t="s">
        <v>126</v>
      </c>
      <c r="G51" s="22">
        <v>8.0</v>
      </c>
      <c r="H51" s="24">
        <v>125.0</v>
      </c>
      <c r="I51" s="22">
        <v>27.0</v>
      </c>
      <c r="J51" s="24">
        <v>305.0</v>
      </c>
      <c r="K51" s="22">
        <v>115.0</v>
      </c>
      <c r="L51" s="24">
        <v>335.0</v>
      </c>
      <c r="M51" s="24">
        <v>287.0</v>
      </c>
      <c r="N51" s="25">
        <v>0.03980582524271845</v>
      </c>
      <c r="O51" s="31">
        <v>-0.08955223880597019</v>
      </c>
      <c r="P51" s="24">
        <v>468.0</v>
      </c>
      <c r="Q51" s="22"/>
      <c r="R51" s="26" t="s">
        <v>476</v>
      </c>
      <c r="X51" s="21" t="s">
        <v>479</v>
      </c>
      <c r="Y51" s="21" t="s">
        <v>478</v>
      </c>
      <c r="Z51" s="7" t="str">
        <f t="array" ref="Z51">_xlfn.XLOOKUP(X51,'측정 관리'!$A$5:$A$204,'측정 관리'!$K$5:$K$204,"",0)</f>
        <v/>
      </c>
    </row>
    <row r="52" ht="15.75" customHeight="1">
      <c r="A52" s="22">
        <v>45.0</v>
      </c>
      <c r="B52" s="22" t="s">
        <v>1401</v>
      </c>
      <c r="C52" s="22" t="s">
        <v>1404</v>
      </c>
      <c r="D52" s="37" t="s">
        <v>48</v>
      </c>
      <c r="E52" s="24">
        <v>3380.0</v>
      </c>
      <c r="F52" s="22" t="s">
        <v>126</v>
      </c>
      <c r="G52" s="22">
        <v>6.0</v>
      </c>
      <c r="H52" s="24">
        <v>47.0</v>
      </c>
      <c r="I52" s="22">
        <v>30.0</v>
      </c>
      <c r="J52" s="24">
        <v>143.0</v>
      </c>
      <c r="K52" s="22">
        <v>112.0</v>
      </c>
      <c r="L52" s="24">
        <v>133.0</v>
      </c>
      <c r="M52" s="24">
        <v>131.0</v>
      </c>
      <c r="N52" s="25">
        <v>0.03875739644970414</v>
      </c>
      <c r="O52" s="31">
        <v>0.07518796992481214</v>
      </c>
      <c r="P52" s="24">
        <v>32.0</v>
      </c>
      <c r="Q52" s="22"/>
      <c r="R52" s="26" t="s">
        <v>574</v>
      </c>
      <c r="X52" s="21" t="s">
        <v>579</v>
      </c>
      <c r="Y52" s="21" t="s">
        <v>578</v>
      </c>
      <c r="Z52" s="7" t="str">
        <f t="array" ref="Z52">_xlfn.XLOOKUP(X52,'측정 관리'!$A$5:$A$204,'측정 관리'!$K$5:$K$204,"",0)</f>
        <v/>
      </c>
    </row>
    <row r="53" ht="15.75" customHeight="1">
      <c r="A53" s="22">
        <v>46.0</v>
      </c>
      <c r="B53" s="22" t="s">
        <v>480</v>
      </c>
      <c r="C53" s="22" t="s">
        <v>1415</v>
      </c>
      <c r="D53" s="37" t="s">
        <v>48</v>
      </c>
      <c r="E53" s="24">
        <v>7100.0</v>
      </c>
      <c r="F53" s="22" t="s">
        <v>126</v>
      </c>
      <c r="G53" s="22">
        <v>7.0</v>
      </c>
      <c r="H53" s="24">
        <v>133.0</v>
      </c>
      <c r="I53" s="22">
        <v>90.0</v>
      </c>
      <c r="J53" s="24">
        <v>255.0</v>
      </c>
      <c r="K53" s="22">
        <v>364.0</v>
      </c>
      <c r="L53" s="24">
        <v>278.0</v>
      </c>
      <c r="M53" s="24">
        <v>275.0</v>
      </c>
      <c r="N53" s="25">
        <v>0.03873239436619718</v>
      </c>
      <c r="O53" s="31">
        <v>-0.08273381294964033</v>
      </c>
      <c r="P53" s="24">
        <v>340.0</v>
      </c>
      <c r="Q53" s="22"/>
      <c r="R53" s="26" t="s">
        <v>483</v>
      </c>
      <c r="X53" s="21" t="s">
        <v>489</v>
      </c>
      <c r="Y53" s="21" t="s">
        <v>488</v>
      </c>
      <c r="Z53" s="7" t="str">
        <f t="array" ref="Z53">_xlfn.XLOOKUP(X53,'측정 관리'!$A$5:$A$204,'측정 관리'!$K$5:$K$204,"",0)</f>
        <v/>
      </c>
    </row>
    <row r="54" ht="15.75" customHeight="1">
      <c r="A54" s="22">
        <v>47.0</v>
      </c>
      <c r="B54" s="22" t="s">
        <v>1424</v>
      </c>
      <c r="C54" s="22" t="s">
        <v>1426</v>
      </c>
      <c r="D54" s="37" t="s">
        <v>48</v>
      </c>
      <c r="E54" s="24">
        <v>12000.0</v>
      </c>
      <c r="F54" s="22" t="s">
        <v>126</v>
      </c>
      <c r="G54" s="22">
        <v>6.0</v>
      </c>
      <c r="H54" s="24">
        <v>158.0</v>
      </c>
      <c r="I54" s="22">
        <v>39.0</v>
      </c>
      <c r="J54" s="24">
        <v>320.0</v>
      </c>
      <c r="K54" s="22">
        <v>119.0</v>
      </c>
      <c r="L54" s="24">
        <v>418.0</v>
      </c>
      <c r="M54" s="24">
        <v>448.0</v>
      </c>
      <c r="N54" s="25">
        <v>0.03733333333333334</v>
      </c>
      <c r="O54" s="31">
        <v>-0.2344497607655502</v>
      </c>
      <c r="P54" s="24">
        <v>278.0</v>
      </c>
      <c r="Q54" s="22"/>
      <c r="R54" s="26" t="s">
        <v>441</v>
      </c>
      <c r="X54" s="21" t="s">
        <v>444</v>
      </c>
      <c r="Y54" s="21" t="s">
        <v>443</v>
      </c>
      <c r="Z54" s="7" t="str">
        <f t="array" ref="Z54">_xlfn.XLOOKUP(X54,'측정 관리'!$A$5:$A$204,'측정 관리'!$K$5:$K$204,"",0)</f>
        <v/>
      </c>
    </row>
    <row r="55" ht="15.75" customHeight="1">
      <c r="A55" s="22">
        <v>48.0</v>
      </c>
      <c r="B55" s="22" t="s">
        <v>454</v>
      </c>
      <c r="C55" s="22" t="s">
        <v>1439</v>
      </c>
      <c r="D55" s="37" t="s">
        <v>48</v>
      </c>
      <c r="E55" s="24">
        <v>9960.0</v>
      </c>
      <c r="F55" s="22" t="s">
        <v>126</v>
      </c>
      <c r="G55" s="22">
        <v>24.0</v>
      </c>
      <c r="H55" s="24">
        <v>253.0</v>
      </c>
      <c r="I55" s="22">
        <v>249.0</v>
      </c>
      <c r="J55" s="24">
        <v>329.0</v>
      </c>
      <c r="K55" s="22">
        <v>869.0</v>
      </c>
      <c r="L55" s="24">
        <v>362.0</v>
      </c>
      <c r="M55" s="24">
        <v>340.0</v>
      </c>
      <c r="N55" s="25">
        <v>0.03413654618473896</v>
      </c>
      <c r="O55" s="31">
        <v>-0.09116022099447518</v>
      </c>
      <c r="P55" s="24">
        <v>198.0</v>
      </c>
      <c r="Q55" s="22" t="s">
        <v>1444</v>
      </c>
      <c r="R55" s="26" t="s">
        <v>457</v>
      </c>
      <c r="X55" s="21" t="s">
        <v>460</v>
      </c>
      <c r="Y55" s="21" t="s">
        <v>459</v>
      </c>
      <c r="Z55" s="7" t="str">
        <f t="array" ref="Z55">_xlfn.XLOOKUP(X55,'측정 관리'!$A$5:$A$204,'측정 관리'!$K$5:$K$204,"",0)</f>
        <v/>
      </c>
    </row>
    <row r="56" ht="15.75" customHeight="1">
      <c r="A56" s="22">
        <v>49.0</v>
      </c>
      <c r="B56" s="22" t="s">
        <v>527</v>
      </c>
      <c r="C56" s="22" t="s">
        <v>1451</v>
      </c>
      <c r="D56" s="37" t="s">
        <v>48</v>
      </c>
      <c r="E56" s="24">
        <v>6280.0</v>
      </c>
      <c r="F56" s="22" t="s">
        <v>637</v>
      </c>
      <c r="G56" s="22"/>
      <c r="H56" s="22"/>
      <c r="I56" s="22"/>
      <c r="J56" s="22"/>
      <c r="K56" s="22">
        <v>4.0</v>
      </c>
      <c r="L56" s="24">
        <v>166.0</v>
      </c>
      <c r="M56" s="24">
        <v>209.0</v>
      </c>
      <c r="N56" s="25">
        <v>0.03328025477707006</v>
      </c>
      <c r="O56" s="22"/>
      <c r="P56" s="24">
        <v>544.0</v>
      </c>
      <c r="Q56" s="22"/>
      <c r="R56" s="26" t="s">
        <v>531</v>
      </c>
      <c r="X56" s="21" t="s">
        <v>533</v>
      </c>
      <c r="Y56" s="21" t="s">
        <v>532</v>
      </c>
      <c r="Z56" s="7" t="str">
        <f t="array" ref="Z56">_xlfn.XLOOKUP(X56,'측정 관리'!$A$5:$A$204,'측정 관리'!$K$5:$K$204,"",0)</f>
        <v/>
      </c>
    </row>
    <row r="57" ht="15.75" customHeight="1">
      <c r="A57" s="22">
        <v>50.0</v>
      </c>
      <c r="B57" s="22" t="s">
        <v>1462</v>
      </c>
      <c r="C57" s="22" t="s">
        <v>1463</v>
      </c>
      <c r="D57" s="37" t="s">
        <v>48</v>
      </c>
      <c r="E57" s="24">
        <v>8200.0</v>
      </c>
      <c r="F57" s="22" t="s">
        <v>126</v>
      </c>
      <c r="G57" s="22">
        <v>4.0</v>
      </c>
      <c r="H57" s="24">
        <v>66.0</v>
      </c>
      <c r="I57" s="22">
        <v>13.0</v>
      </c>
      <c r="J57" s="24">
        <v>130.0</v>
      </c>
      <c r="K57" s="22">
        <v>37.0</v>
      </c>
      <c r="L57" s="24">
        <v>271.0</v>
      </c>
      <c r="M57" s="24">
        <v>264.0</v>
      </c>
      <c r="N57" s="25">
        <v>0.03219512195121951</v>
      </c>
      <c r="O57" s="31">
        <v>-0.5202952029520296</v>
      </c>
      <c r="P57" s="24">
        <v>273.0</v>
      </c>
      <c r="Q57" s="22"/>
      <c r="R57" s="26" t="s">
        <v>494</v>
      </c>
      <c r="X57" s="21" t="s">
        <v>496</v>
      </c>
      <c r="Y57" s="21" t="s">
        <v>495</v>
      </c>
      <c r="Z57" s="7" t="str">
        <f t="array" ref="Z57">_xlfn.XLOOKUP(X57,'측정 관리'!$A$5:$A$204,'측정 관리'!$K$5:$K$204,"",0)</f>
        <v/>
      </c>
    </row>
    <row r="58" ht="15.75" customHeight="1">
      <c r="A58" s="22">
        <v>51.0</v>
      </c>
      <c r="B58" s="22" t="s">
        <v>1472</v>
      </c>
      <c r="C58" s="22" t="s">
        <v>1473</v>
      </c>
      <c r="D58" s="37" t="s">
        <v>48</v>
      </c>
      <c r="E58" s="24">
        <v>6680.0</v>
      </c>
      <c r="F58" s="22" t="s">
        <v>126</v>
      </c>
      <c r="G58" s="22">
        <v>13.0</v>
      </c>
      <c r="H58" s="24">
        <v>165.0</v>
      </c>
      <c r="I58" s="22">
        <v>59.0</v>
      </c>
      <c r="J58" s="24">
        <v>186.0</v>
      </c>
      <c r="K58" s="22">
        <v>240.0</v>
      </c>
      <c r="L58" s="24">
        <v>239.0</v>
      </c>
      <c r="M58" s="24">
        <v>212.0</v>
      </c>
      <c r="N58" s="25">
        <v>0.03173652694610778</v>
      </c>
      <c r="O58" s="31">
        <v>-0.2217573221757322</v>
      </c>
      <c r="P58" s="24">
        <v>186.0</v>
      </c>
      <c r="Q58" s="22"/>
      <c r="R58" s="26" t="s">
        <v>521</v>
      </c>
      <c r="X58" s="21" t="s">
        <v>523</v>
      </c>
      <c r="Y58" s="21" t="s">
        <v>522</v>
      </c>
      <c r="Z58" s="7" t="str">
        <f t="array" ref="Z58">_xlfn.XLOOKUP(X58,'측정 관리'!$A$5:$A$204,'측정 관리'!$K$5:$K$204,"",0)</f>
        <v/>
      </c>
    </row>
    <row r="59" ht="15.75" customHeight="1">
      <c r="A59" s="22">
        <v>52.0</v>
      </c>
      <c r="B59" s="22" t="s">
        <v>507</v>
      </c>
      <c r="C59" s="22" t="s">
        <v>1480</v>
      </c>
      <c r="D59" s="37" t="s">
        <v>48</v>
      </c>
      <c r="E59" s="24">
        <v>7770.0</v>
      </c>
      <c r="F59" s="22" t="s">
        <v>126</v>
      </c>
      <c r="G59" s="22">
        <v>7.0</v>
      </c>
      <c r="H59" s="24">
        <v>478.0</v>
      </c>
      <c r="I59" s="22">
        <v>48.0</v>
      </c>
      <c r="J59" s="24">
        <v>332.0</v>
      </c>
      <c r="K59" s="22">
        <v>366.0</v>
      </c>
      <c r="L59" s="24">
        <v>253.0</v>
      </c>
      <c r="M59" s="24">
        <v>227.0</v>
      </c>
      <c r="N59" s="25">
        <v>0.02921492921492921</v>
      </c>
      <c r="O59" s="31">
        <v>0.3122529644268774</v>
      </c>
      <c r="P59" s="24">
        <v>139.0</v>
      </c>
      <c r="Q59" s="22"/>
      <c r="R59" s="26" t="s">
        <v>508</v>
      </c>
      <c r="X59" s="21" t="s">
        <v>514</v>
      </c>
      <c r="Y59" s="21" t="s">
        <v>513</v>
      </c>
      <c r="Z59" s="7" t="str">
        <f t="array" ref="Z59">_xlfn.XLOOKUP(X59,'측정 관리'!$A$5:$A$204,'측정 관리'!$K$5:$K$204,"",0)</f>
        <v/>
      </c>
    </row>
    <row r="60" ht="15.75" customHeight="1">
      <c r="A60" s="22">
        <v>53.0</v>
      </c>
      <c r="B60" s="22" t="s">
        <v>534</v>
      </c>
      <c r="C60" s="22" t="s">
        <v>1490</v>
      </c>
      <c r="D60" s="37" t="s">
        <v>48</v>
      </c>
      <c r="E60" s="24">
        <v>7810.0</v>
      </c>
      <c r="F60" s="22" t="s">
        <v>126</v>
      </c>
      <c r="G60" s="22">
        <v>5.0</v>
      </c>
      <c r="H60" s="24">
        <v>141.0</v>
      </c>
      <c r="I60" s="22">
        <v>21.0</v>
      </c>
      <c r="J60" s="24">
        <v>168.0</v>
      </c>
      <c r="K60" s="22">
        <v>115.0</v>
      </c>
      <c r="L60" s="24">
        <v>193.0</v>
      </c>
      <c r="M60" s="24">
        <v>195.0</v>
      </c>
      <c r="N60" s="25">
        <v>0.02496798975672215</v>
      </c>
      <c r="O60" s="31">
        <v>-0.1295336787564767</v>
      </c>
      <c r="P60" s="24">
        <v>207.0</v>
      </c>
      <c r="Q60" s="22"/>
      <c r="R60" s="26" t="s">
        <v>535</v>
      </c>
      <c r="X60" s="21" t="s">
        <v>538</v>
      </c>
      <c r="Y60" s="21" t="s">
        <v>537</v>
      </c>
      <c r="Z60" s="7" t="str">
        <f t="array" ref="Z60">_xlfn.XLOOKUP(X60,'측정 관리'!$A$5:$A$204,'측정 관리'!$K$5:$K$204,"",0)</f>
        <v/>
      </c>
    </row>
    <row r="61" ht="15.75" customHeight="1">
      <c r="A61" s="22">
        <v>54.0</v>
      </c>
      <c r="B61" s="22" t="s">
        <v>592</v>
      </c>
      <c r="C61" s="22" t="s">
        <v>1501</v>
      </c>
      <c r="D61" s="37" t="s">
        <v>48</v>
      </c>
      <c r="E61" s="24">
        <v>7120.0</v>
      </c>
      <c r="F61" s="22" t="s">
        <v>126</v>
      </c>
      <c r="G61" s="22">
        <v>5.0</v>
      </c>
      <c r="H61" s="24">
        <v>55.0</v>
      </c>
      <c r="I61" s="22">
        <v>20.0</v>
      </c>
      <c r="J61" s="24">
        <v>87.0</v>
      </c>
      <c r="K61" s="22">
        <v>77.0</v>
      </c>
      <c r="L61" s="24">
        <v>104.0</v>
      </c>
      <c r="M61" s="24">
        <v>103.0</v>
      </c>
      <c r="N61" s="25">
        <v>0.01446629213483146</v>
      </c>
      <c r="O61" s="31">
        <v>-0.1634615384615384</v>
      </c>
      <c r="P61" s="24">
        <v>93.0</v>
      </c>
      <c r="Q61" s="22"/>
      <c r="R61" s="26" t="s">
        <v>596</v>
      </c>
      <c r="X61" s="21" t="s">
        <v>598</v>
      </c>
      <c r="Y61" s="21" t="s">
        <v>597</v>
      </c>
      <c r="Z61" s="7" t="str">
        <f t="array" ref="Z61">_xlfn.XLOOKUP(X61,'측정 관리'!$A$5:$A$204,'측정 관리'!$K$5:$K$204,"",0)</f>
        <v/>
      </c>
    </row>
    <row r="62" ht="15.75" customHeight="1">
      <c r="A62" s="22">
        <v>55.0</v>
      </c>
      <c r="B62" s="22" t="s">
        <v>634</v>
      </c>
      <c r="C62" s="22" t="s">
        <v>1516</v>
      </c>
      <c r="D62" s="38" t="s">
        <v>54</v>
      </c>
      <c r="E62" s="24">
        <v>33.0</v>
      </c>
      <c r="F62" s="22" t="s">
        <v>1521</v>
      </c>
      <c r="G62" s="22"/>
      <c r="H62" s="22"/>
      <c r="I62" s="22"/>
      <c r="J62" s="22"/>
      <c r="K62" s="22">
        <v>2.0</v>
      </c>
      <c r="L62" s="24">
        <v>26.0</v>
      </c>
      <c r="M62" s="24">
        <v>29.0</v>
      </c>
      <c r="N62" s="25">
        <v>0.8787878787878788</v>
      </c>
      <c r="O62" s="22"/>
      <c r="P62" s="24">
        <v>89.0</v>
      </c>
      <c r="Q62" s="22" t="s">
        <v>619</v>
      </c>
      <c r="R62" s="26" t="s">
        <v>638</v>
      </c>
      <c r="X62" s="21" t="s">
        <v>640</v>
      </c>
      <c r="Y62" s="21" t="s">
        <v>639</v>
      </c>
      <c r="Z62" s="7" t="str">
        <f t="array" ref="Z62">_xlfn.XLOOKUP(X62,'측정 관리'!$A$5:$A$204,'측정 관리'!$K$5:$K$204,"",0)</f>
        <v/>
      </c>
    </row>
    <row r="63" ht="15.75" customHeight="1">
      <c r="A63" s="22">
        <v>56.0</v>
      </c>
      <c r="B63" s="22" t="s">
        <v>622</v>
      </c>
      <c r="C63" s="22" t="s">
        <v>1534</v>
      </c>
      <c r="D63" s="38" t="s">
        <v>54</v>
      </c>
      <c r="E63" s="24">
        <v>891.0</v>
      </c>
      <c r="F63" s="22" t="s">
        <v>433</v>
      </c>
      <c r="G63" s="22"/>
      <c r="H63" s="22"/>
      <c r="I63" s="22">
        <v>2.0</v>
      </c>
      <c r="J63" s="24">
        <v>55.0</v>
      </c>
      <c r="K63" s="22">
        <v>2.0</v>
      </c>
      <c r="L63" s="24">
        <v>55.0</v>
      </c>
      <c r="M63" s="24">
        <v>58.0</v>
      </c>
      <c r="N63" s="25">
        <v>0.06509539842873176</v>
      </c>
      <c r="O63" s="31">
        <v>0.0</v>
      </c>
      <c r="P63" s="24">
        <v>76.0</v>
      </c>
      <c r="Q63" s="22" t="s">
        <v>619</v>
      </c>
      <c r="R63" s="26" t="s">
        <v>627</v>
      </c>
      <c r="X63" s="21" t="s">
        <v>633</v>
      </c>
      <c r="Y63" s="21" t="s">
        <v>632</v>
      </c>
      <c r="Z63" s="7" t="str">
        <f t="array" ref="Z63">_xlfn.XLOOKUP(X63,'측정 관리'!$A$5:$A$204,'측정 관리'!$K$5:$K$204,"",0)</f>
        <v/>
      </c>
    </row>
    <row r="64" ht="15.75" customHeight="1">
      <c r="A64" s="22">
        <v>57.0</v>
      </c>
      <c r="B64" s="22" t="s">
        <v>615</v>
      </c>
      <c r="C64" s="22" t="s">
        <v>1538</v>
      </c>
      <c r="D64" s="38" t="s">
        <v>54</v>
      </c>
      <c r="E64" s="24">
        <v>1500.0</v>
      </c>
      <c r="F64" s="22" t="s">
        <v>573</v>
      </c>
      <c r="G64" s="22">
        <v>1.0</v>
      </c>
      <c r="H64" s="24">
        <v>93.0</v>
      </c>
      <c r="I64" s="22">
        <v>1.0</v>
      </c>
      <c r="J64" s="24">
        <v>93.0</v>
      </c>
      <c r="K64" s="22">
        <v>2.0</v>
      </c>
      <c r="L64" s="24">
        <v>95.0</v>
      </c>
      <c r="M64" s="24">
        <v>97.0</v>
      </c>
      <c r="N64" s="25">
        <v>0.06466666666666666</v>
      </c>
      <c r="O64" s="31">
        <v>-0.02105263157894732</v>
      </c>
      <c r="P64" s="24">
        <v>159.0</v>
      </c>
      <c r="Q64" s="22" t="s">
        <v>619</v>
      </c>
      <c r="R64" s="26" t="s">
        <v>617</v>
      </c>
      <c r="X64" s="21" t="s">
        <v>621</v>
      </c>
      <c r="Y64" s="21" t="s">
        <v>620</v>
      </c>
      <c r="Z64" s="7" t="str">
        <f t="array" ref="Z64">_xlfn.XLOOKUP(X64,'측정 관리'!$A$5:$A$204,'측정 관리'!$K$5:$K$204,"",0)</f>
        <v/>
      </c>
    </row>
    <row r="65" ht="15.75" customHeight="1">
      <c r="A65" s="22">
        <v>58.0</v>
      </c>
      <c r="B65" s="22" t="s">
        <v>641</v>
      </c>
      <c r="C65" s="22" t="s">
        <v>1539</v>
      </c>
      <c r="D65" s="38" t="s">
        <v>54</v>
      </c>
      <c r="E65" s="24">
        <v>486.0</v>
      </c>
      <c r="F65" s="22" t="s">
        <v>1540</v>
      </c>
      <c r="G65" s="22"/>
      <c r="H65" s="22"/>
      <c r="I65" s="22"/>
      <c r="J65" s="22"/>
      <c r="K65" s="22"/>
      <c r="L65" s="22"/>
      <c r="M65" s="22"/>
      <c r="N65" s="22"/>
      <c r="O65" s="22"/>
      <c r="P65" s="24">
        <v>258.0</v>
      </c>
      <c r="Q65" s="22" t="s">
        <v>733</v>
      </c>
      <c r="R65" s="26" t="s">
        <v>645</v>
      </c>
      <c r="X65" s="21" t="s">
        <v>651</v>
      </c>
      <c r="Y65" s="21" t="s">
        <v>650</v>
      </c>
      <c r="Z65" s="7" t="str">
        <f t="array" ref="Z65">_xlfn.XLOOKUP(X65,'측정 관리'!$A$5:$A$204,'측정 관리'!$K$5:$K$204,"",0)</f>
        <v/>
      </c>
    </row>
    <row r="66" ht="15.75" customHeight="1">
      <c r="A66" s="22">
        <v>59.0</v>
      </c>
      <c r="B66" s="22" t="s">
        <v>600</v>
      </c>
      <c r="C66" s="22" t="s">
        <v>600</v>
      </c>
      <c r="D66" s="38" t="s">
        <v>54</v>
      </c>
      <c r="E66" s="24">
        <v>2620.0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4">
        <v>291.0</v>
      </c>
      <c r="Q66" s="22" t="s">
        <v>1541</v>
      </c>
      <c r="R66" s="26" t="s">
        <v>603</v>
      </c>
      <c r="X66" s="21" t="s">
        <v>1542</v>
      </c>
      <c r="Y66" s="21" t="s">
        <v>604</v>
      </c>
      <c r="Z66" s="7" t="str">
        <f t="array" ref="Z66">_xlfn.XLOOKUP(X66,'측정 관리'!$A$5:$A$204,'측정 관리'!$K$5:$K$204,"",0)</f>
        <v/>
      </c>
    </row>
    <row r="67" ht="15.75" customHeight="1">
      <c r="A67" s="22">
        <v>60.0</v>
      </c>
      <c r="B67" s="22" t="s">
        <v>1543</v>
      </c>
      <c r="C67" s="22" t="s">
        <v>1544</v>
      </c>
      <c r="D67" s="38" t="s">
        <v>54</v>
      </c>
      <c r="E67" s="24">
        <v>1630.0</v>
      </c>
      <c r="F67" s="22" t="s">
        <v>1545</v>
      </c>
      <c r="G67" s="22"/>
      <c r="H67" s="22"/>
      <c r="I67" s="22"/>
      <c r="J67" s="22"/>
      <c r="K67" s="22"/>
      <c r="L67" s="22"/>
      <c r="M67" s="22"/>
      <c r="N67" s="22"/>
      <c r="O67" s="22"/>
      <c r="P67" s="24">
        <v>880.0</v>
      </c>
      <c r="Q67" s="22" t="s">
        <v>733</v>
      </c>
      <c r="R67" s="26" t="s">
        <v>731</v>
      </c>
      <c r="X67" s="21" t="s">
        <v>736</v>
      </c>
      <c r="Y67" s="21" t="s">
        <v>734</v>
      </c>
      <c r="Z67" s="7" t="str">
        <f t="array" ref="Z67">_xlfn.XLOOKUP(X67,'측정 관리'!$A$5:$A$204,'측정 관리'!$K$5:$K$204,"",0)</f>
        <v/>
      </c>
    </row>
    <row r="68" ht="15.75" customHeight="1">
      <c r="A68" s="22">
        <v>61.0</v>
      </c>
      <c r="B68" s="22" t="s">
        <v>1546</v>
      </c>
      <c r="C68" s="22" t="s">
        <v>1547</v>
      </c>
      <c r="D68" s="38" t="s">
        <v>54</v>
      </c>
      <c r="E68" s="24">
        <v>1380.0</v>
      </c>
      <c r="F68" s="22" t="s">
        <v>1548</v>
      </c>
      <c r="G68" s="22"/>
      <c r="H68" s="22"/>
      <c r="I68" s="22"/>
      <c r="J68" s="22"/>
      <c r="K68" s="22"/>
      <c r="L68" s="22"/>
      <c r="M68" s="22"/>
      <c r="N68" s="22"/>
      <c r="O68" s="22"/>
      <c r="P68" s="24">
        <v>881.0</v>
      </c>
      <c r="Q68" s="22" t="s">
        <v>733</v>
      </c>
      <c r="R68" s="26" t="s">
        <v>739</v>
      </c>
      <c r="X68" s="21" t="s">
        <v>743</v>
      </c>
      <c r="Y68" s="21" t="s">
        <v>741</v>
      </c>
      <c r="Z68" s="7" t="str">
        <f t="array" ref="Z68">_xlfn.XLOOKUP(X68,'측정 관리'!$A$5:$A$204,'측정 관리'!$K$5:$K$204,"",0)</f>
        <v/>
      </c>
    </row>
    <row r="69" ht="15.75" customHeight="1">
      <c r="A69" s="22">
        <v>62.0</v>
      </c>
      <c r="B69" s="22" t="s">
        <v>746</v>
      </c>
      <c r="C69" s="22" t="s">
        <v>1549</v>
      </c>
      <c r="D69" s="38" t="s">
        <v>54</v>
      </c>
      <c r="E69" s="24">
        <v>610.0</v>
      </c>
      <c r="F69" s="22" t="s">
        <v>915</v>
      </c>
      <c r="G69" s="22"/>
      <c r="H69" s="22"/>
      <c r="I69" s="22"/>
      <c r="J69" s="22"/>
      <c r="K69" s="22"/>
      <c r="L69" s="22"/>
      <c r="M69" s="22"/>
      <c r="N69" s="22"/>
      <c r="O69" s="22"/>
      <c r="P69" s="24">
        <v>823.0</v>
      </c>
      <c r="Q69" s="22" t="s">
        <v>733</v>
      </c>
      <c r="R69" s="26" t="s">
        <v>748</v>
      </c>
      <c r="X69" s="21" t="s">
        <v>750</v>
      </c>
      <c r="Y69" s="21" t="s">
        <v>749</v>
      </c>
      <c r="Z69" s="7" t="str">
        <f t="array" ref="Z69">_xlfn.XLOOKUP(X69,'측정 관리'!$A$5:$A$204,'측정 관리'!$K$5:$K$204,"",0)</f>
        <v/>
      </c>
    </row>
    <row r="70" ht="15.75" customHeight="1">
      <c r="A70" s="22">
        <v>63.0</v>
      </c>
      <c r="B70" s="22" t="s">
        <v>753</v>
      </c>
      <c r="C70" s="22" t="s">
        <v>1550</v>
      </c>
      <c r="D70" s="38" t="s">
        <v>54</v>
      </c>
      <c r="E70" s="24">
        <v>274.0</v>
      </c>
      <c r="F70" s="22" t="s">
        <v>1551</v>
      </c>
      <c r="G70" s="22"/>
      <c r="H70" s="22"/>
      <c r="I70" s="22"/>
      <c r="J70" s="22"/>
      <c r="K70" s="22"/>
      <c r="L70" s="22"/>
      <c r="M70" s="22"/>
      <c r="N70" s="22"/>
      <c r="O70" s="22"/>
      <c r="P70" s="24">
        <v>914.0</v>
      </c>
      <c r="Q70" s="22" t="s">
        <v>733</v>
      </c>
      <c r="R70" s="26" t="s">
        <v>755</v>
      </c>
      <c r="X70" s="21" t="s">
        <v>757</v>
      </c>
      <c r="Y70" s="21" t="s">
        <v>756</v>
      </c>
      <c r="Z70" s="7" t="str">
        <f t="array" ref="Z70">_xlfn.XLOOKUP(X70,'측정 관리'!$A$5:$A$204,'측정 관리'!$K$5:$K$204,"",0)</f>
        <v/>
      </c>
    </row>
    <row r="71" ht="15.75" customHeight="1">
      <c r="A71" s="22">
        <v>64.0</v>
      </c>
      <c r="B71" s="22" t="s">
        <v>759</v>
      </c>
      <c r="C71" s="22" t="s">
        <v>1552</v>
      </c>
      <c r="D71" s="38" t="s">
        <v>54</v>
      </c>
      <c r="E71" s="24">
        <v>261.0</v>
      </c>
      <c r="F71" s="22" t="s">
        <v>1553</v>
      </c>
      <c r="G71" s="22"/>
      <c r="H71" s="22"/>
      <c r="I71" s="22"/>
      <c r="J71" s="22"/>
      <c r="K71" s="22"/>
      <c r="L71" s="22"/>
      <c r="M71" s="22"/>
      <c r="N71" s="22"/>
      <c r="O71" s="22"/>
      <c r="P71" s="24">
        <v>61.0</v>
      </c>
      <c r="Q71" s="22" t="s">
        <v>733</v>
      </c>
      <c r="R71" s="26" t="s">
        <v>764</v>
      </c>
      <c r="X71" s="21" t="s">
        <v>766</v>
      </c>
      <c r="Y71" s="21" t="s">
        <v>765</v>
      </c>
      <c r="Z71" s="7" t="str">
        <f t="array" ref="Z71">_xlfn.XLOOKUP(X71,'측정 관리'!$A$5:$A$204,'측정 관리'!$K$5:$K$204,"",0)</f>
        <v/>
      </c>
    </row>
    <row r="72" ht="15.75" customHeight="1">
      <c r="A72" s="22">
        <v>65.0</v>
      </c>
      <c r="B72" s="22" t="s">
        <v>771</v>
      </c>
      <c r="C72" s="22" t="s">
        <v>1554</v>
      </c>
      <c r="D72" s="38" t="s">
        <v>54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4">
        <v>8.0</v>
      </c>
      <c r="Q72" s="22" t="s">
        <v>780</v>
      </c>
      <c r="R72" s="26" t="s">
        <v>776</v>
      </c>
      <c r="X72" s="21" t="s">
        <v>783</v>
      </c>
      <c r="Y72" s="21" t="s">
        <v>781</v>
      </c>
      <c r="Z72" s="7" t="str">
        <f t="array" ref="Z72">_xlfn.XLOOKUP(X72,'측정 관리'!$A$5:$A$204,'측정 관리'!$K$5:$K$204,"",0)</f>
        <v>조회 불가</v>
      </c>
    </row>
    <row r="73" ht="15.75" customHeight="1">
      <c r="A73" s="22">
        <v>66.0</v>
      </c>
      <c r="B73" s="22" t="s">
        <v>785</v>
      </c>
      <c r="C73" s="22" t="s">
        <v>1555</v>
      </c>
      <c r="D73" s="38" t="s">
        <v>54</v>
      </c>
      <c r="E73" s="24">
        <v>7.0</v>
      </c>
      <c r="F73" s="22" t="s">
        <v>1556</v>
      </c>
      <c r="G73" s="22"/>
      <c r="H73" s="22"/>
      <c r="I73" s="22"/>
      <c r="J73" s="22"/>
      <c r="K73" s="22"/>
      <c r="L73" s="22"/>
      <c r="M73" s="22"/>
      <c r="N73" s="22"/>
      <c r="O73" s="22"/>
      <c r="P73" s="24">
        <v>500.0</v>
      </c>
      <c r="Q73" s="22" t="s">
        <v>733</v>
      </c>
      <c r="R73" s="26" t="s">
        <v>787</v>
      </c>
      <c r="X73" s="21" t="s">
        <v>789</v>
      </c>
      <c r="Y73" s="21" t="s">
        <v>788</v>
      </c>
      <c r="Z73" s="7" t="str">
        <f t="array" ref="Z73">_xlfn.XLOOKUP(X73,'측정 관리'!$A$5:$A$204,'측정 관리'!$K$5:$K$204,"",0)</f>
        <v/>
      </c>
    </row>
    <row r="74" ht="15.75" customHeight="1">
      <c r="A74" s="22">
        <v>67.0</v>
      </c>
      <c r="B74" s="22" t="s">
        <v>792</v>
      </c>
      <c r="C74" s="22" t="s">
        <v>1557</v>
      </c>
      <c r="D74" s="38" t="s">
        <v>54</v>
      </c>
      <c r="E74" s="24">
        <v>5.0</v>
      </c>
      <c r="F74" s="22" t="s">
        <v>1558</v>
      </c>
      <c r="G74" s="22"/>
      <c r="H74" s="22"/>
      <c r="I74" s="22"/>
      <c r="J74" s="22"/>
      <c r="K74" s="22"/>
      <c r="L74" s="22"/>
      <c r="M74" s="22"/>
      <c r="N74" s="22"/>
      <c r="O74" s="22"/>
      <c r="P74" s="24">
        <v>563.0</v>
      </c>
      <c r="Q74" s="22" t="s">
        <v>733</v>
      </c>
      <c r="R74" s="26" t="s">
        <v>796</v>
      </c>
      <c r="X74" s="21" t="s">
        <v>798</v>
      </c>
      <c r="Y74" s="21" t="s">
        <v>797</v>
      </c>
      <c r="Z74" s="7" t="str">
        <f t="array" ref="Z74">_xlfn.XLOOKUP(X74,'측정 관리'!$A$5:$A$204,'측정 관리'!$K$5:$K$204,"",0)</f>
        <v/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R$74"/>
  <mergeCells count="6">
    <mergeCell ref="A6:D6"/>
    <mergeCell ref="E6:F6"/>
    <mergeCell ref="G6:H6"/>
    <mergeCell ref="I6:J6"/>
    <mergeCell ref="K6:M6"/>
    <mergeCell ref="N6:R6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6.0"/>
    <col customWidth="1" min="2" max="2" width="18.0"/>
    <col customWidth="1" min="3" max="3" width="22.0"/>
    <col customWidth="1" min="4" max="4" width="9.0"/>
    <col customWidth="1" min="5" max="6" width="10.0"/>
    <col customWidth="1" min="7" max="7" width="6.0"/>
    <col customWidth="1" min="8" max="8" width="10.0"/>
    <col customWidth="1" min="9" max="9" width="6.0"/>
    <col customWidth="1" min="10" max="11" width="10.0"/>
    <col customWidth="1" min="12" max="12" width="9.0"/>
    <col customWidth="1" min="13" max="13" width="14.0"/>
    <col customWidth="1" min="14" max="14" width="30.0"/>
    <col customWidth="1" min="15" max="15" width="40.0"/>
    <col customWidth="1" min="16" max="26" width="8.71"/>
  </cols>
  <sheetData>
    <row r="1">
      <c r="A1" s="2" t="s">
        <v>1044</v>
      </c>
    </row>
    <row r="2">
      <c r="A2" s="4" t="s">
        <v>1045</v>
      </c>
    </row>
    <row r="3">
      <c r="A3" s="4" t="s">
        <v>1046</v>
      </c>
    </row>
    <row r="4">
      <c r="A4" s="4" t="s">
        <v>1047</v>
      </c>
    </row>
    <row r="6">
      <c r="A6" s="8"/>
      <c r="B6" s="9"/>
      <c r="C6" s="9"/>
      <c r="D6" s="10"/>
      <c r="E6" s="8"/>
      <c r="F6" s="10"/>
      <c r="G6" s="16" t="s">
        <v>45</v>
      </c>
      <c r="H6" s="10"/>
      <c r="I6" s="20" t="s">
        <v>52</v>
      </c>
      <c r="J6" s="9"/>
      <c r="K6" s="10"/>
      <c r="L6" s="8"/>
      <c r="M6" s="9"/>
      <c r="N6" s="9"/>
      <c r="O6" s="10"/>
    </row>
    <row r="7" ht="31.5" customHeight="1">
      <c r="A7" s="18" t="s">
        <v>84</v>
      </c>
      <c r="B7" s="18" t="s">
        <v>88</v>
      </c>
      <c r="C7" s="18" t="s">
        <v>89</v>
      </c>
      <c r="D7" s="18" t="s">
        <v>60</v>
      </c>
      <c r="E7" s="18" t="s">
        <v>97</v>
      </c>
      <c r="F7" s="18" t="s">
        <v>1048</v>
      </c>
      <c r="G7" s="18" t="s">
        <v>101</v>
      </c>
      <c r="H7" s="18" t="s">
        <v>68</v>
      </c>
      <c r="I7" s="18" t="s">
        <v>101</v>
      </c>
      <c r="J7" s="18" t="s">
        <v>68</v>
      </c>
      <c r="K7" s="18" t="s">
        <v>107</v>
      </c>
      <c r="L7" s="18" t="s">
        <v>67</v>
      </c>
      <c r="M7" s="18" t="s">
        <v>1050</v>
      </c>
      <c r="N7" s="18" t="s">
        <v>112</v>
      </c>
      <c r="O7" s="18" t="s">
        <v>47</v>
      </c>
      <c r="X7" s="21" t="s">
        <v>113</v>
      </c>
      <c r="Y7" s="21" t="s">
        <v>86</v>
      </c>
      <c r="Z7" s="21" t="s">
        <v>116</v>
      </c>
    </row>
    <row r="8">
      <c r="A8" s="22">
        <v>1.0</v>
      </c>
      <c r="B8" s="22" t="s">
        <v>153</v>
      </c>
      <c r="C8" s="22" t="s">
        <v>1053</v>
      </c>
      <c r="D8" s="29" t="s">
        <v>38</v>
      </c>
      <c r="E8" s="24">
        <v>10200.0</v>
      </c>
      <c r="F8" s="22" t="s">
        <v>1054</v>
      </c>
      <c r="G8" s="22">
        <v>2.0</v>
      </c>
      <c r="H8" s="24">
        <v>3800.0</v>
      </c>
      <c r="I8" s="22">
        <v>3.0</v>
      </c>
      <c r="J8" s="24">
        <v>5867.0</v>
      </c>
      <c r="K8" s="24">
        <v>6200.0</v>
      </c>
      <c r="L8" s="25">
        <v>0.6078431372549019</v>
      </c>
      <c r="M8" s="22"/>
      <c r="N8" s="22"/>
      <c r="O8" s="26" t="s">
        <v>156</v>
      </c>
      <c r="X8" s="21" t="s">
        <v>158</v>
      </c>
      <c r="Y8" s="21" t="s">
        <v>157</v>
      </c>
      <c r="Z8" s="7" t="str">
        <f t="array" ref="Z8">_xlfn.XLOOKUP(X8,'측정 관리'!$A$5:$A$204,'측정 관리'!$K$5:$K$204,"",0)</f>
        <v/>
      </c>
    </row>
    <row r="9">
      <c r="A9" s="22">
        <v>2.0</v>
      </c>
      <c r="B9" s="22" t="s">
        <v>159</v>
      </c>
      <c r="C9" s="22" t="s">
        <v>1056</v>
      </c>
      <c r="D9" s="29" t="s">
        <v>38</v>
      </c>
      <c r="E9" s="24">
        <v>57900.0</v>
      </c>
      <c r="F9" s="22" t="s">
        <v>1057</v>
      </c>
      <c r="G9" s="22"/>
      <c r="H9" s="22"/>
      <c r="I9" s="22">
        <v>1.0</v>
      </c>
      <c r="J9" s="24">
        <v>4300.0</v>
      </c>
      <c r="K9" s="24">
        <v>4300.0</v>
      </c>
      <c r="L9" s="25">
        <v>0.07426597582037997</v>
      </c>
      <c r="M9" s="22" t="s">
        <v>1058</v>
      </c>
      <c r="N9" s="22" t="s">
        <v>282</v>
      </c>
      <c r="O9" s="26" t="s">
        <v>162</v>
      </c>
      <c r="X9" s="21" t="s">
        <v>165</v>
      </c>
      <c r="Y9" s="21" t="s">
        <v>164</v>
      </c>
      <c r="Z9" s="7" t="str">
        <f t="array" ref="Z9">_xlfn.XLOOKUP(X9,'측정 관리'!$A$5:$A$204,'측정 관리'!$K$5:$K$204,"",0)</f>
        <v/>
      </c>
    </row>
    <row r="10">
      <c r="A10" s="22">
        <v>3.0</v>
      </c>
      <c r="B10" s="22" t="s">
        <v>1060</v>
      </c>
      <c r="C10" s="22" t="s">
        <v>1061</v>
      </c>
      <c r="D10" s="29" t="s">
        <v>38</v>
      </c>
      <c r="E10" s="24">
        <v>99300.0</v>
      </c>
      <c r="F10" s="22" t="s">
        <v>1062</v>
      </c>
      <c r="G10" s="22">
        <v>1.0</v>
      </c>
      <c r="H10" s="24">
        <v>2200.0</v>
      </c>
      <c r="I10" s="22">
        <v>2.0</v>
      </c>
      <c r="J10" s="24">
        <v>2750.0</v>
      </c>
      <c r="K10" s="24">
        <v>3300.0</v>
      </c>
      <c r="L10" s="25">
        <v>0.03323262839879154</v>
      </c>
      <c r="M10" s="22" t="s">
        <v>1063</v>
      </c>
      <c r="N10" s="22" t="s">
        <v>1064</v>
      </c>
      <c r="O10" s="26" t="s">
        <v>142</v>
      </c>
      <c r="X10" s="21" t="s">
        <v>1065</v>
      </c>
      <c r="Y10" s="21" t="s">
        <v>145</v>
      </c>
      <c r="Z10" s="7" t="str">
        <f t="array" ref="Z10">_xlfn.XLOOKUP(X10,'측정 관리'!$A$5:$A$204,'측정 관리'!$K$5:$K$204,"",0)</f>
        <v/>
      </c>
    </row>
    <row r="11">
      <c r="A11" s="22">
        <v>4.0</v>
      </c>
      <c r="B11" s="22" t="s">
        <v>232</v>
      </c>
      <c r="C11" s="22" t="s">
        <v>1067</v>
      </c>
      <c r="D11" s="34" t="s">
        <v>42</v>
      </c>
      <c r="E11" s="24">
        <v>16700.0</v>
      </c>
      <c r="F11" s="22" t="s">
        <v>1068</v>
      </c>
      <c r="G11" s="22"/>
      <c r="H11" s="22"/>
      <c r="I11" s="22">
        <v>1.0</v>
      </c>
      <c r="J11" s="24">
        <v>2900.0</v>
      </c>
      <c r="K11" s="24">
        <v>2900.0</v>
      </c>
      <c r="L11" s="25">
        <v>0.1736526946107785</v>
      </c>
      <c r="M11" s="22"/>
      <c r="N11" s="22"/>
      <c r="O11" s="26" t="s">
        <v>244</v>
      </c>
      <c r="X11" s="21" t="s">
        <v>248</v>
      </c>
      <c r="Y11" s="21" t="s">
        <v>247</v>
      </c>
      <c r="Z11" s="7" t="str">
        <f t="array" ref="Z11">_xlfn.XLOOKUP(X11,'측정 관리'!$A$5:$A$204,'측정 관리'!$K$5:$K$204,"",0)</f>
        <v/>
      </c>
    </row>
    <row r="12">
      <c r="A12" s="22">
        <v>5.0</v>
      </c>
      <c r="B12" s="22" t="s">
        <v>249</v>
      </c>
      <c r="C12" s="22" t="s">
        <v>1071</v>
      </c>
      <c r="D12" s="34" t="s">
        <v>42</v>
      </c>
      <c r="E12" s="24">
        <v>53200.0</v>
      </c>
      <c r="F12" s="22" t="s">
        <v>1073</v>
      </c>
      <c r="G12" s="22">
        <v>2.0</v>
      </c>
      <c r="H12" s="24">
        <v>2350.0</v>
      </c>
      <c r="I12" s="22">
        <v>6.0</v>
      </c>
      <c r="J12" s="24">
        <v>2333.0</v>
      </c>
      <c r="K12" s="24">
        <v>2200.0</v>
      </c>
      <c r="L12" s="25">
        <v>0.04135338345864661</v>
      </c>
      <c r="M12" s="22" t="s">
        <v>1074</v>
      </c>
      <c r="N12" s="22" t="s">
        <v>282</v>
      </c>
      <c r="O12" s="26" t="s">
        <v>252</v>
      </c>
      <c r="X12" s="21" t="s">
        <v>256</v>
      </c>
      <c r="Y12" s="21" t="s">
        <v>255</v>
      </c>
      <c r="Z12" s="7" t="str">
        <f t="array" ref="Z12">_xlfn.XLOOKUP(X12,'측정 관리'!$A$5:$A$204,'측정 관리'!$K$5:$K$204,"",0)</f>
        <v/>
      </c>
    </row>
    <row r="13">
      <c r="A13" s="22">
        <v>6.0</v>
      </c>
      <c r="B13" s="22" t="s">
        <v>276</v>
      </c>
      <c r="C13" s="22" t="s">
        <v>1075</v>
      </c>
      <c r="D13" s="34" t="s">
        <v>42</v>
      </c>
      <c r="E13" s="24">
        <v>7410.0</v>
      </c>
      <c r="F13" s="22" t="s">
        <v>1076</v>
      </c>
      <c r="G13" s="22"/>
      <c r="H13" s="22"/>
      <c r="I13" s="22">
        <v>1.0</v>
      </c>
      <c r="J13" s="24">
        <v>1200.0</v>
      </c>
      <c r="K13" s="24">
        <v>1200.0</v>
      </c>
      <c r="L13" s="25">
        <v>0.1619433198380567</v>
      </c>
      <c r="M13" s="22" t="s">
        <v>1078</v>
      </c>
      <c r="N13" s="22" t="s">
        <v>282</v>
      </c>
      <c r="O13" s="26" t="s">
        <v>281</v>
      </c>
      <c r="X13" s="21" t="s">
        <v>284</v>
      </c>
      <c r="Y13" s="21" t="s">
        <v>283</v>
      </c>
      <c r="Z13" s="7" t="str">
        <f t="array" ref="Z13">_xlfn.XLOOKUP(X13,'측정 관리'!$A$5:$A$204,'측정 관리'!$K$5:$K$204,"",0)</f>
        <v/>
      </c>
    </row>
    <row r="14">
      <c r="A14" s="22">
        <v>7.0</v>
      </c>
      <c r="B14" s="22" t="s">
        <v>423</v>
      </c>
      <c r="C14" s="22" t="s">
        <v>1079</v>
      </c>
      <c r="D14" s="37" t="s">
        <v>48</v>
      </c>
      <c r="E14" s="24">
        <v>8590.0</v>
      </c>
      <c r="F14" s="22" t="s">
        <v>1080</v>
      </c>
      <c r="G14" s="22">
        <v>3.0</v>
      </c>
      <c r="H14" s="24">
        <v>711.0</v>
      </c>
      <c r="I14" s="22">
        <v>3.0</v>
      </c>
      <c r="J14" s="24">
        <v>711.0</v>
      </c>
      <c r="K14" s="24">
        <v>570.0</v>
      </c>
      <c r="L14" s="25">
        <v>0.06635622817229336</v>
      </c>
      <c r="M14" s="22"/>
      <c r="N14" s="22"/>
      <c r="O14" s="26" t="s">
        <v>427</v>
      </c>
      <c r="X14" s="21" t="s">
        <v>429</v>
      </c>
      <c r="Y14" s="21" t="s">
        <v>428</v>
      </c>
      <c r="Z14" s="7" t="str">
        <f t="array" ref="Z14">_xlfn.XLOOKUP(X14,'측정 관리'!$A$5:$A$204,'측정 관리'!$K$5:$K$204,"",0)</f>
        <v/>
      </c>
    </row>
    <row r="15">
      <c r="A15" s="22">
        <v>8.0</v>
      </c>
      <c r="B15" s="22" t="s">
        <v>432</v>
      </c>
      <c r="C15" s="22" t="s">
        <v>1084</v>
      </c>
      <c r="D15" s="37" t="s">
        <v>48</v>
      </c>
      <c r="E15" s="24">
        <v>10000.0</v>
      </c>
      <c r="F15" s="22" t="s">
        <v>1076</v>
      </c>
      <c r="G15" s="22"/>
      <c r="H15" s="22"/>
      <c r="I15" s="22">
        <v>1.0</v>
      </c>
      <c r="J15" s="24">
        <v>476.0</v>
      </c>
      <c r="K15" s="24">
        <v>476.0</v>
      </c>
      <c r="L15" s="25">
        <v>0.0476</v>
      </c>
      <c r="M15" s="22" t="s">
        <v>1086</v>
      </c>
      <c r="N15" s="22"/>
      <c r="O15" s="26" t="s">
        <v>434</v>
      </c>
      <c r="X15" s="21" t="s">
        <v>436</v>
      </c>
      <c r="Y15" s="21" t="s">
        <v>435</v>
      </c>
      <c r="Z15" s="7" t="str">
        <f t="array" ref="Z15">_xlfn.XLOOKUP(X15,'측정 관리'!$A$5:$A$204,'측정 관리'!$K$5:$K$204,"",0)</f>
        <v/>
      </c>
    </row>
    <row r="16">
      <c r="A16" s="22">
        <v>9.0</v>
      </c>
      <c r="B16" s="22" t="s">
        <v>705</v>
      </c>
      <c r="C16" s="22" t="s">
        <v>1093</v>
      </c>
      <c r="D16" s="38" t="s">
        <v>54</v>
      </c>
      <c r="E16" s="24">
        <v>9640.0</v>
      </c>
      <c r="F16" s="22" t="s">
        <v>1094</v>
      </c>
      <c r="G16" s="22"/>
      <c r="H16" s="22"/>
      <c r="I16" s="22"/>
      <c r="J16" s="22"/>
      <c r="K16" s="22"/>
      <c r="L16" s="22"/>
      <c r="M16" s="22" t="s">
        <v>1095</v>
      </c>
      <c r="N16" s="22" t="s">
        <v>657</v>
      </c>
      <c r="O16" s="26" t="s">
        <v>707</v>
      </c>
      <c r="X16" s="21" t="s">
        <v>709</v>
      </c>
      <c r="Y16" s="21" t="s">
        <v>708</v>
      </c>
      <c r="Z16" s="7" t="str">
        <f t="array" ref="Z16">_xlfn.XLOOKUP(X16,'측정 관리'!$A$5:$A$204,'측정 관리'!$K$5:$K$204,"",0)</f>
        <v/>
      </c>
    </row>
    <row r="17">
      <c r="A17" s="22">
        <v>10.0</v>
      </c>
      <c r="B17" s="22" t="s">
        <v>215</v>
      </c>
      <c r="C17" s="22" t="s">
        <v>1102</v>
      </c>
      <c r="D17" s="38" t="s">
        <v>54</v>
      </c>
      <c r="E17" s="24">
        <v>25300.0</v>
      </c>
      <c r="F17" s="22" t="s">
        <v>1104</v>
      </c>
      <c r="G17" s="22"/>
      <c r="H17" s="22"/>
      <c r="I17" s="22"/>
      <c r="J17" s="22"/>
      <c r="K17" s="22"/>
      <c r="L17" s="22"/>
      <c r="M17" s="22" t="s">
        <v>1107</v>
      </c>
      <c r="N17" s="22" t="s">
        <v>657</v>
      </c>
      <c r="O17" s="26" t="s">
        <v>220</v>
      </c>
      <c r="X17" s="21" t="s">
        <v>1109</v>
      </c>
      <c r="Y17" s="21" t="s">
        <v>221</v>
      </c>
      <c r="Z17" s="7" t="str">
        <f t="array" ref="Z17">_xlfn.XLOOKUP(X17,'측정 관리'!$A$5:$A$204,'측정 관리'!$K$5:$K$204,"",0)</f>
        <v/>
      </c>
    </row>
    <row r="18">
      <c r="A18" s="22">
        <v>11.0</v>
      </c>
      <c r="B18" s="22" t="s">
        <v>694</v>
      </c>
      <c r="C18" s="22" t="s">
        <v>1114</v>
      </c>
      <c r="D18" s="38" t="s">
        <v>54</v>
      </c>
      <c r="E18" s="24">
        <v>10700.0</v>
      </c>
      <c r="F18" s="22" t="s">
        <v>1116</v>
      </c>
      <c r="G18" s="22"/>
      <c r="H18" s="22"/>
      <c r="I18" s="22"/>
      <c r="J18" s="22"/>
      <c r="K18" s="22"/>
      <c r="L18" s="22"/>
      <c r="M18" s="22" t="s">
        <v>1119</v>
      </c>
      <c r="N18" s="22" t="s">
        <v>657</v>
      </c>
      <c r="O18" s="26" t="s">
        <v>695</v>
      </c>
      <c r="X18" s="21" t="s">
        <v>699</v>
      </c>
      <c r="Y18" s="21" t="s">
        <v>698</v>
      </c>
      <c r="Z18" s="7" t="str">
        <f t="array" ref="Z18">_xlfn.XLOOKUP(X18,'측정 관리'!$A$5:$A$204,'측정 관리'!$K$5:$K$204,"",0)</f>
        <v/>
      </c>
    </row>
    <row r="19">
      <c r="A19" s="22">
        <v>12.0</v>
      </c>
      <c r="B19" s="22" t="s">
        <v>475</v>
      </c>
      <c r="C19" s="22" t="s">
        <v>1125</v>
      </c>
      <c r="D19" s="38" t="s">
        <v>54</v>
      </c>
      <c r="E19" s="24">
        <v>3140.0</v>
      </c>
      <c r="F19" s="22" t="s">
        <v>1128</v>
      </c>
      <c r="G19" s="22"/>
      <c r="H19" s="22"/>
      <c r="I19" s="22"/>
      <c r="J19" s="22"/>
      <c r="K19" s="22"/>
      <c r="L19" s="22"/>
      <c r="M19" s="22" t="s">
        <v>1131</v>
      </c>
      <c r="N19" s="22" t="s">
        <v>657</v>
      </c>
      <c r="O19" s="26" t="s">
        <v>477</v>
      </c>
      <c r="X19" s="21" t="s">
        <v>1133</v>
      </c>
      <c r="Y19" s="21" t="s">
        <v>478</v>
      </c>
      <c r="Z19" s="7" t="str">
        <f t="array" ref="Z19">_xlfn.XLOOKUP(X19,'측정 관리'!$A$5:$A$204,'측정 관리'!$K$5:$K$204,"",0)</f>
        <v/>
      </c>
    </row>
    <row r="20">
      <c r="A20" s="22">
        <v>13.0</v>
      </c>
      <c r="B20" s="22" t="s">
        <v>445</v>
      </c>
      <c r="C20" s="22" t="s">
        <v>1136</v>
      </c>
      <c r="D20" s="38" t="s">
        <v>54</v>
      </c>
      <c r="E20" s="24">
        <v>2290.0</v>
      </c>
      <c r="F20" s="22" t="s">
        <v>1137</v>
      </c>
      <c r="G20" s="22"/>
      <c r="H20" s="22"/>
      <c r="I20" s="22"/>
      <c r="J20" s="22"/>
      <c r="K20" s="22"/>
      <c r="L20" s="22"/>
      <c r="M20" s="22" t="s">
        <v>1141</v>
      </c>
      <c r="N20" s="22" t="s">
        <v>657</v>
      </c>
      <c r="O20" s="26" t="s">
        <v>448</v>
      </c>
      <c r="X20" s="21" t="s">
        <v>1143</v>
      </c>
      <c r="Y20" s="21" t="s">
        <v>451</v>
      </c>
      <c r="Z20" s="7" t="str">
        <f t="array" ref="Z20">_xlfn.XLOOKUP(X20,'측정 관리'!$A$5:$A$204,'측정 관리'!$K$5:$K$204,"",0)</f>
        <v/>
      </c>
    </row>
    <row r="21" ht="15.75" customHeight="1">
      <c r="A21" s="22">
        <v>14.0</v>
      </c>
      <c r="B21" s="22" t="s">
        <v>700</v>
      </c>
      <c r="C21" s="22" t="s">
        <v>1150</v>
      </c>
      <c r="D21" s="38" t="s">
        <v>54</v>
      </c>
      <c r="E21" s="24">
        <v>10200.0</v>
      </c>
      <c r="F21" s="22" t="s">
        <v>1151</v>
      </c>
      <c r="G21" s="22"/>
      <c r="H21" s="22"/>
      <c r="I21" s="22"/>
      <c r="J21" s="22"/>
      <c r="K21" s="22"/>
      <c r="L21" s="22"/>
      <c r="M21" s="22" t="s">
        <v>1153</v>
      </c>
      <c r="N21" s="22" t="s">
        <v>657</v>
      </c>
      <c r="O21" s="26" t="s">
        <v>701</v>
      </c>
      <c r="X21" s="21" t="s">
        <v>703</v>
      </c>
      <c r="Y21" s="21" t="s">
        <v>702</v>
      </c>
      <c r="Z21" s="7" t="str">
        <f t="array" ref="Z21">_xlfn.XLOOKUP(X21,'측정 관리'!$A$5:$A$204,'측정 관리'!$K$5:$K$204,"",0)</f>
        <v/>
      </c>
    </row>
    <row r="22" ht="15.75" customHeight="1">
      <c r="A22" s="22">
        <v>15.0</v>
      </c>
      <c r="B22" s="22" t="s">
        <v>675</v>
      </c>
      <c r="C22" s="22" t="s">
        <v>1161</v>
      </c>
      <c r="D22" s="38" t="s">
        <v>54</v>
      </c>
      <c r="E22" s="24">
        <v>11900.0</v>
      </c>
      <c r="F22" s="22" t="s">
        <v>1162</v>
      </c>
      <c r="G22" s="22"/>
      <c r="H22" s="22"/>
      <c r="I22" s="22"/>
      <c r="J22" s="22"/>
      <c r="K22" s="22"/>
      <c r="L22" s="22"/>
      <c r="M22" s="22" t="s">
        <v>1166</v>
      </c>
      <c r="N22" s="22" t="s">
        <v>657</v>
      </c>
      <c r="O22" s="26" t="s">
        <v>678</v>
      </c>
      <c r="X22" s="21" t="s">
        <v>682</v>
      </c>
      <c r="Y22" s="21" t="s">
        <v>681</v>
      </c>
      <c r="Z22" s="7" t="str">
        <f t="array" ref="Z22">_xlfn.XLOOKUP(X22,'측정 관리'!$A$5:$A$204,'측정 관리'!$K$5:$K$204,"",0)</f>
        <v/>
      </c>
    </row>
    <row r="23" ht="15.75" customHeight="1">
      <c r="A23" s="22">
        <v>16.0</v>
      </c>
      <c r="B23" s="22" t="s">
        <v>411</v>
      </c>
      <c r="C23" s="22" t="s">
        <v>1173</v>
      </c>
      <c r="D23" s="38" t="s">
        <v>54</v>
      </c>
      <c r="E23" s="24">
        <v>6610.0</v>
      </c>
      <c r="F23" s="22" t="s">
        <v>1094</v>
      </c>
      <c r="G23" s="22"/>
      <c r="H23" s="22"/>
      <c r="I23" s="22"/>
      <c r="J23" s="22"/>
      <c r="K23" s="22"/>
      <c r="L23" s="22"/>
      <c r="M23" s="22" t="s">
        <v>1177</v>
      </c>
      <c r="N23" s="22" t="s">
        <v>657</v>
      </c>
      <c r="O23" s="26" t="s">
        <v>417</v>
      </c>
      <c r="X23" s="21" t="s">
        <v>1179</v>
      </c>
      <c r="Y23" s="21" t="s">
        <v>419</v>
      </c>
      <c r="Z23" s="7" t="str">
        <f t="array" ref="Z23">_xlfn.XLOOKUP(X23,'측정 관리'!$A$5:$A$204,'측정 관리'!$K$5:$K$204,"",0)</f>
        <v/>
      </c>
    </row>
    <row r="24" ht="15.75" customHeight="1">
      <c r="A24" s="22">
        <v>17.0</v>
      </c>
      <c r="B24" s="22" t="s">
        <v>652</v>
      </c>
      <c r="C24" s="22" t="s">
        <v>1189</v>
      </c>
      <c r="D24" s="38" t="s">
        <v>54</v>
      </c>
      <c r="E24" s="24">
        <v>34200.0</v>
      </c>
      <c r="F24" s="22" t="s">
        <v>1190</v>
      </c>
      <c r="G24" s="22"/>
      <c r="H24" s="22"/>
      <c r="I24" s="22"/>
      <c r="J24" s="22"/>
      <c r="K24" s="22"/>
      <c r="L24" s="22"/>
      <c r="M24" s="22" t="s">
        <v>1018</v>
      </c>
      <c r="N24" s="22" t="s">
        <v>657</v>
      </c>
      <c r="O24" s="26" t="s">
        <v>655</v>
      </c>
      <c r="X24" s="21" t="s">
        <v>659</v>
      </c>
      <c r="Y24" s="21" t="s">
        <v>658</v>
      </c>
      <c r="Z24" s="7" t="str">
        <f t="array" ref="Z24">_xlfn.XLOOKUP(X24,'측정 관리'!$A$5:$A$204,'측정 관리'!$K$5:$K$204,"",0)</f>
        <v/>
      </c>
    </row>
    <row r="25" ht="15.75" customHeight="1">
      <c r="A25" s="22">
        <v>18.0</v>
      </c>
      <c r="B25" s="22" t="s">
        <v>1199</v>
      </c>
      <c r="C25" s="22" t="s">
        <v>1200</v>
      </c>
      <c r="D25" s="38" t="s">
        <v>54</v>
      </c>
      <c r="E25" s="24">
        <v>17700.0</v>
      </c>
      <c r="F25" s="22" t="s">
        <v>1104</v>
      </c>
      <c r="G25" s="22"/>
      <c r="H25" s="22"/>
      <c r="I25" s="22"/>
      <c r="J25" s="22"/>
      <c r="K25" s="22"/>
      <c r="L25" s="22"/>
      <c r="M25" s="22" t="s">
        <v>1018</v>
      </c>
      <c r="N25" s="22" t="s">
        <v>657</v>
      </c>
      <c r="O25" s="26" t="s">
        <v>664</v>
      </c>
      <c r="X25" s="21" t="s">
        <v>666</v>
      </c>
      <c r="Y25" s="21" t="s">
        <v>665</v>
      </c>
      <c r="Z25" s="7" t="str">
        <f t="array" ref="Z25">_xlfn.XLOOKUP(X25,'측정 관리'!$A$5:$A$204,'측정 관리'!$K$5:$K$204,"",0)</f>
        <v/>
      </c>
    </row>
    <row r="26" ht="15.75" customHeight="1">
      <c r="A26" s="22">
        <v>19.0</v>
      </c>
      <c r="B26" s="22" t="s">
        <v>712</v>
      </c>
      <c r="C26" s="22" t="s">
        <v>1209</v>
      </c>
      <c r="D26" s="38" t="s">
        <v>54</v>
      </c>
      <c r="E26" s="24">
        <v>4720.0</v>
      </c>
      <c r="F26" s="22" t="s">
        <v>1151</v>
      </c>
      <c r="G26" s="22"/>
      <c r="H26" s="22"/>
      <c r="I26" s="22"/>
      <c r="J26" s="22"/>
      <c r="K26" s="22"/>
      <c r="L26" s="22"/>
      <c r="M26" s="22" t="s">
        <v>1018</v>
      </c>
      <c r="N26" s="22" t="s">
        <v>657</v>
      </c>
      <c r="O26" s="26" t="s">
        <v>718</v>
      </c>
      <c r="X26" s="21" t="s">
        <v>720</v>
      </c>
      <c r="Y26" s="21" t="s">
        <v>719</v>
      </c>
      <c r="Z26" s="7" t="str">
        <f t="array" ref="Z26">_xlfn.XLOOKUP(X26,'측정 관리'!$A$5:$A$204,'측정 관리'!$K$5:$K$204,"",0)</f>
        <v/>
      </c>
    </row>
    <row r="27" ht="15.75" customHeight="1">
      <c r="A27" s="22">
        <v>20.0</v>
      </c>
      <c r="B27" s="22" t="s">
        <v>1223</v>
      </c>
      <c r="C27" s="22" t="s">
        <v>1225</v>
      </c>
      <c r="D27" s="38" t="s">
        <v>54</v>
      </c>
      <c r="E27" s="24">
        <v>2300.0</v>
      </c>
      <c r="F27" s="22" t="s">
        <v>1226</v>
      </c>
      <c r="G27" s="22"/>
      <c r="H27" s="22"/>
      <c r="I27" s="22"/>
      <c r="J27" s="22"/>
      <c r="K27" s="22"/>
      <c r="L27" s="22"/>
      <c r="M27" s="22" t="s">
        <v>1018</v>
      </c>
      <c r="N27" s="22" t="s">
        <v>657</v>
      </c>
      <c r="O27" s="26" t="s">
        <v>724</v>
      </c>
      <c r="X27" s="21" t="s">
        <v>728</v>
      </c>
      <c r="Y27" s="21" t="s">
        <v>727</v>
      </c>
      <c r="Z27" s="7" t="str">
        <f t="array" ref="Z27">_xlfn.XLOOKUP(X27,'측정 관리'!$A$5:$A$204,'측정 관리'!$K$5:$K$204,"",0)</f>
        <v/>
      </c>
    </row>
    <row r="28" ht="15.75" customHeight="1">
      <c r="A28" s="22">
        <v>21.0</v>
      </c>
      <c r="B28" s="22" t="s">
        <v>667</v>
      </c>
      <c r="C28" s="22" t="s">
        <v>1232</v>
      </c>
      <c r="D28" s="38" t="s">
        <v>54</v>
      </c>
      <c r="E28" s="24">
        <v>12800.0</v>
      </c>
      <c r="F28" s="22" t="s">
        <v>1128</v>
      </c>
      <c r="G28" s="22"/>
      <c r="H28" s="22"/>
      <c r="I28" s="22"/>
      <c r="J28" s="22"/>
      <c r="K28" s="22"/>
      <c r="L28" s="22"/>
      <c r="M28" s="22" t="s">
        <v>1018</v>
      </c>
      <c r="N28" s="22" t="s">
        <v>657</v>
      </c>
      <c r="O28" s="26" t="s">
        <v>669</v>
      </c>
      <c r="X28" s="21" t="s">
        <v>1235</v>
      </c>
      <c r="Y28" s="21" t="s">
        <v>672</v>
      </c>
      <c r="Z28" s="7" t="str">
        <f t="array" ref="Z28">_xlfn.XLOOKUP(X28,'측정 관리'!$A$5:$A$204,'측정 관리'!$K$5:$K$204,"",0)</f>
        <v/>
      </c>
    </row>
    <row r="29" ht="15.75" customHeight="1">
      <c r="A29" s="22">
        <v>22.0</v>
      </c>
      <c r="B29" s="22" t="s">
        <v>683</v>
      </c>
      <c r="C29" s="22" t="s">
        <v>1239</v>
      </c>
      <c r="D29" s="38" t="s">
        <v>54</v>
      </c>
      <c r="E29" s="24">
        <v>11400.0</v>
      </c>
      <c r="F29" s="22"/>
      <c r="G29" s="22"/>
      <c r="H29" s="22"/>
      <c r="I29" s="22"/>
      <c r="J29" s="22"/>
      <c r="K29" s="22"/>
      <c r="L29" s="22"/>
      <c r="M29" s="22" t="s">
        <v>1018</v>
      </c>
      <c r="N29" s="22" t="s">
        <v>1241</v>
      </c>
      <c r="O29" s="26" t="s">
        <v>687</v>
      </c>
      <c r="X29" s="21" t="s">
        <v>1243</v>
      </c>
      <c r="Y29" s="21" t="s">
        <v>690</v>
      </c>
      <c r="Z29" s="7" t="str">
        <f t="array" ref="Z29">_xlfn.XLOOKUP(X29,'측정 관리'!$A$5:$A$204,'측정 관리'!$K$5:$K$204,"",0)</f>
        <v/>
      </c>
    </row>
    <row r="30" ht="15.75" customHeight="1">
      <c r="A30" s="22">
        <v>23.0</v>
      </c>
      <c r="B30" s="22" t="s">
        <v>507</v>
      </c>
      <c r="C30" s="22" t="s">
        <v>1244</v>
      </c>
      <c r="D30" s="38" t="s">
        <v>54</v>
      </c>
      <c r="E30" s="22"/>
      <c r="F30" s="22"/>
      <c r="G30" s="22"/>
      <c r="H30" s="22"/>
      <c r="I30" s="22"/>
      <c r="J30" s="22"/>
      <c r="K30" s="22"/>
      <c r="L30" s="22"/>
      <c r="M30" s="22"/>
      <c r="N30" s="22" t="s">
        <v>1247</v>
      </c>
      <c r="O30" s="26" t="s">
        <v>509</v>
      </c>
      <c r="X30" s="21" t="s">
        <v>1248</v>
      </c>
      <c r="Y30" s="21" t="s">
        <v>513</v>
      </c>
      <c r="Z30" s="7" t="str">
        <f t="array" ref="Z30">_xlfn.XLOOKUP(X30,'측정 관리'!$A$5:$A$204,'측정 관리'!$K$5:$K$204,"",0)</f>
        <v>계정 확인 필요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O$30"/>
  <mergeCells count="5">
    <mergeCell ref="A6:D6"/>
    <mergeCell ref="E6:F6"/>
    <mergeCell ref="G6:H6"/>
    <mergeCell ref="I6:K6"/>
    <mergeCell ref="L6:O6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6.0"/>
    <col customWidth="1" min="2" max="2" width="18.0"/>
    <col customWidth="1" min="3" max="3" width="9.0"/>
    <col customWidth="1" min="4" max="4" width="8.0"/>
    <col customWidth="1" min="5" max="5" width="6.0"/>
    <col customWidth="1" min="6" max="6" width="9.0"/>
    <col customWidth="1" min="7" max="7" width="10.0"/>
    <col customWidth="1" min="8" max="8" width="6.0"/>
    <col customWidth="1" min="9" max="9" width="10.0"/>
    <col customWidth="1" min="10" max="10" width="9.0"/>
    <col customWidth="1" min="11" max="11" width="7.0"/>
    <col customWidth="1" min="12" max="12" width="6.0"/>
    <col customWidth="1" min="13" max="13" width="10.0"/>
    <col customWidth="1" min="14" max="14" width="9.0"/>
    <col customWidth="1" min="15" max="15" width="7.0"/>
    <col customWidth="1" min="16" max="16" width="6.0"/>
    <col customWidth="1" min="17" max="17" width="10.0"/>
    <col customWidth="1" min="18" max="18" width="9.0"/>
    <col customWidth="1" min="19" max="19" width="7.0"/>
    <col customWidth="1" min="20" max="20" width="10.0"/>
    <col customWidth="1" min="21" max="21" width="9.0"/>
    <col customWidth="1" min="22" max="22" width="36.0"/>
    <col customWidth="1" min="23" max="23" width="28.0"/>
    <col customWidth="1" min="24" max="26" width="8.71"/>
  </cols>
  <sheetData>
    <row r="1">
      <c r="A1" s="2" t="s">
        <v>1082</v>
      </c>
    </row>
    <row r="2">
      <c r="A2" s="4" t="s">
        <v>1083</v>
      </c>
    </row>
    <row r="3">
      <c r="A3" s="4" t="s">
        <v>1085</v>
      </c>
    </row>
    <row r="5">
      <c r="A5" s="8"/>
      <c r="B5" s="9"/>
      <c r="C5" s="10"/>
      <c r="D5" s="12" t="s">
        <v>32</v>
      </c>
      <c r="E5" s="9"/>
      <c r="F5" s="9"/>
      <c r="G5" s="10"/>
      <c r="H5" s="14" t="s">
        <v>37</v>
      </c>
      <c r="I5" s="9"/>
      <c r="J5" s="9"/>
      <c r="K5" s="10"/>
      <c r="L5" s="16" t="s">
        <v>45</v>
      </c>
      <c r="M5" s="9"/>
      <c r="N5" s="9"/>
      <c r="O5" s="10"/>
      <c r="P5" s="20" t="s">
        <v>52</v>
      </c>
      <c r="Q5" s="9"/>
      <c r="R5" s="9"/>
      <c r="S5" s="10"/>
      <c r="T5" s="8"/>
      <c r="U5" s="9"/>
      <c r="V5" s="9"/>
      <c r="W5" s="10"/>
    </row>
    <row r="6" ht="31.5" customHeight="1">
      <c r="A6" s="18" t="s">
        <v>84</v>
      </c>
      <c r="B6" s="18" t="s">
        <v>88</v>
      </c>
      <c r="C6" s="18" t="s">
        <v>60</v>
      </c>
      <c r="D6" s="18" t="s">
        <v>69</v>
      </c>
      <c r="E6" s="18" t="s">
        <v>70</v>
      </c>
      <c r="F6" s="18" t="s">
        <v>72</v>
      </c>
      <c r="G6" s="18" t="s">
        <v>102</v>
      </c>
      <c r="H6" s="18" t="s">
        <v>104</v>
      </c>
      <c r="I6" s="18" t="s">
        <v>68</v>
      </c>
      <c r="J6" s="18" t="s">
        <v>79</v>
      </c>
      <c r="K6" s="18" t="s">
        <v>74</v>
      </c>
      <c r="L6" s="18" t="s">
        <v>104</v>
      </c>
      <c r="M6" s="18" t="s">
        <v>68</v>
      </c>
      <c r="N6" s="18" t="s">
        <v>79</v>
      </c>
      <c r="O6" s="18" t="s">
        <v>74</v>
      </c>
      <c r="P6" s="18" t="s">
        <v>104</v>
      </c>
      <c r="Q6" s="18" t="s">
        <v>68</v>
      </c>
      <c r="R6" s="18" t="s">
        <v>79</v>
      </c>
      <c r="S6" s="18" t="s">
        <v>74</v>
      </c>
      <c r="T6" s="18" t="s">
        <v>115</v>
      </c>
      <c r="U6" s="18" t="s">
        <v>118</v>
      </c>
      <c r="V6" s="18" t="s">
        <v>112</v>
      </c>
      <c r="W6" s="18" t="s">
        <v>47</v>
      </c>
      <c r="X6" s="21" t="s">
        <v>113</v>
      </c>
      <c r="Y6" s="21" t="s">
        <v>86</v>
      </c>
      <c r="Z6" s="21" t="s">
        <v>116</v>
      </c>
    </row>
    <row r="7">
      <c r="A7" s="22">
        <v>1.0</v>
      </c>
      <c r="B7" s="22" t="s">
        <v>1103</v>
      </c>
      <c r="C7" s="37" t="s">
        <v>48</v>
      </c>
      <c r="D7" s="27">
        <v>3.0</v>
      </c>
      <c r="E7" s="28" t="s">
        <v>137</v>
      </c>
      <c r="F7" s="22"/>
      <c r="G7" s="24">
        <v>4719.0</v>
      </c>
      <c r="H7" s="22"/>
      <c r="I7" s="22"/>
      <c r="J7" s="22"/>
      <c r="K7" s="22"/>
      <c r="L7" s="22"/>
      <c r="M7" s="22"/>
      <c r="N7" s="22"/>
      <c r="O7" s="22"/>
      <c r="P7" s="22">
        <v>4.0</v>
      </c>
      <c r="Q7" s="24">
        <v>1302.0</v>
      </c>
      <c r="R7" s="24">
        <v>37.4976</v>
      </c>
      <c r="S7" s="30">
        <v>0.0288</v>
      </c>
      <c r="T7" s="25">
        <v>0.2759059122695486</v>
      </c>
      <c r="U7" s="22"/>
      <c r="V7" s="22" t="s">
        <v>1111</v>
      </c>
      <c r="W7" s="26" t="s">
        <v>482</v>
      </c>
      <c r="X7" s="21" t="s">
        <v>1112</v>
      </c>
      <c r="Y7" s="21" t="s">
        <v>488</v>
      </c>
      <c r="Z7" s="7" t="str">
        <f t="array" ref="Z7">_xlfn.XLOOKUP(X7,'측정 관리'!$A$5:$A$204,'측정 관리'!$K$5:$K$204,"",0)</f>
        <v/>
      </c>
    </row>
    <row r="8">
      <c r="A8" s="22">
        <v>2.0</v>
      </c>
      <c r="B8" s="22" t="s">
        <v>1130</v>
      </c>
      <c r="C8" s="37" t="s">
        <v>48</v>
      </c>
      <c r="D8" s="27">
        <v>4.0</v>
      </c>
      <c r="E8" s="28" t="s">
        <v>137</v>
      </c>
      <c r="F8" s="24">
        <v>51.0</v>
      </c>
      <c r="G8" s="24">
        <v>19000.0</v>
      </c>
      <c r="H8" s="22">
        <v>1.0</v>
      </c>
      <c r="I8" s="24">
        <v>1727.0</v>
      </c>
      <c r="J8" s="24">
        <v>79.9601</v>
      </c>
      <c r="K8" s="30">
        <v>0.0463</v>
      </c>
      <c r="L8" s="22">
        <v>2.0</v>
      </c>
      <c r="M8" s="24">
        <v>1167.0</v>
      </c>
      <c r="N8" s="24">
        <v>57.9999</v>
      </c>
      <c r="O8" s="30">
        <v>0.0497</v>
      </c>
      <c r="P8" s="22">
        <v>17.0</v>
      </c>
      <c r="Q8" s="24">
        <v>910.0</v>
      </c>
      <c r="R8" s="24">
        <v>26.572</v>
      </c>
      <c r="S8" s="30">
        <v>0.0292</v>
      </c>
      <c r="T8" s="25">
        <v>0.04789473684210526</v>
      </c>
      <c r="U8" s="31">
        <v>0.2824175824175825</v>
      </c>
      <c r="V8" s="22" t="s">
        <v>1140</v>
      </c>
      <c r="W8" s="26" t="s">
        <v>271</v>
      </c>
      <c r="X8" s="21" t="s">
        <v>1142</v>
      </c>
      <c r="Y8" s="21" t="s">
        <v>274</v>
      </c>
      <c r="Z8" s="7" t="str">
        <f t="array" ref="Z8">_xlfn.XLOOKUP(X8,'측정 관리'!$A$5:$A$204,'측정 관리'!$K$5:$K$204,"",0)</f>
        <v>일부 수집</v>
      </c>
    </row>
    <row r="9">
      <c r="A9" s="22">
        <v>3.0</v>
      </c>
      <c r="B9" s="22" t="s">
        <v>1149</v>
      </c>
      <c r="C9" s="37" t="s">
        <v>48</v>
      </c>
      <c r="D9" s="27">
        <v>6.0</v>
      </c>
      <c r="E9" s="28" t="s">
        <v>137</v>
      </c>
      <c r="F9" s="24">
        <v>68.0</v>
      </c>
      <c r="G9" s="24">
        <v>14000.0</v>
      </c>
      <c r="H9" s="22"/>
      <c r="I9" s="22"/>
      <c r="J9" s="22"/>
      <c r="K9" s="22"/>
      <c r="L9" s="22"/>
      <c r="M9" s="22"/>
      <c r="N9" s="22"/>
      <c r="O9" s="22"/>
      <c r="P9" s="22">
        <v>3.0</v>
      </c>
      <c r="Q9" s="24">
        <v>1961.0</v>
      </c>
      <c r="R9" s="24">
        <v>25.2969</v>
      </c>
      <c r="S9" s="30">
        <v>0.0129</v>
      </c>
      <c r="T9" s="25">
        <v>0.1400714285714286</v>
      </c>
      <c r="U9" s="22"/>
      <c r="V9" s="22" t="s">
        <v>418</v>
      </c>
      <c r="W9" s="26" t="s">
        <v>416</v>
      </c>
      <c r="X9" s="21" t="s">
        <v>420</v>
      </c>
      <c r="Y9" s="21" t="s">
        <v>419</v>
      </c>
      <c r="Z9" s="7" t="str">
        <f t="array" ref="Z9">_xlfn.XLOOKUP(X9,'측정 관리'!$A$5:$A$204,'측정 관리'!$K$5:$K$204,"",0)</f>
        <v/>
      </c>
    </row>
    <row r="10">
      <c r="A10" s="22">
        <v>4.0</v>
      </c>
      <c r="B10" s="22" t="s">
        <v>1164</v>
      </c>
      <c r="C10" s="37" t="s">
        <v>48</v>
      </c>
      <c r="D10" s="27">
        <v>3.0</v>
      </c>
      <c r="E10" s="28" t="s">
        <v>137</v>
      </c>
      <c r="F10" s="24">
        <v>28.0</v>
      </c>
      <c r="G10" s="24">
        <v>2964.0</v>
      </c>
      <c r="H10" s="22">
        <v>2.0</v>
      </c>
      <c r="I10" s="24">
        <v>481.0</v>
      </c>
      <c r="J10" s="24">
        <v>11.0149</v>
      </c>
      <c r="K10" s="30">
        <v>0.0229</v>
      </c>
      <c r="L10" s="22">
        <v>6.0</v>
      </c>
      <c r="M10" s="24">
        <v>1412.0</v>
      </c>
      <c r="N10" s="24">
        <v>23.1568</v>
      </c>
      <c r="O10" s="30">
        <v>0.0164</v>
      </c>
      <c r="P10" s="22">
        <v>11.0</v>
      </c>
      <c r="Q10" s="24">
        <v>1294.0</v>
      </c>
      <c r="R10" s="24">
        <v>14.4928</v>
      </c>
      <c r="S10" s="30">
        <v>0.0112</v>
      </c>
      <c r="T10" s="25">
        <v>0.4365721997300945</v>
      </c>
      <c r="U10" s="31">
        <v>0.09119010819165374</v>
      </c>
      <c r="V10" s="22"/>
      <c r="W10" s="26" t="s">
        <v>426</v>
      </c>
      <c r="X10" s="21" t="s">
        <v>1170</v>
      </c>
      <c r="Y10" s="21" t="s">
        <v>428</v>
      </c>
      <c r="Z10" s="7" t="str">
        <f t="array" ref="Z10">_xlfn.XLOOKUP(X10,'측정 관리'!$A$5:$A$204,'측정 관리'!$K$5:$K$204,"",0)</f>
        <v/>
      </c>
    </row>
    <row r="11">
      <c r="A11" s="22">
        <v>5.0</v>
      </c>
      <c r="B11" s="22" t="s">
        <v>1178</v>
      </c>
      <c r="C11" s="37" t="s">
        <v>48</v>
      </c>
      <c r="D11" s="27">
        <v>18.0</v>
      </c>
      <c r="E11" s="35" t="s">
        <v>239</v>
      </c>
      <c r="F11" s="24">
        <v>149.0</v>
      </c>
      <c r="G11" s="24">
        <v>20700.0</v>
      </c>
      <c r="H11" s="22"/>
      <c r="I11" s="22"/>
      <c r="J11" s="22"/>
      <c r="K11" s="22"/>
      <c r="L11" s="22"/>
      <c r="M11" s="22"/>
      <c r="N11" s="22"/>
      <c r="O11" s="22"/>
      <c r="P11" s="22">
        <v>3.0</v>
      </c>
      <c r="Q11" s="24">
        <v>460.0</v>
      </c>
      <c r="R11" s="24">
        <v>5.658</v>
      </c>
      <c r="S11" s="30">
        <v>0.0123</v>
      </c>
      <c r="T11" s="25">
        <v>0.02222222222222222</v>
      </c>
      <c r="U11" s="22"/>
      <c r="V11" s="22" t="s">
        <v>1185</v>
      </c>
      <c r="W11" s="26" t="s">
        <v>557</v>
      </c>
      <c r="X11" s="21" t="s">
        <v>1187</v>
      </c>
      <c r="Y11" s="21" t="s">
        <v>560</v>
      </c>
      <c r="Z11" s="7" t="str">
        <f t="array" ref="Z11">_xlfn.XLOOKUP(X11,'측정 관리'!$A$5:$A$204,'측정 관리'!$K$5:$K$204,"",0)</f>
        <v/>
      </c>
    </row>
    <row r="12">
      <c r="A12" s="22">
        <v>6.0</v>
      </c>
      <c r="B12" s="22" t="s">
        <v>1186</v>
      </c>
      <c r="C12" s="37" t="s">
        <v>48</v>
      </c>
      <c r="D12" s="27">
        <v>17.0</v>
      </c>
      <c r="E12" s="35" t="s">
        <v>239</v>
      </c>
      <c r="F12" s="24">
        <v>164.0</v>
      </c>
      <c r="G12" s="24">
        <v>32100.0</v>
      </c>
      <c r="H12" s="22"/>
      <c r="I12" s="22"/>
      <c r="J12" s="22"/>
      <c r="K12" s="22"/>
      <c r="L12" s="22">
        <v>5.0</v>
      </c>
      <c r="M12" s="24">
        <v>799.0</v>
      </c>
      <c r="N12" s="24">
        <v>3.5955</v>
      </c>
      <c r="O12" s="30">
        <v>0.0045</v>
      </c>
      <c r="P12" s="22">
        <v>41.0</v>
      </c>
      <c r="Q12" s="24">
        <v>782.0</v>
      </c>
      <c r="R12" s="24">
        <v>4.2228</v>
      </c>
      <c r="S12" s="30">
        <v>0.0054</v>
      </c>
      <c r="T12" s="25">
        <v>0.0243613707165109</v>
      </c>
      <c r="U12" s="31">
        <v>0.02173913043478271</v>
      </c>
      <c r="V12" s="22"/>
      <c r="W12" s="26" t="s">
        <v>240</v>
      </c>
      <c r="X12" s="21" t="s">
        <v>1201</v>
      </c>
      <c r="Y12" s="21" t="s">
        <v>247</v>
      </c>
      <c r="Z12" s="7" t="str">
        <f t="array" ref="Z12">_xlfn.XLOOKUP(X12,'측정 관리'!$A$5:$A$204,'측정 관리'!$K$5:$K$204,"",0)</f>
        <v/>
      </c>
    </row>
    <row r="13">
      <c r="A13" s="22">
        <v>7.0</v>
      </c>
      <c r="B13" s="22" t="s">
        <v>1206</v>
      </c>
      <c r="C13" s="37" t="s">
        <v>48</v>
      </c>
      <c r="D13" s="27">
        <v>3.0</v>
      </c>
      <c r="E13" s="28" t="s">
        <v>137</v>
      </c>
      <c r="F13" s="24">
        <v>6.0</v>
      </c>
      <c r="G13" s="24">
        <v>5360.0</v>
      </c>
      <c r="H13" s="22">
        <v>1.0</v>
      </c>
      <c r="I13" s="24">
        <v>124.0</v>
      </c>
      <c r="J13" s="24">
        <v>3.0008</v>
      </c>
      <c r="K13" s="30">
        <v>0.0242</v>
      </c>
      <c r="L13" s="22">
        <v>1.0</v>
      </c>
      <c r="M13" s="24">
        <v>124.0</v>
      </c>
      <c r="N13" s="24">
        <v>3.0008</v>
      </c>
      <c r="O13" s="30">
        <v>0.0242</v>
      </c>
      <c r="P13" s="22">
        <v>8.0</v>
      </c>
      <c r="Q13" s="24">
        <v>583.0</v>
      </c>
      <c r="R13" s="24">
        <v>2.8567</v>
      </c>
      <c r="S13" s="30">
        <v>0.0049</v>
      </c>
      <c r="T13" s="25">
        <v>0.1087686567164179</v>
      </c>
      <c r="U13" s="31">
        <v>-0.7873070325900515</v>
      </c>
      <c r="V13" s="22"/>
      <c r="W13" s="26" t="s">
        <v>1212</v>
      </c>
      <c r="X13" s="21" t="s">
        <v>1214</v>
      </c>
      <c r="Y13" s="21" t="s">
        <v>1215</v>
      </c>
      <c r="Z13" s="7" t="str">
        <f t="array" ref="Z13">_xlfn.XLOOKUP(X13,'측정 관리'!$A$5:$A$204,'측정 관리'!$K$5:$K$204,"",0)</f>
        <v>기간 확인 필요</v>
      </c>
    </row>
    <row r="14">
      <c r="A14" s="22">
        <v>8.0</v>
      </c>
      <c r="B14" s="22" t="s">
        <v>1220</v>
      </c>
      <c r="C14" s="37" t="s">
        <v>48</v>
      </c>
      <c r="D14" s="27">
        <v>2.0</v>
      </c>
      <c r="E14" s="28" t="s">
        <v>137</v>
      </c>
      <c r="F14" s="24">
        <v>6.0</v>
      </c>
      <c r="G14" s="24">
        <v>2879.0</v>
      </c>
      <c r="H14" s="22">
        <v>1.0</v>
      </c>
      <c r="I14" s="24">
        <v>14.0</v>
      </c>
      <c r="J14" s="24">
        <v>0.9996</v>
      </c>
      <c r="K14" s="30">
        <v>0.0714</v>
      </c>
      <c r="L14" s="22">
        <v>1.0</v>
      </c>
      <c r="M14" s="24">
        <v>14.0</v>
      </c>
      <c r="N14" s="24">
        <v>0.9996</v>
      </c>
      <c r="O14" s="30">
        <v>0.0714</v>
      </c>
      <c r="P14" s="22">
        <v>11.0</v>
      </c>
      <c r="Q14" s="24">
        <v>89.0</v>
      </c>
      <c r="R14" s="24">
        <v>1.9936</v>
      </c>
      <c r="S14" s="30">
        <v>0.0224</v>
      </c>
      <c r="T14" s="25">
        <v>0.03091351163598472</v>
      </c>
      <c r="U14" s="31">
        <v>-0.8426966292134832</v>
      </c>
      <c r="V14" s="22"/>
      <c r="W14" s="26" t="s">
        <v>602</v>
      </c>
      <c r="X14" s="21" t="s">
        <v>605</v>
      </c>
      <c r="Y14" s="21" t="s">
        <v>604</v>
      </c>
      <c r="Z14" s="7" t="str">
        <f t="array" ref="Z14">_xlfn.XLOOKUP(X14,'측정 관리'!$A$5:$A$204,'측정 관리'!$K$5:$K$204,"",0)</f>
        <v/>
      </c>
    </row>
    <row r="15">
      <c r="A15" s="22">
        <v>9.0</v>
      </c>
      <c r="B15" s="22" t="s">
        <v>1193</v>
      </c>
      <c r="C15" s="37" t="s">
        <v>48</v>
      </c>
      <c r="D15" s="27">
        <v>11.0</v>
      </c>
      <c r="E15" s="28" t="s">
        <v>137</v>
      </c>
      <c r="F15" s="24">
        <v>82.0</v>
      </c>
      <c r="G15" s="24">
        <v>17700.0</v>
      </c>
      <c r="H15" s="22">
        <v>1.0</v>
      </c>
      <c r="I15" s="24">
        <v>1295.0</v>
      </c>
      <c r="J15" s="22"/>
      <c r="K15" s="22"/>
      <c r="L15" s="22">
        <v>28.0</v>
      </c>
      <c r="M15" s="24">
        <v>1443.0</v>
      </c>
      <c r="N15" s="24">
        <v>24.8196</v>
      </c>
      <c r="O15" s="30">
        <v>0.0172</v>
      </c>
      <c r="P15" s="22"/>
      <c r="Q15" s="22"/>
      <c r="R15" s="22"/>
      <c r="S15" s="22"/>
      <c r="T15" s="22"/>
      <c r="U15" s="22"/>
      <c r="V15" s="22" t="s">
        <v>1240</v>
      </c>
      <c r="W15" s="26" t="s">
        <v>250</v>
      </c>
      <c r="X15" s="21" t="s">
        <v>1242</v>
      </c>
      <c r="Y15" s="21" t="s">
        <v>255</v>
      </c>
      <c r="Z15" s="7" t="str">
        <f t="array" ref="Z15">_xlfn.XLOOKUP(X15,'측정 관리'!$A$5:$A$204,'측정 관리'!$K$5:$K$204,"",0)</f>
        <v/>
      </c>
    </row>
    <row r="16">
      <c r="A16" s="22">
        <v>10.0</v>
      </c>
      <c r="B16" s="22" t="s">
        <v>1222</v>
      </c>
      <c r="C16" s="37" t="s">
        <v>48</v>
      </c>
      <c r="D16" s="27">
        <v>1.0</v>
      </c>
      <c r="E16" s="28" t="s">
        <v>137</v>
      </c>
      <c r="F16" s="22"/>
      <c r="G16" s="24">
        <v>1859.0</v>
      </c>
      <c r="H16" s="22">
        <v>5.0</v>
      </c>
      <c r="I16" s="24">
        <v>20.0</v>
      </c>
      <c r="J16" s="22"/>
      <c r="K16" s="22"/>
      <c r="L16" s="22">
        <v>5.0</v>
      </c>
      <c r="M16" s="24">
        <v>20.0</v>
      </c>
      <c r="N16" s="22"/>
      <c r="O16" s="22"/>
      <c r="P16" s="22">
        <v>7.0</v>
      </c>
      <c r="Q16" s="24">
        <v>36.0</v>
      </c>
      <c r="R16" s="22"/>
      <c r="S16" s="22"/>
      <c r="T16" s="25">
        <v>0.0193652501344809</v>
      </c>
      <c r="U16" s="31">
        <v>-0.4444444444444444</v>
      </c>
      <c r="V16" s="22"/>
      <c r="W16" s="26" t="s">
        <v>595</v>
      </c>
      <c r="X16" s="21" t="s">
        <v>1250</v>
      </c>
      <c r="Y16" s="21" t="s">
        <v>597</v>
      </c>
      <c r="Z16" s="7" t="str">
        <f t="array" ref="Z16">_xlfn.XLOOKUP(X16,'측정 관리'!$A$5:$A$204,'측정 관리'!$K$5:$K$204,"",0)</f>
        <v/>
      </c>
    </row>
    <row r="17">
      <c r="A17" s="22">
        <v>11.0</v>
      </c>
      <c r="B17" s="22" t="s">
        <v>1213</v>
      </c>
      <c r="C17" s="38" t="s">
        <v>54</v>
      </c>
      <c r="D17" s="27">
        <v>2.0</v>
      </c>
      <c r="E17" s="28" t="s">
        <v>137</v>
      </c>
      <c r="F17" s="24">
        <v>6.0</v>
      </c>
      <c r="G17" s="24">
        <v>7219.0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1254</v>
      </c>
      <c r="W17" s="26" t="s">
        <v>139</v>
      </c>
      <c r="X17" s="21" t="s">
        <v>1255</v>
      </c>
      <c r="Y17" s="21" t="s">
        <v>145</v>
      </c>
      <c r="Z17" s="7" t="str">
        <f t="array" ref="Z17">_xlfn.XLOOKUP(X17,'측정 관리'!$A$5:$A$204,'측정 관리'!$K$5:$K$204,"",0)</f>
        <v/>
      </c>
    </row>
    <row r="18">
      <c r="A18" s="22">
        <v>12.0</v>
      </c>
      <c r="B18" s="22" t="s">
        <v>1218</v>
      </c>
      <c r="C18" s="38" t="s">
        <v>54</v>
      </c>
      <c r="D18" s="27">
        <v>2.0</v>
      </c>
      <c r="E18" s="28" t="s">
        <v>137</v>
      </c>
      <c r="F18" s="22"/>
      <c r="G18" s="24">
        <v>2480.0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1258</v>
      </c>
      <c r="W18" s="26" t="s">
        <v>686</v>
      </c>
      <c r="X18" s="21" t="s">
        <v>692</v>
      </c>
      <c r="Y18" s="21" t="s">
        <v>690</v>
      </c>
      <c r="Z18" s="7" t="str">
        <f t="array" ref="Z18">_xlfn.XLOOKUP(X18,'측정 관리'!$A$5:$A$204,'측정 관리'!$K$5:$K$204,"",0)</f>
        <v/>
      </c>
    </row>
    <row r="19">
      <c r="A19" s="22">
        <v>13.0</v>
      </c>
      <c r="B19" s="22" t="s">
        <v>1231</v>
      </c>
      <c r="C19" s="38" t="s">
        <v>54</v>
      </c>
      <c r="D19" s="22"/>
      <c r="E19" s="22"/>
      <c r="F19" s="22"/>
      <c r="G19" s="24">
        <v>12.0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1261</v>
      </c>
      <c r="W19" s="26" t="s">
        <v>668</v>
      </c>
      <c r="X19" s="21" t="s">
        <v>673</v>
      </c>
      <c r="Y19" s="21" t="s">
        <v>672</v>
      </c>
      <c r="Z19" s="7" t="str">
        <f t="array" ref="Z19">_xlfn.XLOOKUP(X19,'측정 관리'!$A$5:$A$204,'측정 관리'!$K$5:$K$204,"",0)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W$19"/>
  <mergeCells count="6">
    <mergeCell ref="A5:C5"/>
    <mergeCell ref="D5:G5"/>
    <mergeCell ref="H5:K5"/>
    <mergeCell ref="L5:O5"/>
    <mergeCell ref="P5:S5"/>
    <mergeCell ref="T5:W5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6.0"/>
    <col customWidth="1" min="2" max="2" width="18.0"/>
    <col customWidth="1" min="3" max="3" width="7.0"/>
    <col customWidth="1" min="4" max="4" width="6.0"/>
    <col customWidth="1" min="5" max="6" width="9.0"/>
    <col customWidth="1" min="7" max="7" width="10.0"/>
    <col customWidth="1" min="8" max="9" width="8.0"/>
    <col customWidth="1" min="10" max="10" width="9.0"/>
    <col customWidth="1" min="11" max="11" width="10.0"/>
    <col customWidth="1" min="12" max="12" width="7.0"/>
    <col customWidth="1" min="13" max="13" width="10.0"/>
    <col customWidth="1" min="14" max="14" width="48.0"/>
    <col customWidth="1" min="15" max="26" width="8.71"/>
  </cols>
  <sheetData>
    <row r="1">
      <c r="A1" s="2" t="s">
        <v>1087</v>
      </c>
    </row>
    <row r="2">
      <c r="A2" s="4" t="s">
        <v>1089</v>
      </c>
    </row>
    <row r="3">
      <c r="A3" s="4" t="s">
        <v>1090</v>
      </c>
    </row>
    <row r="4">
      <c r="A4" s="4" t="s">
        <v>1091</v>
      </c>
    </row>
    <row r="6">
      <c r="A6" s="8"/>
      <c r="B6" s="10"/>
      <c r="C6" s="12" t="s">
        <v>22</v>
      </c>
      <c r="D6" s="9"/>
      <c r="E6" s="9"/>
      <c r="F6" s="10"/>
      <c r="G6" s="8"/>
      <c r="H6" s="9"/>
      <c r="I6" s="10"/>
      <c r="J6" s="12" t="s">
        <v>1096</v>
      </c>
      <c r="K6" s="9"/>
      <c r="L6" s="10"/>
      <c r="M6" s="8"/>
      <c r="N6" s="10"/>
    </row>
    <row r="7" ht="31.5" customHeight="1">
      <c r="A7" s="18" t="s">
        <v>84</v>
      </c>
      <c r="B7" s="18" t="s">
        <v>1098</v>
      </c>
      <c r="C7" s="18" t="s">
        <v>1099</v>
      </c>
      <c r="D7" s="18" t="s">
        <v>27</v>
      </c>
      <c r="E7" s="18" t="s">
        <v>1100</v>
      </c>
      <c r="F7" s="18" t="s">
        <v>72</v>
      </c>
      <c r="G7" s="18" t="s">
        <v>102</v>
      </c>
      <c r="H7" s="18" t="s">
        <v>1101</v>
      </c>
      <c r="I7" s="18" t="s">
        <v>53</v>
      </c>
      <c r="J7" s="18" t="s">
        <v>60</v>
      </c>
      <c r="K7" s="18" t="s">
        <v>68</v>
      </c>
      <c r="L7" s="18" t="s">
        <v>74</v>
      </c>
      <c r="M7" s="18" t="s">
        <v>1105</v>
      </c>
      <c r="N7" s="18" t="s">
        <v>1106</v>
      </c>
    </row>
    <row r="8">
      <c r="A8" s="22">
        <v>1.0</v>
      </c>
      <c r="B8" s="22" t="s">
        <v>386</v>
      </c>
      <c r="C8" s="27">
        <v>423.0</v>
      </c>
      <c r="D8" s="32" t="s">
        <v>190</v>
      </c>
      <c r="E8" s="22"/>
      <c r="F8" s="24">
        <v>3185.0</v>
      </c>
      <c r="G8" s="24">
        <v>352483.0</v>
      </c>
      <c r="H8" s="30">
        <v>0.009035896766652576</v>
      </c>
      <c r="I8" s="22" t="s">
        <v>802</v>
      </c>
      <c r="J8" s="29" t="s">
        <v>38</v>
      </c>
      <c r="K8" s="24">
        <v>38127.0</v>
      </c>
      <c r="L8" s="30">
        <v>0.0068</v>
      </c>
      <c r="M8" s="24">
        <v>14900.0</v>
      </c>
      <c r="N8" s="26" t="s">
        <v>1110</v>
      </c>
    </row>
    <row r="9">
      <c r="A9" s="22">
        <v>2.0</v>
      </c>
      <c r="B9" s="22" t="s">
        <v>607</v>
      </c>
      <c r="C9" s="27">
        <v>280.0</v>
      </c>
      <c r="D9" s="32" t="s">
        <v>190</v>
      </c>
      <c r="E9" s="22"/>
      <c r="F9" s="24">
        <v>2014.0</v>
      </c>
      <c r="G9" s="24">
        <v>263424.0</v>
      </c>
      <c r="H9" s="30">
        <v>0.007645468901846452</v>
      </c>
      <c r="I9" s="22" t="s">
        <v>802</v>
      </c>
      <c r="J9" s="34" t="s">
        <v>42</v>
      </c>
      <c r="K9" s="24">
        <v>14357.0</v>
      </c>
      <c r="L9" s="30">
        <v>0.0083</v>
      </c>
      <c r="M9" s="24">
        <v>11600.0</v>
      </c>
      <c r="N9" s="26" t="s">
        <v>1113</v>
      </c>
    </row>
    <row r="10">
      <c r="A10" s="22">
        <v>3.0</v>
      </c>
      <c r="B10" s="22" t="s">
        <v>253</v>
      </c>
      <c r="C10" s="27">
        <v>270.0</v>
      </c>
      <c r="D10" s="32" t="s">
        <v>190</v>
      </c>
      <c r="E10" s="22"/>
      <c r="F10" s="24">
        <v>2422.0</v>
      </c>
      <c r="G10" s="24">
        <v>550420.0</v>
      </c>
      <c r="H10" s="30">
        <v>0.004400276152756078</v>
      </c>
      <c r="I10" s="22" t="s">
        <v>802</v>
      </c>
      <c r="J10" s="23" t="s">
        <v>31</v>
      </c>
      <c r="K10" s="24">
        <v>85386.0</v>
      </c>
      <c r="L10" s="30">
        <v>0.0048</v>
      </c>
      <c r="M10" s="24">
        <v>61300.0</v>
      </c>
      <c r="N10" s="26" t="s">
        <v>1115</v>
      </c>
    </row>
    <row r="11">
      <c r="A11" s="22">
        <v>4.0</v>
      </c>
      <c r="B11" s="22" t="s">
        <v>186</v>
      </c>
      <c r="C11" s="27">
        <v>235.0</v>
      </c>
      <c r="D11" s="32" t="s">
        <v>190</v>
      </c>
      <c r="E11" s="22"/>
      <c r="F11" s="24">
        <v>2206.0</v>
      </c>
      <c r="G11" s="24">
        <v>742429.0</v>
      </c>
      <c r="H11" s="30">
        <v>0.002971327898021225</v>
      </c>
      <c r="I11" s="22" t="s">
        <v>802</v>
      </c>
      <c r="J11" s="23" t="s">
        <v>31</v>
      </c>
      <c r="K11" s="24">
        <v>89477.0</v>
      </c>
      <c r="L11" s="30">
        <v>0.0078</v>
      </c>
      <c r="M11" s="24">
        <v>8570.0</v>
      </c>
      <c r="N11" s="26" t="s">
        <v>1118</v>
      </c>
    </row>
    <row r="12">
      <c r="A12" s="22">
        <v>5.0</v>
      </c>
      <c r="B12" s="22" t="s">
        <v>437</v>
      </c>
      <c r="C12" s="27">
        <v>227.0</v>
      </c>
      <c r="D12" s="32" t="s">
        <v>190</v>
      </c>
      <c r="E12" s="22"/>
      <c r="F12" s="24">
        <v>1898.0</v>
      </c>
      <c r="G12" s="24">
        <v>272253.0</v>
      </c>
      <c r="H12" s="30">
        <v>0.006971456696528597</v>
      </c>
      <c r="I12" s="22" t="s">
        <v>802</v>
      </c>
      <c r="J12" s="29" t="s">
        <v>38</v>
      </c>
      <c r="K12" s="24">
        <v>23777.0</v>
      </c>
      <c r="L12" s="30">
        <v>0.0088</v>
      </c>
      <c r="M12" s="24">
        <v>30870.0</v>
      </c>
      <c r="N12" s="26" t="s">
        <v>1120</v>
      </c>
    </row>
    <row r="13">
      <c r="A13" s="22">
        <v>6.0</v>
      </c>
      <c r="B13" s="22" t="s">
        <v>303</v>
      </c>
      <c r="C13" s="27">
        <v>193.0</v>
      </c>
      <c r="D13" s="33" t="s">
        <v>214</v>
      </c>
      <c r="E13" s="22"/>
      <c r="F13" s="24">
        <v>1860.0</v>
      </c>
      <c r="G13" s="24">
        <v>563000.0</v>
      </c>
      <c r="H13" s="30">
        <v>0.003303730017761989</v>
      </c>
      <c r="I13" s="22" t="s">
        <v>802</v>
      </c>
      <c r="J13" s="29" t="s">
        <v>38</v>
      </c>
      <c r="K13" s="24">
        <v>65242.0</v>
      </c>
      <c r="L13" s="30">
        <v>0.0053</v>
      </c>
      <c r="M13" s="24">
        <v>114000.0</v>
      </c>
      <c r="N13" s="26" t="s">
        <v>1121</v>
      </c>
    </row>
    <row r="14">
      <c r="A14" s="22">
        <v>7.0</v>
      </c>
      <c r="B14" s="22" t="s">
        <v>576</v>
      </c>
      <c r="C14" s="27">
        <v>192.0</v>
      </c>
      <c r="D14" s="33" t="s">
        <v>214</v>
      </c>
      <c r="E14" s="22"/>
      <c r="F14" s="24">
        <v>1601.0</v>
      </c>
      <c r="G14" s="24">
        <v>415069.0</v>
      </c>
      <c r="H14" s="30">
        <v>0.003857190009371936</v>
      </c>
      <c r="I14" s="22" t="s">
        <v>802</v>
      </c>
      <c r="J14" s="29" t="s">
        <v>38</v>
      </c>
      <c r="K14" s="24">
        <v>20832.0</v>
      </c>
      <c r="L14" s="30">
        <v>0.0082</v>
      </c>
      <c r="M14" s="24">
        <v>7170.0</v>
      </c>
      <c r="N14" s="26" t="s">
        <v>1122</v>
      </c>
    </row>
    <row r="15">
      <c r="A15" s="22">
        <v>8.0</v>
      </c>
      <c r="B15" s="22" t="s">
        <v>680</v>
      </c>
      <c r="C15" s="27">
        <v>189.0</v>
      </c>
      <c r="D15" s="33" t="s">
        <v>214</v>
      </c>
      <c r="E15" s="22"/>
      <c r="F15" s="24">
        <v>1556.0</v>
      </c>
      <c r="G15" s="24">
        <v>377469.0</v>
      </c>
      <c r="H15" s="30">
        <v>0.004122192815833883</v>
      </c>
      <c r="I15" s="22" t="s">
        <v>802</v>
      </c>
      <c r="J15" s="34" t="s">
        <v>42</v>
      </c>
      <c r="K15" s="24">
        <v>19273.0</v>
      </c>
      <c r="L15" s="30">
        <v>0.005</v>
      </c>
      <c r="M15" s="24">
        <v>106000.0</v>
      </c>
      <c r="N15" s="26" t="s">
        <v>1124</v>
      </c>
    </row>
    <row r="16">
      <c r="A16" s="22">
        <v>9.0</v>
      </c>
      <c r="B16" s="22" t="s">
        <v>325</v>
      </c>
      <c r="C16" s="27">
        <v>163.0</v>
      </c>
      <c r="D16" s="33" t="s">
        <v>214</v>
      </c>
      <c r="E16" s="22"/>
      <c r="F16" s="24">
        <v>1645.0</v>
      </c>
      <c r="G16" s="24">
        <v>543000.0</v>
      </c>
      <c r="H16" s="30">
        <v>0.003029465930018416</v>
      </c>
      <c r="I16" s="22" t="s">
        <v>802</v>
      </c>
      <c r="J16" s="29" t="s">
        <v>38</v>
      </c>
      <c r="K16" s="24">
        <v>80343.0</v>
      </c>
      <c r="L16" s="30">
        <v>0.0041</v>
      </c>
      <c r="M16" s="24">
        <v>78377.0</v>
      </c>
      <c r="N16" s="26" t="s">
        <v>1126</v>
      </c>
    </row>
    <row r="17">
      <c r="A17" s="22">
        <v>10.0</v>
      </c>
      <c r="B17" s="22" t="s">
        <v>277</v>
      </c>
      <c r="C17" s="27">
        <v>153.0</v>
      </c>
      <c r="D17" s="33" t="s">
        <v>214</v>
      </c>
      <c r="E17" s="22"/>
      <c r="F17" s="24">
        <v>1234.0</v>
      </c>
      <c r="G17" s="24">
        <v>118197.0</v>
      </c>
      <c r="H17" s="30">
        <v>0.01044019729773175</v>
      </c>
      <c r="I17" s="22" t="s">
        <v>802</v>
      </c>
      <c r="J17" s="29" t="s">
        <v>38</v>
      </c>
      <c r="K17" s="24">
        <v>39946.0</v>
      </c>
      <c r="L17" s="30">
        <v>0.0096</v>
      </c>
      <c r="M17" s="24">
        <v>11924.0</v>
      </c>
      <c r="N17" s="26" t="s">
        <v>1127</v>
      </c>
    </row>
    <row r="18">
      <c r="A18" s="22">
        <v>11.0</v>
      </c>
      <c r="B18" s="22" t="s">
        <v>345</v>
      </c>
      <c r="C18" s="27">
        <v>145.0</v>
      </c>
      <c r="D18" s="33" t="s">
        <v>214</v>
      </c>
      <c r="E18" s="22"/>
      <c r="F18" s="24">
        <v>1257.0</v>
      </c>
      <c r="G18" s="24">
        <v>232451.0</v>
      </c>
      <c r="H18" s="30">
        <v>0.005407591277301452</v>
      </c>
      <c r="I18" s="22" t="s">
        <v>802</v>
      </c>
      <c r="J18" s="29" t="s">
        <v>38</v>
      </c>
      <c r="K18" s="24">
        <v>25898.0</v>
      </c>
      <c r="L18" s="30">
        <v>0.0113</v>
      </c>
      <c r="M18" s="24">
        <v>11800.0</v>
      </c>
      <c r="N18" s="26" t="s">
        <v>1129</v>
      </c>
    </row>
    <row r="19">
      <c r="A19" s="22">
        <v>12.0</v>
      </c>
      <c r="B19" s="22" t="s">
        <v>503</v>
      </c>
      <c r="C19" s="27">
        <v>143.0</v>
      </c>
      <c r="D19" s="33" t="s">
        <v>214</v>
      </c>
      <c r="E19" s="22"/>
      <c r="F19" s="24">
        <v>1249.0</v>
      </c>
      <c r="G19" s="24">
        <v>403000.0</v>
      </c>
      <c r="H19" s="30">
        <v>0.003099255583126551</v>
      </c>
      <c r="I19" s="22" t="s">
        <v>802</v>
      </c>
      <c r="J19" s="29" t="s">
        <v>38</v>
      </c>
      <c r="K19" s="24">
        <v>35672.0</v>
      </c>
      <c r="L19" s="30">
        <v>0.0048</v>
      </c>
      <c r="M19" s="24">
        <v>14300.0</v>
      </c>
      <c r="N19" s="26" t="s">
        <v>1134</v>
      </c>
    </row>
    <row r="20">
      <c r="A20" s="22">
        <v>13.0</v>
      </c>
      <c r="B20" s="22" t="s">
        <v>235</v>
      </c>
      <c r="C20" s="27">
        <v>133.0</v>
      </c>
      <c r="D20" s="33" t="s">
        <v>214</v>
      </c>
      <c r="E20" s="22"/>
      <c r="F20" s="24">
        <v>1208.0</v>
      </c>
      <c r="G20" s="24">
        <v>610000.0</v>
      </c>
      <c r="H20" s="30">
        <v>0.001980327868852459</v>
      </c>
      <c r="I20" s="22" t="s">
        <v>802</v>
      </c>
      <c r="J20" s="23" t="s">
        <v>31</v>
      </c>
      <c r="K20" s="24">
        <v>85107.0</v>
      </c>
      <c r="L20" s="30">
        <v>0.0066</v>
      </c>
      <c r="M20" s="24">
        <v>28200.0</v>
      </c>
      <c r="N20" s="26" t="s">
        <v>1135</v>
      </c>
    </row>
    <row r="21" ht="15.75" customHeight="1">
      <c r="A21" s="22">
        <v>14.0</v>
      </c>
      <c r="B21" s="22" t="s">
        <v>854</v>
      </c>
      <c r="C21" s="27">
        <v>133.0</v>
      </c>
      <c r="D21" s="33" t="s">
        <v>214</v>
      </c>
      <c r="E21" s="22"/>
      <c r="F21" s="24">
        <v>1138.0</v>
      </c>
      <c r="G21" s="24">
        <v>132000.0</v>
      </c>
      <c r="H21" s="30">
        <v>0.008621212121212122</v>
      </c>
      <c r="I21" s="22" t="s">
        <v>802</v>
      </c>
      <c r="J21" s="37" t="s">
        <v>48</v>
      </c>
      <c r="K21" s="24">
        <v>6494.0</v>
      </c>
      <c r="L21" s="30">
        <v>0.0065</v>
      </c>
      <c r="M21" s="24">
        <v>16260.0</v>
      </c>
      <c r="N21" s="26" t="s">
        <v>1139</v>
      </c>
    </row>
    <row r="22" ht="15.75" customHeight="1">
      <c r="A22" s="22">
        <v>15.0</v>
      </c>
      <c r="B22" s="22" t="s">
        <v>211</v>
      </c>
      <c r="C22" s="27">
        <v>128.0</v>
      </c>
      <c r="D22" s="33" t="s">
        <v>214</v>
      </c>
      <c r="E22" s="22"/>
      <c r="F22" s="24">
        <v>990.0</v>
      </c>
      <c r="G22" s="24">
        <v>175000.0</v>
      </c>
      <c r="H22" s="30">
        <v>0.005657142857142857</v>
      </c>
      <c r="I22" s="22" t="s">
        <v>802</v>
      </c>
      <c r="J22" s="23" t="s">
        <v>31</v>
      </c>
      <c r="K22" s="24">
        <v>74045.0</v>
      </c>
      <c r="L22" s="30">
        <v>0.0089</v>
      </c>
      <c r="M22" s="24">
        <v>11093.0</v>
      </c>
      <c r="N22" s="26" t="s">
        <v>1144</v>
      </c>
    </row>
    <row r="23" ht="15.75" customHeight="1">
      <c r="A23" s="22">
        <v>16.0</v>
      </c>
      <c r="B23" s="22" t="s">
        <v>368</v>
      </c>
      <c r="C23" s="27">
        <v>121.0</v>
      </c>
      <c r="D23" s="33" t="s">
        <v>214</v>
      </c>
      <c r="E23" s="22"/>
      <c r="F23" s="24">
        <v>876.0</v>
      </c>
      <c r="G23" s="24">
        <v>128000.0</v>
      </c>
      <c r="H23" s="30">
        <v>0.00684375</v>
      </c>
      <c r="I23" s="22" t="s">
        <v>802</v>
      </c>
      <c r="J23" s="29" t="s">
        <v>38</v>
      </c>
      <c r="K23" s="24">
        <v>26419.0</v>
      </c>
      <c r="L23" s="30">
        <v>0.0109</v>
      </c>
      <c r="M23" s="24">
        <v>7090.0</v>
      </c>
      <c r="N23" s="26" t="s">
        <v>1145</v>
      </c>
    </row>
    <row r="24" ht="15.75" customHeight="1">
      <c r="A24" s="22">
        <v>17.0</v>
      </c>
      <c r="B24" s="22" t="s">
        <v>812</v>
      </c>
      <c r="C24" s="27">
        <v>91.0</v>
      </c>
      <c r="D24" s="36" t="s">
        <v>410</v>
      </c>
      <c r="E24" s="22"/>
      <c r="F24" s="24">
        <v>547.0</v>
      </c>
      <c r="G24" s="24">
        <v>18500.0</v>
      </c>
      <c r="H24" s="30">
        <v>0.02956756756756757</v>
      </c>
      <c r="I24" s="22" t="s">
        <v>802</v>
      </c>
      <c r="J24" s="34" t="s">
        <v>42</v>
      </c>
      <c r="K24" s="24">
        <v>10491.0</v>
      </c>
      <c r="L24" s="30">
        <v>0.0062</v>
      </c>
      <c r="M24" s="24">
        <v>8522.0</v>
      </c>
      <c r="N24" s="26" t="s">
        <v>1146</v>
      </c>
    </row>
    <row r="25" ht="15.75" customHeight="1">
      <c r="A25" s="22">
        <v>18.0</v>
      </c>
      <c r="B25" s="22" t="s">
        <v>942</v>
      </c>
      <c r="C25" s="27">
        <v>65.0</v>
      </c>
      <c r="D25" s="36" t="s">
        <v>410</v>
      </c>
      <c r="E25" s="22"/>
      <c r="F25" s="24">
        <v>524.0</v>
      </c>
      <c r="G25" s="24">
        <v>31000.0</v>
      </c>
      <c r="H25" s="30">
        <v>0.01690322580645161</v>
      </c>
      <c r="I25" s="22" t="s">
        <v>802</v>
      </c>
      <c r="J25" s="37" t="s">
        <v>48</v>
      </c>
      <c r="K25" s="24">
        <v>5332.0</v>
      </c>
      <c r="L25" s="30">
        <v>0.004</v>
      </c>
      <c r="M25" s="24">
        <v>2510.0</v>
      </c>
      <c r="N25" s="26" t="s">
        <v>1148</v>
      </c>
    </row>
    <row r="26" ht="15.75" customHeight="1">
      <c r="A26" s="22">
        <v>19.0</v>
      </c>
      <c r="B26" s="22" t="s">
        <v>408</v>
      </c>
      <c r="C26" s="27">
        <v>59.0</v>
      </c>
      <c r="D26" s="36" t="s">
        <v>410</v>
      </c>
      <c r="E26" s="22"/>
      <c r="F26" s="24">
        <v>447.0</v>
      </c>
      <c r="G26" s="24">
        <v>66900.0</v>
      </c>
      <c r="H26" s="30">
        <v>0.006681614349775785</v>
      </c>
      <c r="I26" s="22" t="s">
        <v>802</v>
      </c>
      <c r="J26" s="29" t="s">
        <v>38</v>
      </c>
      <c r="K26" s="24">
        <v>19233.0</v>
      </c>
      <c r="L26" s="30">
        <v>0.0117</v>
      </c>
      <c r="M26" s="24">
        <v>42100.0</v>
      </c>
      <c r="N26" s="26" t="s">
        <v>1152</v>
      </c>
    </row>
    <row r="27" ht="15.75" customHeight="1">
      <c r="A27" s="22">
        <v>20.0</v>
      </c>
      <c r="B27" s="22" t="s">
        <v>909</v>
      </c>
      <c r="C27" s="27">
        <v>57.0</v>
      </c>
      <c r="D27" s="36" t="s">
        <v>410</v>
      </c>
      <c r="E27" s="22"/>
      <c r="F27" s="24">
        <v>403.0</v>
      </c>
      <c r="G27" s="24">
        <v>46100.0</v>
      </c>
      <c r="H27" s="30">
        <v>0.008741865509761389</v>
      </c>
      <c r="I27" s="22" t="s">
        <v>802</v>
      </c>
      <c r="J27" s="37" t="s">
        <v>48</v>
      </c>
      <c r="K27" s="24">
        <v>3489.0</v>
      </c>
      <c r="L27" s="30">
        <v>0.0076</v>
      </c>
      <c r="M27" s="24">
        <v>2207.0</v>
      </c>
      <c r="N27" s="26" t="s">
        <v>1154</v>
      </c>
    </row>
    <row r="28" ht="15.75" customHeight="1">
      <c r="A28" s="22">
        <v>21.0</v>
      </c>
      <c r="B28" s="22" t="s">
        <v>715</v>
      </c>
      <c r="C28" s="27">
        <v>52.0</v>
      </c>
      <c r="D28" s="36" t="s">
        <v>410</v>
      </c>
      <c r="E28" s="22"/>
      <c r="F28" s="24">
        <v>503.0</v>
      </c>
      <c r="G28" s="24">
        <v>185000.0</v>
      </c>
      <c r="H28" s="30">
        <v>0.002718918918918919</v>
      </c>
      <c r="I28" s="22" t="s">
        <v>802</v>
      </c>
      <c r="J28" s="34" t="s">
        <v>42</v>
      </c>
      <c r="K28" s="24">
        <v>15729.0</v>
      </c>
      <c r="L28" s="30">
        <v>0.0058</v>
      </c>
      <c r="M28" s="24">
        <v>85600.0</v>
      </c>
      <c r="N28" s="26" t="s">
        <v>1157</v>
      </c>
    </row>
    <row r="29" ht="15.75" customHeight="1">
      <c r="A29" s="22">
        <v>22.0</v>
      </c>
      <c r="B29" s="22" t="s">
        <v>470</v>
      </c>
      <c r="C29" s="27">
        <v>47.0</v>
      </c>
      <c r="D29" s="36" t="s">
        <v>410</v>
      </c>
      <c r="E29" s="22"/>
      <c r="F29" s="24">
        <v>444.0</v>
      </c>
      <c r="G29" s="24">
        <v>58015.0</v>
      </c>
      <c r="H29" s="30">
        <v>0.007653193139705248</v>
      </c>
      <c r="I29" s="22" t="s">
        <v>802</v>
      </c>
      <c r="J29" s="29" t="s">
        <v>38</v>
      </c>
      <c r="K29" s="24">
        <v>5438.0</v>
      </c>
      <c r="L29" s="30">
        <v>0.0371</v>
      </c>
      <c r="M29" s="24">
        <v>305.0</v>
      </c>
      <c r="N29" s="26" t="s">
        <v>1158</v>
      </c>
    </row>
    <row r="30" ht="15.75" customHeight="1">
      <c r="A30" s="22">
        <v>23.0</v>
      </c>
      <c r="B30" s="22" t="s">
        <v>642</v>
      </c>
      <c r="C30" s="27">
        <v>46.0</v>
      </c>
      <c r="D30" s="36" t="s">
        <v>410</v>
      </c>
      <c r="E30" s="22"/>
      <c r="F30" s="24">
        <v>413.0</v>
      </c>
      <c r="G30" s="24">
        <v>18700.0</v>
      </c>
      <c r="H30" s="30">
        <v>0.0220855614973262</v>
      </c>
      <c r="I30" s="22" t="s">
        <v>802</v>
      </c>
      <c r="J30" s="34" t="s">
        <v>42</v>
      </c>
      <c r="K30" s="24">
        <v>7805.0</v>
      </c>
      <c r="L30" s="30">
        <v>0.0148</v>
      </c>
      <c r="M30" s="24">
        <v>4026.0</v>
      </c>
      <c r="N30" s="26" t="s">
        <v>1159</v>
      </c>
    </row>
    <row r="31" ht="15.75" customHeight="1">
      <c r="A31" s="22">
        <v>24.0</v>
      </c>
      <c r="B31" s="22" t="s">
        <v>786</v>
      </c>
      <c r="C31" s="27">
        <v>46.0</v>
      </c>
      <c r="D31" s="36" t="s">
        <v>410</v>
      </c>
      <c r="E31" s="22"/>
      <c r="F31" s="24">
        <v>436.0</v>
      </c>
      <c r="G31" s="24">
        <v>30300.0</v>
      </c>
      <c r="H31" s="30">
        <v>0.01438943894389439</v>
      </c>
      <c r="I31" s="22" t="s">
        <v>802</v>
      </c>
      <c r="J31" s="34" t="s">
        <v>42</v>
      </c>
      <c r="K31" s="24">
        <v>5881.0</v>
      </c>
      <c r="L31" s="30">
        <v>0.0135</v>
      </c>
      <c r="M31" s="24">
        <v>571.0</v>
      </c>
      <c r="N31" s="26" t="s">
        <v>1163</v>
      </c>
    </row>
    <row r="32" ht="15.75" customHeight="1">
      <c r="A32" s="22">
        <v>25.0</v>
      </c>
      <c r="B32" s="22" t="s">
        <v>911</v>
      </c>
      <c r="C32" s="27">
        <v>39.0</v>
      </c>
      <c r="D32" s="35" t="s">
        <v>239</v>
      </c>
      <c r="E32" s="22"/>
      <c r="F32" s="24">
        <v>255.0</v>
      </c>
      <c r="G32" s="24">
        <v>23300.0</v>
      </c>
      <c r="H32" s="30">
        <v>0.01094420600858369</v>
      </c>
      <c r="I32" s="22" t="s">
        <v>802</v>
      </c>
      <c r="J32" s="38" t="s">
        <v>54</v>
      </c>
      <c r="K32" s="24">
        <v>855.0</v>
      </c>
      <c r="L32" s="30">
        <v>0.0105</v>
      </c>
      <c r="M32" s="24">
        <v>35300.0</v>
      </c>
      <c r="N32" s="26" t="s">
        <v>1167</v>
      </c>
    </row>
    <row r="33" ht="15.75" customHeight="1">
      <c r="A33" s="22">
        <v>26.0</v>
      </c>
      <c r="B33" s="22" t="s">
        <v>950</v>
      </c>
      <c r="C33" s="27">
        <v>30.0</v>
      </c>
      <c r="D33" s="35" t="s">
        <v>239</v>
      </c>
      <c r="E33" s="22"/>
      <c r="F33" s="24">
        <v>261.0</v>
      </c>
      <c r="G33" s="24">
        <v>25900.0</v>
      </c>
      <c r="H33" s="30">
        <v>0.01007722007722008</v>
      </c>
      <c r="I33" s="22" t="s">
        <v>802</v>
      </c>
      <c r="J33" s="37" t="s">
        <v>48</v>
      </c>
      <c r="K33" s="24">
        <v>714.0</v>
      </c>
      <c r="L33" s="30">
        <v>0.005</v>
      </c>
      <c r="M33" s="24">
        <v>444.0</v>
      </c>
      <c r="N33" s="26" t="s">
        <v>1168</v>
      </c>
    </row>
    <row r="34" ht="15.75" customHeight="1">
      <c r="A34" s="22">
        <v>27.0</v>
      </c>
      <c r="B34" s="22" t="s">
        <v>832</v>
      </c>
      <c r="C34" s="27">
        <v>26.0</v>
      </c>
      <c r="D34" s="35" t="s">
        <v>239</v>
      </c>
      <c r="E34" s="22"/>
      <c r="F34" s="24">
        <v>193.0</v>
      </c>
      <c r="G34" s="24">
        <v>32600.0</v>
      </c>
      <c r="H34" s="30">
        <v>0.005920245398773006</v>
      </c>
      <c r="I34" s="22" t="s">
        <v>802</v>
      </c>
      <c r="J34" s="34" t="s">
        <v>42</v>
      </c>
      <c r="K34" s="24">
        <v>5937.0</v>
      </c>
      <c r="L34" s="30">
        <v>0.0098</v>
      </c>
      <c r="M34" s="24">
        <v>4961.0</v>
      </c>
      <c r="N34" s="26" t="s">
        <v>1171</v>
      </c>
    </row>
    <row r="35" ht="15.75" customHeight="1">
      <c r="A35" s="22">
        <v>28.0</v>
      </c>
      <c r="B35" s="22" t="s">
        <v>960</v>
      </c>
      <c r="C35" s="27">
        <v>24.0</v>
      </c>
      <c r="D35" s="35" t="s">
        <v>239</v>
      </c>
      <c r="E35" s="22"/>
      <c r="F35" s="24">
        <v>192.0</v>
      </c>
      <c r="G35" s="24">
        <v>44470.0</v>
      </c>
      <c r="H35" s="30">
        <v>0.004317517427479199</v>
      </c>
      <c r="I35" s="22" t="s">
        <v>802</v>
      </c>
      <c r="J35" s="37" t="s">
        <v>48</v>
      </c>
      <c r="K35" s="24">
        <v>1608.0</v>
      </c>
      <c r="L35" s="30">
        <v>0.0018</v>
      </c>
      <c r="M35" s="24">
        <v>9662.0</v>
      </c>
      <c r="N35" s="26" t="s">
        <v>1172</v>
      </c>
    </row>
    <row r="36" ht="15.75" customHeight="1">
      <c r="A36" s="22">
        <v>29.0</v>
      </c>
      <c r="B36" s="22" t="s">
        <v>890</v>
      </c>
      <c r="C36" s="27">
        <v>24.0</v>
      </c>
      <c r="D36" s="35" t="s">
        <v>239</v>
      </c>
      <c r="E36" s="22"/>
      <c r="F36" s="24">
        <v>201.0</v>
      </c>
      <c r="G36" s="24">
        <v>22800.0</v>
      </c>
      <c r="H36" s="30">
        <v>0.008815789473684211</v>
      </c>
      <c r="I36" s="22" t="s">
        <v>802</v>
      </c>
      <c r="J36" s="37" t="s">
        <v>48</v>
      </c>
      <c r="K36" s="24">
        <v>2009.0</v>
      </c>
      <c r="L36" s="30">
        <v>0.0135</v>
      </c>
      <c r="M36" s="24">
        <v>2526.0</v>
      </c>
      <c r="N36" s="26" t="s">
        <v>1174</v>
      </c>
    </row>
    <row r="37" ht="15.75" customHeight="1">
      <c r="A37" s="22">
        <v>30.0</v>
      </c>
      <c r="B37" s="22" t="s">
        <v>973</v>
      </c>
      <c r="C37" s="27">
        <v>22.0</v>
      </c>
      <c r="D37" s="35" t="s">
        <v>239</v>
      </c>
      <c r="E37" s="22"/>
      <c r="F37" s="24">
        <v>163.0</v>
      </c>
      <c r="G37" s="24">
        <v>56300.0</v>
      </c>
      <c r="H37" s="30">
        <v>0.002895204262877442</v>
      </c>
      <c r="I37" s="22" t="s">
        <v>802</v>
      </c>
      <c r="J37" s="37" t="s">
        <v>48</v>
      </c>
      <c r="K37" s="22"/>
      <c r="L37" s="22"/>
      <c r="M37" s="24">
        <v>420.0</v>
      </c>
      <c r="N37" s="26" t="s">
        <v>1176</v>
      </c>
    </row>
    <row r="38" ht="15.75" customHeight="1">
      <c r="A38" s="22">
        <v>31.0</v>
      </c>
      <c r="B38" s="22" t="s">
        <v>996</v>
      </c>
      <c r="C38" s="27">
        <v>21.0</v>
      </c>
      <c r="D38" s="35" t="s">
        <v>239</v>
      </c>
      <c r="E38" s="22"/>
      <c r="F38" s="24">
        <v>199.0</v>
      </c>
      <c r="G38" s="24">
        <v>33700.0</v>
      </c>
      <c r="H38" s="30">
        <v>0.005905044510385757</v>
      </c>
      <c r="I38" s="22" t="s">
        <v>802</v>
      </c>
      <c r="J38" s="38" t="s">
        <v>54</v>
      </c>
      <c r="K38" s="22"/>
      <c r="L38" s="22"/>
      <c r="M38" s="24">
        <v>3968.0</v>
      </c>
      <c r="N38" s="26" t="s">
        <v>1180</v>
      </c>
    </row>
    <row r="39" ht="15.75" customHeight="1">
      <c r="A39" s="22">
        <v>32.0</v>
      </c>
      <c r="B39" s="22" t="s">
        <v>795</v>
      </c>
      <c r="C39" s="27">
        <v>20.0</v>
      </c>
      <c r="D39" s="35" t="s">
        <v>239</v>
      </c>
      <c r="E39" s="22"/>
      <c r="F39" s="24">
        <v>175.0</v>
      </c>
      <c r="G39" s="24">
        <v>50776.0</v>
      </c>
      <c r="H39" s="30">
        <v>0.003446510162281393</v>
      </c>
      <c r="I39" s="22" t="s">
        <v>802</v>
      </c>
      <c r="J39" s="34" t="s">
        <v>42</v>
      </c>
      <c r="K39" s="24">
        <v>22663.0</v>
      </c>
      <c r="L39" s="30">
        <v>0.0034</v>
      </c>
      <c r="M39" s="24">
        <v>69.0</v>
      </c>
      <c r="N39" s="26" t="s">
        <v>1181</v>
      </c>
    </row>
    <row r="40" ht="15.75" customHeight="1">
      <c r="A40" s="22">
        <v>33.0</v>
      </c>
      <c r="B40" s="22" t="s">
        <v>1178</v>
      </c>
      <c r="C40" s="27">
        <v>18.0</v>
      </c>
      <c r="D40" s="35" t="s">
        <v>239</v>
      </c>
      <c r="E40" s="22"/>
      <c r="F40" s="24">
        <v>149.0</v>
      </c>
      <c r="G40" s="24">
        <v>20700.0</v>
      </c>
      <c r="H40" s="30">
        <v>0.007198067632850242</v>
      </c>
      <c r="I40" s="22" t="s">
        <v>98</v>
      </c>
      <c r="J40" s="37" t="s">
        <v>48</v>
      </c>
      <c r="K40" s="24">
        <v>460.0</v>
      </c>
      <c r="L40" s="30">
        <v>0.0123</v>
      </c>
      <c r="M40" s="24">
        <v>1325.0</v>
      </c>
      <c r="N40" s="26" t="s">
        <v>1184</v>
      </c>
    </row>
    <row r="41" ht="15.75" customHeight="1">
      <c r="A41" s="22">
        <v>34.0</v>
      </c>
      <c r="B41" s="22" t="s">
        <v>1186</v>
      </c>
      <c r="C41" s="27">
        <v>17.0</v>
      </c>
      <c r="D41" s="35" t="s">
        <v>239</v>
      </c>
      <c r="E41" s="22"/>
      <c r="F41" s="24">
        <v>164.0</v>
      </c>
      <c r="G41" s="24">
        <v>32200.0</v>
      </c>
      <c r="H41" s="30">
        <v>0.005093167701863354</v>
      </c>
      <c r="I41" s="22" t="s">
        <v>98</v>
      </c>
      <c r="J41" s="37" t="s">
        <v>48</v>
      </c>
      <c r="K41" s="24">
        <v>782.0</v>
      </c>
      <c r="L41" s="30">
        <v>0.0054</v>
      </c>
      <c r="M41" s="24">
        <v>16800.0</v>
      </c>
      <c r="N41" s="26" t="s">
        <v>1188</v>
      </c>
    </row>
    <row r="42" ht="15.75" customHeight="1">
      <c r="A42" s="22">
        <v>35.0</v>
      </c>
      <c r="B42" s="22" t="s">
        <v>979</v>
      </c>
      <c r="C42" s="27">
        <v>17.0</v>
      </c>
      <c r="D42" s="35" t="s">
        <v>239</v>
      </c>
      <c r="E42" s="22"/>
      <c r="F42" s="24">
        <v>136.0</v>
      </c>
      <c r="G42" s="24">
        <v>52300.0</v>
      </c>
      <c r="H42" s="30">
        <v>0.00260038240917782</v>
      </c>
      <c r="I42" s="22" t="s">
        <v>802</v>
      </c>
      <c r="J42" s="38" t="s">
        <v>54</v>
      </c>
      <c r="K42" s="24">
        <v>3065.0</v>
      </c>
      <c r="L42" s="30">
        <v>0.017</v>
      </c>
      <c r="M42" s="24">
        <v>73900.0</v>
      </c>
      <c r="N42" s="26" t="s">
        <v>1191</v>
      </c>
    </row>
    <row r="43" ht="15.75" customHeight="1">
      <c r="A43" s="22">
        <v>36.0</v>
      </c>
      <c r="B43" s="22" t="s">
        <v>747</v>
      </c>
      <c r="C43" s="27">
        <v>12.0</v>
      </c>
      <c r="D43" s="28" t="s">
        <v>137</v>
      </c>
      <c r="E43" s="22"/>
      <c r="F43" s="24">
        <v>118.0</v>
      </c>
      <c r="G43" s="24">
        <v>95473.0</v>
      </c>
      <c r="H43" s="30">
        <v>0.001235951525562201</v>
      </c>
      <c r="I43" s="22" t="s">
        <v>802</v>
      </c>
      <c r="J43" s="34" t="s">
        <v>42</v>
      </c>
      <c r="K43" s="24">
        <v>28303.0</v>
      </c>
      <c r="L43" s="30">
        <v>0.0031</v>
      </c>
      <c r="M43" s="24">
        <v>37955.0</v>
      </c>
      <c r="N43" s="26" t="s">
        <v>1192</v>
      </c>
    </row>
    <row r="44" ht="15.75" customHeight="1">
      <c r="A44" s="22">
        <v>37.0</v>
      </c>
      <c r="B44" s="22" t="s">
        <v>1193</v>
      </c>
      <c r="C44" s="27">
        <v>11.0</v>
      </c>
      <c r="D44" s="28" t="s">
        <v>137</v>
      </c>
      <c r="E44" s="22"/>
      <c r="F44" s="24">
        <v>82.0</v>
      </c>
      <c r="G44" s="24">
        <v>17700.0</v>
      </c>
      <c r="H44" s="30">
        <v>0.004632768361581921</v>
      </c>
      <c r="I44" s="22" t="s">
        <v>98</v>
      </c>
      <c r="J44" s="37" t="s">
        <v>48</v>
      </c>
      <c r="K44" s="22"/>
      <c r="L44" s="22"/>
      <c r="M44" s="24">
        <v>8035.0</v>
      </c>
      <c r="N44" s="26" t="s">
        <v>1195</v>
      </c>
    </row>
    <row r="45" ht="15.75" customHeight="1">
      <c r="A45" s="22">
        <v>38.0</v>
      </c>
      <c r="B45" s="22" t="s">
        <v>769</v>
      </c>
      <c r="C45" s="27">
        <v>8.0</v>
      </c>
      <c r="D45" s="28" t="s">
        <v>137</v>
      </c>
      <c r="E45" s="22" t="s">
        <v>1196</v>
      </c>
      <c r="F45" s="24">
        <v>79.0</v>
      </c>
      <c r="G45" s="24">
        <v>61000.0</v>
      </c>
      <c r="H45" s="30">
        <v>0.001295081967213115</v>
      </c>
      <c r="I45" s="22" t="s">
        <v>802</v>
      </c>
      <c r="J45" s="34" t="s">
        <v>42</v>
      </c>
      <c r="K45" s="24">
        <v>12384.0</v>
      </c>
      <c r="L45" s="30">
        <v>0.0068</v>
      </c>
      <c r="M45" s="24">
        <v>8096.0</v>
      </c>
      <c r="N45" s="26" t="s">
        <v>1197</v>
      </c>
    </row>
    <row r="46" ht="15.75" customHeight="1">
      <c r="A46" s="22">
        <v>39.0</v>
      </c>
      <c r="B46" s="22" t="s">
        <v>1010</v>
      </c>
      <c r="C46" s="27">
        <v>7.0</v>
      </c>
      <c r="D46" s="28" t="s">
        <v>137</v>
      </c>
      <c r="E46" s="22"/>
      <c r="F46" s="24">
        <v>62.0</v>
      </c>
      <c r="G46" s="24">
        <v>9060.0</v>
      </c>
      <c r="H46" s="30">
        <v>0.006843267108167771</v>
      </c>
      <c r="I46" s="22" t="s">
        <v>802</v>
      </c>
      <c r="J46" s="38" t="s">
        <v>54</v>
      </c>
      <c r="K46" s="22"/>
      <c r="L46" s="22"/>
      <c r="M46" s="24">
        <v>184.0</v>
      </c>
      <c r="N46" s="26" t="s">
        <v>1198</v>
      </c>
    </row>
    <row r="47" ht="15.75" customHeight="1">
      <c r="A47" s="22">
        <v>40.0</v>
      </c>
      <c r="B47" s="22" t="s">
        <v>1149</v>
      </c>
      <c r="C47" s="27">
        <v>6.0</v>
      </c>
      <c r="D47" s="28" t="s">
        <v>137</v>
      </c>
      <c r="E47" s="22"/>
      <c r="F47" s="24">
        <v>68.0</v>
      </c>
      <c r="G47" s="24">
        <v>14700.0</v>
      </c>
      <c r="H47" s="30">
        <v>0.004625850340136055</v>
      </c>
      <c r="I47" s="22" t="s">
        <v>98</v>
      </c>
      <c r="J47" s="37" t="s">
        <v>48</v>
      </c>
      <c r="K47" s="24">
        <v>1961.0</v>
      </c>
      <c r="L47" s="30">
        <v>0.0129</v>
      </c>
      <c r="M47" s="24">
        <v>6620.0</v>
      </c>
      <c r="N47" s="26" t="s">
        <v>1202</v>
      </c>
    </row>
    <row r="48" ht="15.75" customHeight="1">
      <c r="A48" s="22">
        <v>41.0</v>
      </c>
      <c r="B48" s="22" t="s">
        <v>874</v>
      </c>
      <c r="C48" s="27">
        <v>5.0</v>
      </c>
      <c r="D48" s="28" t="s">
        <v>137</v>
      </c>
      <c r="E48" s="22" t="s">
        <v>1196</v>
      </c>
      <c r="F48" s="24">
        <v>59.0</v>
      </c>
      <c r="G48" s="24">
        <v>45300.0</v>
      </c>
      <c r="H48" s="30">
        <v>0.00130242825607064</v>
      </c>
      <c r="I48" s="22" t="s">
        <v>802</v>
      </c>
      <c r="J48" s="37" t="s">
        <v>48</v>
      </c>
      <c r="K48" s="24">
        <v>9013.0</v>
      </c>
      <c r="L48" s="30">
        <v>0.0031</v>
      </c>
      <c r="M48" s="24">
        <v>8198.0</v>
      </c>
      <c r="N48" s="26" t="s">
        <v>1204</v>
      </c>
    </row>
    <row r="49" ht="15.75" customHeight="1">
      <c r="A49" s="22">
        <v>42.0</v>
      </c>
      <c r="B49" s="22" t="s">
        <v>1130</v>
      </c>
      <c r="C49" s="27">
        <v>4.0</v>
      </c>
      <c r="D49" s="28" t="s">
        <v>137</v>
      </c>
      <c r="E49" s="22"/>
      <c r="F49" s="24">
        <v>51.0</v>
      </c>
      <c r="G49" s="24">
        <v>19100.0</v>
      </c>
      <c r="H49" s="30">
        <v>0.002670157068062827</v>
      </c>
      <c r="I49" s="22" t="s">
        <v>98</v>
      </c>
      <c r="J49" s="37" t="s">
        <v>48</v>
      </c>
      <c r="K49" s="24">
        <v>910.0</v>
      </c>
      <c r="L49" s="30">
        <v>0.0292</v>
      </c>
      <c r="M49" s="24">
        <v>7606.0</v>
      </c>
      <c r="N49" s="26" t="s">
        <v>1205</v>
      </c>
    </row>
    <row r="50" ht="15.75" customHeight="1">
      <c r="A50" s="22">
        <v>43.0</v>
      </c>
      <c r="B50" s="22" t="s">
        <v>1206</v>
      </c>
      <c r="C50" s="27">
        <v>3.0</v>
      </c>
      <c r="D50" s="28" t="s">
        <v>137</v>
      </c>
      <c r="E50" s="22"/>
      <c r="F50" s="24">
        <v>6.0</v>
      </c>
      <c r="G50" s="24">
        <v>5360.0</v>
      </c>
      <c r="H50" s="30">
        <v>0.001119402985074627</v>
      </c>
      <c r="I50" s="22" t="s">
        <v>98</v>
      </c>
      <c r="J50" s="37" t="s">
        <v>48</v>
      </c>
      <c r="K50" s="24">
        <v>583.0</v>
      </c>
      <c r="L50" s="30">
        <v>0.0049</v>
      </c>
      <c r="M50" s="24">
        <v>11243.0</v>
      </c>
      <c r="N50" s="26" t="s">
        <v>1207</v>
      </c>
    </row>
    <row r="51" ht="15.75" customHeight="1">
      <c r="A51" s="22">
        <v>44.0</v>
      </c>
      <c r="B51" s="22" t="s">
        <v>1164</v>
      </c>
      <c r="C51" s="27">
        <v>3.0</v>
      </c>
      <c r="D51" s="28" t="s">
        <v>137</v>
      </c>
      <c r="E51" s="22"/>
      <c r="F51" s="24">
        <v>28.0</v>
      </c>
      <c r="G51" s="24">
        <v>2960.0</v>
      </c>
      <c r="H51" s="30">
        <v>0.00945945945945946</v>
      </c>
      <c r="I51" s="22" t="s">
        <v>98</v>
      </c>
      <c r="J51" s="37" t="s">
        <v>48</v>
      </c>
      <c r="K51" s="24">
        <v>1294.0</v>
      </c>
      <c r="L51" s="30">
        <v>0.0112</v>
      </c>
      <c r="M51" s="24">
        <v>8560.0</v>
      </c>
      <c r="N51" s="26" t="s">
        <v>1208</v>
      </c>
    </row>
    <row r="52" ht="15.75" customHeight="1">
      <c r="A52" s="22">
        <v>45.0</v>
      </c>
      <c r="B52" s="22" t="s">
        <v>1103</v>
      </c>
      <c r="C52" s="27">
        <v>3.0</v>
      </c>
      <c r="D52" s="28" t="s">
        <v>137</v>
      </c>
      <c r="E52" s="22"/>
      <c r="F52" s="22"/>
      <c r="G52" s="24">
        <v>4720.0</v>
      </c>
      <c r="H52" s="22"/>
      <c r="I52" s="22" t="s">
        <v>98</v>
      </c>
      <c r="J52" s="37" t="s">
        <v>48</v>
      </c>
      <c r="K52" s="24">
        <v>1302.0</v>
      </c>
      <c r="L52" s="30">
        <v>0.0288</v>
      </c>
      <c r="M52" s="24">
        <v>7220.0</v>
      </c>
      <c r="N52" s="26" t="s">
        <v>1210</v>
      </c>
    </row>
    <row r="53" ht="15.75" customHeight="1">
      <c r="A53" s="22">
        <v>46.0</v>
      </c>
      <c r="B53" s="22" t="s">
        <v>930</v>
      </c>
      <c r="C53" s="27">
        <v>3.0</v>
      </c>
      <c r="D53" s="28" t="s">
        <v>137</v>
      </c>
      <c r="E53" s="22" t="s">
        <v>1196</v>
      </c>
      <c r="F53" s="24">
        <v>6.0</v>
      </c>
      <c r="G53" s="24">
        <v>21200.0</v>
      </c>
      <c r="H53" s="30">
        <v>2.830188679245283E-4</v>
      </c>
      <c r="I53" s="22" t="s">
        <v>802</v>
      </c>
      <c r="J53" s="37" t="s">
        <v>48</v>
      </c>
      <c r="K53" s="24">
        <v>3431.0</v>
      </c>
      <c r="L53" s="30">
        <v>0.0069</v>
      </c>
      <c r="M53" s="24">
        <v>2046.0</v>
      </c>
      <c r="N53" s="26" t="s">
        <v>1211</v>
      </c>
    </row>
    <row r="54" ht="15.75" customHeight="1">
      <c r="A54" s="22">
        <v>47.0</v>
      </c>
      <c r="B54" s="22" t="s">
        <v>1213</v>
      </c>
      <c r="C54" s="27">
        <v>2.0</v>
      </c>
      <c r="D54" s="28" t="s">
        <v>137</v>
      </c>
      <c r="E54" s="22"/>
      <c r="F54" s="24">
        <v>6.0</v>
      </c>
      <c r="G54" s="24">
        <v>7220.0</v>
      </c>
      <c r="H54" s="30">
        <v>8.310249307479224E-4</v>
      </c>
      <c r="I54" s="22" t="s">
        <v>98</v>
      </c>
      <c r="J54" s="38" t="s">
        <v>54</v>
      </c>
      <c r="K54" s="22"/>
      <c r="L54" s="22"/>
      <c r="M54" s="24">
        <v>100000.0</v>
      </c>
      <c r="N54" s="26" t="s">
        <v>1217</v>
      </c>
    </row>
    <row r="55" ht="15.75" customHeight="1">
      <c r="A55" s="22">
        <v>48.0</v>
      </c>
      <c r="B55" s="22" t="s">
        <v>1218</v>
      </c>
      <c r="C55" s="27">
        <v>2.0</v>
      </c>
      <c r="D55" s="28" t="s">
        <v>137</v>
      </c>
      <c r="E55" s="22"/>
      <c r="F55" s="22"/>
      <c r="G55" s="24">
        <v>2480.0</v>
      </c>
      <c r="H55" s="22"/>
      <c r="I55" s="22" t="s">
        <v>98</v>
      </c>
      <c r="J55" s="38" t="s">
        <v>54</v>
      </c>
      <c r="K55" s="22"/>
      <c r="L55" s="22"/>
      <c r="M55" s="24">
        <v>11500.0</v>
      </c>
      <c r="N55" s="26" t="s">
        <v>1219</v>
      </c>
    </row>
    <row r="56" ht="15.75" customHeight="1">
      <c r="A56" s="22">
        <v>49.0</v>
      </c>
      <c r="B56" s="22" t="s">
        <v>1220</v>
      </c>
      <c r="C56" s="27">
        <v>2.0</v>
      </c>
      <c r="D56" s="28" t="s">
        <v>137</v>
      </c>
      <c r="E56" s="22"/>
      <c r="F56" s="24">
        <v>6.0</v>
      </c>
      <c r="G56" s="24">
        <v>2880.0</v>
      </c>
      <c r="H56" s="30">
        <v>0.002083333333333333</v>
      </c>
      <c r="I56" s="22" t="s">
        <v>98</v>
      </c>
      <c r="J56" s="37" t="s">
        <v>48</v>
      </c>
      <c r="K56" s="24">
        <v>89.0</v>
      </c>
      <c r="L56" s="30">
        <v>0.0224</v>
      </c>
      <c r="M56" s="24">
        <v>2686.0</v>
      </c>
      <c r="N56" s="26" t="s">
        <v>1221</v>
      </c>
    </row>
    <row r="57" ht="15.75" customHeight="1">
      <c r="A57" s="22">
        <v>50.0</v>
      </c>
      <c r="B57" s="22" t="s">
        <v>1222</v>
      </c>
      <c r="C57" s="27">
        <v>1.0</v>
      </c>
      <c r="D57" s="28" t="s">
        <v>137</v>
      </c>
      <c r="E57" s="22"/>
      <c r="F57" s="22"/>
      <c r="G57" s="24">
        <v>1860.0</v>
      </c>
      <c r="H57" s="22"/>
      <c r="I57" s="22" t="s">
        <v>98</v>
      </c>
      <c r="J57" s="37" t="s">
        <v>48</v>
      </c>
      <c r="K57" s="24">
        <v>36.0</v>
      </c>
      <c r="L57" s="22"/>
      <c r="M57" s="24">
        <v>7220.0</v>
      </c>
      <c r="N57" s="26" t="s">
        <v>1224</v>
      </c>
    </row>
    <row r="58" ht="15.75" customHeight="1">
      <c r="A58" s="22">
        <v>51.0</v>
      </c>
      <c r="B58" s="22" t="s">
        <v>134</v>
      </c>
      <c r="C58" s="27">
        <v>1.0</v>
      </c>
      <c r="D58" s="28" t="s">
        <v>137</v>
      </c>
      <c r="E58" s="22" t="s">
        <v>1196</v>
      </c>
      <c r="F58" s="24">
        <v>6.0</v>
      </c>
      <c r="G58" s="24">
        <v>89800.0</v>
      </c>
      <c r="H58" s="30">
        <v>6.681514476614699E-5</v>
      </c>
      <c r="I58" s="22" t="s">
        <v>802</v>
      </c>
      <c r="J58" s="23" t="s">
        <v>31</v>
      </c>
      <c r="K58" s="24">
        <v>62411.0</v>
      </c>
      <c r="L58" s="30">
        <v>0.028</v>
      </c>
      <c r="M58" s="24">
        <v>18273.0</v>
      </c>
      <c r="N58" s="26" t="s">
        <v>1227</v>
      </c>
    </row>
    <row r="59" ht="15.75" customHeight="1">
      <c r="A59" s="22">
        <v>52.0</v>
      </c>
      <c r="B59" s="22" t="s">
        <v>989</v>
      </c>
      <c r="C59" s="27">
        <v>0.0</v>
      </c>
      <c r="D59" s="28" t="s">
        <v>137</v>
      </c>
      <c r="E59" s="22"/>
      <c r="F59" s="24">
        <v>4.0</v>
      </c>
      <c r="G59" s="24">
        <v>1200.0</v>
      </c>
      <c r="H59" s="30">
        <v>0.003333333333333334</v>
      </c>
      <c r="I59" s="22" t="s">
        <v>802</v>
      </c>
      <c r="J59" s="38" t="s">
        <v>54</v>
      </c>
      <c r="K59" s="22"/>
      <c r="L59" s="22"/>
      <c r="M59" s="24">
        <v>4010.0</v>
      </c>
      <c r="N59" s="26" t="s">
        <v>1228</v>
      </c>
    </row>
    <row r="60" ht="15.75" customHeight="1">
      <c r="A60" s="22">
        <v>53.0</v>
      </c>
      <c r="B60" s="22" t="s">
        <v>1002</v>
      </c>
      <c r="C60" s="27">
        <v>0.0</v>
      </c>
      <c r="D60" s="28" t="s">
        <v>137</v>
      </c>
      <c r="E60" s="22"/>
      <c r="F60" s="22"/>
      <c r="G60" s="24">
        <v>797.0</v>
      </c>
      <c r="H60" s="22"/>
      <c r="I60" s="22" t="s">
        <v>802</v>
      </c>
      <c r="J60" s="38" t="s">
        <v>54</v>
      </c>
      <c r="K60" s="22"/>
      <c r="L60" s="22"/>
      <c r="M60" s="24">
        <v>334.0</v>
      </c>
      <c r="N60" s="26" t="s">
        <v>1230</v>
      </c>
    </row>
    <row r="61" ht="15.75" customHeight="1">
      <c r="A61" s="22">
        <v>54.0</v>
      </c>
      <c r="B61" s="22" t="s">
        <v>1231</v>
      </c>
      <c r="C61" s="22"/>
      <c r="D61" s="22"/>
      <c r="E61" s="22" t="s">
        <v>1233</v>
      </c>
      <c r="F61" s="22"/>
      <c r="G61" s="22"/>
      <c r="H61" s="22"/>
      <c r="I61" s="22" t="s">
        <v>98</v>
      </c>
      <c r="J61" s="38" t="s">
        <v>54</v>
      </c>
      <c r="K61" s="22"/>
      <c r="L61" s="22"/>
      <c r="M61" s="24">
        <v>12800.0</v>
      </c>
      <c r="N61" s="26" t="s">
        <v>1234</v>
      </c>
    </row>
    <row r="62" ht="15.75" customHeight="1">
      <c r="A62" s="22">
        <v>55.0</v>
      </c>
      <c r="B62" s="22" t="s">
        <v>1017</v>
      </c>
      <c r="C62" s="22"/>
      <c r="D62" s="22"/>
      <c r="E62" s="22" t="s">
        <v>1233</v>
      </c>
      <c r="F62" s="22"/>
      <c r="G62" s="22"/>
      <c r="H62" s="22"/>
      <c r="I62" s="22" t="s">
        <v>802</v>
      </c>
      <c r="J62" s="38" t="s">
        <v>1018</v>
      </c>
      <c r="K62" s="22"/>
      <c r="L62" s="22"/>
      <c r="M62" s="24">
        <v>8098.0</v>
      </c>
      <c r="N62" s="26" t="s">
        <v>1236</v>
      </c>
    </row>
    <row r="63" ht="15.75" customHeight="1">
      <c r="A63" s="22">
        <v>56.0</v>
      </c>
      <c r="B63" s="22" t="s">
        <v>1024</v>
      </c>
      <c r="C63" s="22"/>
      <c r="D63" s="22"/>
      <c r="E63" s="22" t="s">
        <v>1233</v>
      </c>
      <c r="F63" s="22"/>
      <c r="G63" s="22"/>
      <c r="H63" s="22"/>
      <c r="I63" s="22" t="s">
        <v>802</v>
      </c>
      <c r="J63" s="38" t="s">
        <v>1018</v>
      </c>
      <c r="K63" s="22"/>
      <c r="L63" s="22"/>
      <c r="M63" s="24">
        <v>177.0</v>
      </c>
      <c r="N63" s="26" t="s">
        <v>1237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N$63"/>
  <mergeCells count="5">
    <mergeCell ref="A6:B6"/>
    <mergeCell ref="C6:F6"/>
    <mergeCell ref="G6:I6"/>
    <mergeCell ref="J6:L6"/>
    <mergeCell ref="M6:N6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9.0" topLeftCell="D10" activePane="bottomRight" state="frozen"/>
      <selection activeCell="D1" sqref="D1" pane="topRight"/>
      <selection activeCell="A10" sqref="A10" pane="bottomLeft"/>
      <selection activeCell="D10" sqref="D10" pane="bottomRight"/>
    </sheetView>
  </sheetViews>
  <sheetFormatPr customHeight="1" defaultColWidth="14.43" defaultRowHeight="15.0"/>
  <cols>
    <col customWidth="1" min="1" max="1" width="18.0"/>
    <col customWidth="1" min="2" max="2" width="5.0"/>
    <col customWidth="1" min="3" max="3" width="20.0"/>
    <col customWidth="1" min="4" max="4" width="8.0"/>
    <col customWidth="1" min="5" max="5" width="10.0"/>
    <col customWidth="1" min="6" max="6" width="9.0"/>
    <col customWidth="1" min="7" max="7" width="52.0"/>
    <col customWidth="1" min="8" max="8" width="10.0"/>
    <col customWidth="1" min="9" max="9" width="70.0"/>
    <col customWidth="1" min="10" max="10" width="30.0"/>
    <col customWidth="1" min="11" max="11" width="44.0"/>
    <col customWidth="1" min="12" max="12" width="34.0"/>
    <col customWidth="1" min="13" max="26" width="8.71"/>
  </cols>
  <sheetData>
    <row r="1">
      <c r="A1" s="2" t="s">
        <v>1274</v>
      </c>
    </row>
    <row r="2">
      <c r="A2" s="4" t="s">
        <v>1275</v>
      </c>
    </row>
    <row r="3">
      <c r="A3" s="4" t="s">
        <v>1276</v>
      </c>
    </row>
    <row r="4">
      <c r="A4" s="4" t="s">
        <v>1278</v>
      </c>
    </row>
    <row r="5">
      <c r="A5" s="4" t="s">
        <v>1280</v>
      </c>
    </row>
    <row r="6">
      <c r="A6" s="4" t="s">
        <v>1281</v>
      </c>
    </row>
    <row r="8">
      <c r="A8" s="8"/>
      <c r="B8" s="9"/>
      <c r="C8" s="9"/>
      <c r="D8" s="9"/>
      <c r="E8" s="9"/>
      <c r="F8" s="10"/>
      <c r="G8" s="12" t="s">
        <v>1282</v>
      </c>
      <c r="H8" s="10"/>
      <c r="I8" s="8"/>
      <c r="J8" s="9"/>
      <c r="K8" s="9"/>
      <c r="L8" s="10"/>
    </row>
    <row r="9" ht="31.5" customHeight="1">
      <c r="A9" s="18" t="s">
        <v>1283</v>
      </c>
      <c r="B9" s="18" t="s">
        <v>1284</v>
      </c>
      <c r="C9" s="18" t="s">
        <v>88</v>
      </c>
      <c r="D9" s="18" t="s">
        <v>53</v>
      </c>
      <c r="E9" s="18" t="s">
        <v>1285</v>
      </c>
      <c r="F9" s="18" t="s">
        <v>60</v>
      </c>
      <c r="G9" s="18" t="s">
        <v>1286</v>
      </c>
      <c r="H9" s="18" t="s">
        <v>69</v>
      </c>
      <c r="I9" s="18" t="s">
        <v>1287</v>
      </c>
      <c r="J9" s="18" t="s">
        <v>112</v>
      </c>
      <c r="K9" s="18" t="s">
        <v>1288</v>
      </c>
      <c r="L9" s="18" t="s">
        <v>47</v>
      </c>
    </row>
    <row r="10">
      <c r="A10" s="40" t="s">
        <v>1289</v>
      </c>
      <c r="B10" s="22">
        <v>1.0</v>
      </c>
      <c r="C10" s="22" t="s">
        <v>103</v>
      </c>
      <c r="D10" s="22" t="s">
        <v>110</v>
      </c>
      <c r="E10" s="22" t="s">
        <v>105</v>
      </c>
      <c r="F10" s="23" t="s">
        <v>31</v>
      </c>
      <c r="G10" s="41" t="s">
        <v>1291</v>
      </c>
      <c r="H10" s="22"/>
      <c r="I10" s="41" t="s">
        <v>1292</v>
      </c>
      <c r="J10" s="22" t="s">
        <v>128</v>
      </c>
      <c r="K10" s="41" t="s">
        <v>1293</v>
      </c>
      <c r="L10" s="26" t="s">
        <v>122</v>
      </c>
    </row>
    <row r="11">
      <c r="A11" s="40" t="s">
        <v>1289</v>
      </c>
      <c r="B11" s="22">
        <v>2.0</v>
      </c>
      <c r="C11" s="22" t="s">
        <v>167</v>
      </c>
      <c r="D11" s="22" t="s">
        <v>110</v>
      </c>
      <c r="E11" s="22" t="s">
        <v>105</v>
      </c>
      <c r="F11" s="29" t="s">
        <v>38</v>
      </c>
      <c r="G11" s="41" t="s">
        <v>1294</v>
      </c>
      <c r="H11" s="22"/>
      <c r="I11" s="41" t="s">
        <v>1295</v>
      </c>
      <c r="J11" s="22"/>
      <c r="K11" s="41" t="s">
        <v>1293</v>
      </c>
      <c r="L11" s="26" t="s">
        <v>171</v>
      </c>
    </row>
    <row r="12">
      <c r="A12" s="40" t="s">
        <v>1289</v>
      </c>
      <c r="B12" s="22">
        <v>3.0</v>
      </c>
      <c r="C12" s="22" t="s">
        <v>184</v>
      </c>
      <c r="D12" s="22" t="s">
        <v>110</v>
      </c>
      <c r="E12" s="22" t="s">
        <v>105</v>
      </c>
      <c r="F12" s="29" t="s">
        <v>38</v>
      </c>
      <c r="G12" s="41" t="s">
        <v>1296</v>
      </c>
      <c r="H12" s="22"/>
      <c r="I12" s="41" t="s">
        <v>1297</v>
      </c>
      <c r="J12" s="22"/>
      <c r="K12" s="41" t="s">
        <v>1293</v>
      </c>
      <c r="L12" s="26" t="s">
        <v>187</v>
      </c>
    </row>
    <row r="13">
      <c r="A13" s="40" t="s">
        <v>1289</v>
      </c>
      <c r="B13" s="22">
        <v>4.0</v>
      </c>
      <c r="C13" s="22" t="s">
        <v>174</v>
      </c>
      <c r="D13" s="22" t="s">
        <v>110</v>
      </c>
      <c r="E13" s="22" t="s">
        <v>105</v>
      </c>
      <c r="F13" s="29" t="s">
        <v>38</v>
      </c>
      <c r="G13" s="41" t="s">
        <v>1298</v>
      </c>
      <c r="H13" s="22"/>
      <c r="I13" s="41" t="s">
        <v>1299</v>
      </c>
      <c r="J13" s="22" t="s">
        <v>1092</v>
      </c>
      <c r="K13" s="41" t="s">
        <v>1293</v>
      </c>
      <c r="L13" s="26" t="s">
        <v>175</v>
      </c>
    </row>
    <row r="14">
      <c r="A14" s="40" t="s">
        <v>1289</v>
      </c>
      <c r="B14" s="22">
        <v>5.0</v>
      </c>
      <c r="C14" s="22" t="s">
        <v>223</v>
      </c>
      <c r="D14" s="22" t="s">
        <v>110</v>
      </c>
      <c r="E14" s="22" t="s">
        <v>105</v>
      </c>
      <c r="F14" s="29" t="s">
        <v>38</v>
      </c>
      <c r="G14" s="41" t="s">
        <v>1301</v>
      </c>
      <c r="H14" s="22"/>
      <c r="I14" s="41" t="s">
        <v>1302</v>
      </c>
      <c r="J14" s="22" t="s">
        <v>229</v>
      </c>
      <c r="K14" s="41" t="s">
        <v>1293</v>
      </c>
      <c r="L14" s="26" t="s">
        <v>228</v>
      </c>
    </row>
    <row r="15">
      <c r="A15" s="40" t="s">
        <v>1289</v>
      </c>
      <c r="B15" s="22">
        <v>6.0</v>
      </c>
      <c r="C15" s="22" t="s">
        <v>179</v>
      </c>
      <c r="D15" s="22" t="s">
        <v>110</v>
      </c>
      <c r="E15" s="22" t="s">
        <v>105</v>
      </c>
      <c r="F15" s="29" t="s">
        <v>38</v>
      </c>
      <c r="G15" s="41" t="s">
        <v>1303</v>
      </c>
      <c r="H15" s="22"/>
      <c r="I15" s="41" t="s">
        <v>1304</v>
      </c>
      <c r="J15" s="22"/>
      <c r="K15" s="41" t="s">
        <v>1293</v>
      </c>
      <c r="L15" s="26" t="s">
        <v>180</v>
      </c>
    </row>
    <row r="16">
      <c r="A16" s="40" t="s">
        <v>1289</v>
      </c>
      <c r="B16" s="22">
        <v>7.0</v>
      </c>
      <c r="C16" s="22" t="s">
        <v>191</v>
      </c>
      <c r="D16" s="22" t="s">
        <v>110</v>
      </c>
      <c r="E16" s="22" t="s">
        <v>105</v>
      </c>
      <c r="F16" s="29" t="s">
        <v>38</v>
      </c>
      <c r="G16" s="41" t="s">
        <v>1305</v>
      </c>
      <c r="H16" s="22"/>
      <c r="I16" s="41" t="s">
        <v>1306</v>
      </c>
      <c r="J16" s="22" t="s">
        <v>195</v>
      </c>
      <c r="K16" s="41" t="s">
        <v>1293</v>
      </c>
      <c r="L16" s="26" t="s">
        <v>193</v>
      </c>
    </row>
    <row r="17">
      <c r="A17" s="40" t="s">
        <v>1289</v>
      </c>
      <c r="B17" s="22">
        <v>8.0</v>
      </c>
      <c r="C17" s="22" t="s">
        <v>153</v>
      </c>
      <c r="D17" s="22" t="s">
        <v>110</v>
      </c>
      <c r="E17" s="22" t="s">
        <v>154</v>
      </c>
      <c r="F17" s="29" t="s">
        <v>38</v>
      </c>
      <c r="G17" s="41" t="s">
        <v>1309</v>
      </c>
      <c r="H17" s="22"/>
      <c r="I17" s="41" t="s">
        <v>1310</v>
      </c>
      <c r="J17" s="22"/>
      <c r="K17" s="41" t="s">
        <v>1293</v>
      </c>
      <c r="L17" s="26" t="s">
        <v>156</v>
      </c>
    </row>
    <row r="18">
      <c r="A18" s="40" t="s">
        <v>1311</v>
      </c>
      <c r="B18" s="22">
        <v>1.0</v>
      </c>
      <c r="C18" s="22" t="s">
        <v>408</v>
      </c>
      <c r="D18" s="22" t="s">
        <v>114</v>
      </c>
      <c r="E18" s="22" t="s">
        <v>154</v>
      </c>
      <c r="F18" s="23" t="s">
        <v>31</v>
      </c>
      <c r="G18" s="41" t="s">
        <v>1313</v>
      </c>
      <c r="H18" s="22" t="s">
        <v>1314</v>
      </c>
      <c r="I18" s="41" t="s">
        <v>1315</v>
      </c>
      <c r="J18" s="22" t="s">
        <v>1316</v>
      </c>
      <c r="K18" s="41" t="s">
        <v>1293</v>
      </c>
      <c r="L18" s="26" t="s">
        <v>192</v>
      </c>
    </row>
    <row r="19">
      <c r="A19" s="40" t="s">
        <v>1311</v>
      </c>
      <c r="B19" s="22">
        <v>2.0</v>
      </c>
      <c r="C19" s="22" t="s">
        <v>853</v>
      </c>
      <c r="D19" s="22" t="s">
        <v>114</v>
      </c>
      <c r="E19" s="22" t="s">
        <v>154</v>
      </c>
      <c r="F19" s="23" t="s">
        <v>31</v>
      </c>
      <c r="G19" s="41" t="s">
        <v>1317</v>
      </c>
      <c r="H19" s="22"/>
      <c r="I19" s="41" t="s">
        <v>1318</v>
      </c>
      <c r="J19" s="22"/>
      <c r="K19" s="41" t="s">
        <v>1293</v>
      </c>
      <c r="L19" s="26" t="s">
        <v>138</v>
      </c>
    </row>
    <row r="20">
      <c r="A20" s="40" t="s">
        <v>1311</v>
      </c>
      <c r="B20" s="22">
        <v>3.0</v>
      </c>
      <c r="C20" s="22" t="s">
        <v>235</v>
      </c>
      <c r="D20" s="22" t="s">
        <v>114</v>
      </c>
      <c r="E20" s="22" t="s">
        <v>412</v>
      </c>
      <c r="F20" s="23" t="s">
        <v>31</v>
      </c>
      <c r="G20" s="41" t="s">
        <v>1320</v>
      </c>
      <c r="H20" s="22" t="s">
        <v>1321</v>
      </c>
      <c r="I20" s="41" t="s">
        <v>1323</v>
      </c>
      <c r="J20" s="22" t="s">
        <v>1324</v>
      </c>
      <c r="K20" s="41" t="s">
        <v>1293</v>
      </c>
      <c r="L20" s="26" t="s">
        <v>242</v>
      </c>
    </row>
    <row r="21" ht="15.75" customHeight="1">
      <c r="A21" s="40" t="s">
        <v>1311</v>
      </c>
      <c r="B21" s="22">
        <v>4.0</v>
      </c>
      <c r="C21" s="22" t="s">
        <v>211</v>
      </c>
      <c r="D21" s="22" t="s">
        <v>114</v>
      </c>
      <c r="E21" s="22" t="s">
        <v>412</v>
      </c>
      <c r="F21" s="23" t="s">
        <v>31</v>
      </c>
      <c r="G21" s="41" t="s">
        <v>1328</v>
      </c>
      <c r="H21" s="22" t="s">
        <v>1330</v>
      </c>
      <c r="I21" s="41" t="s">
        <v>1332</v>
      </c>
      <c r="J21" s="22" t="s">
        <v>1333</v>
      </c>
      <c r="K21" s="41" t="s">
        <v>1293</v>
      </c>
      <c r="L21" s="26" t="s">
        <v>225</v>
      </c>
    </row>
    <row r="22" ht="15.75" customHeight="1">
      <c r="A22" s="40" t="s">
        <v>1311</v>
      </c>
      <c r="B22" s="22">
        <v>5.0</v>
      </c>
      <c r="C22" s="22" t="s">
        <v>186</v>
      </c>
      <c r="D22" s="22" t="s">
        <v>114</v>
      </c>
      <c r="E22" s="22" t="s">
        <v>412</v>
      </c>
      <c r="F22" s="23" t="s">
        <v>31</v>
      </c>
      <c r="G22" s="41" t="s">
        <v>1340</v>
      </c>
      <c r="H22" s="22" t="s">
        <v>1341</v>
      </c>
      <c r="I22" s="41" t="s">
        <v>1342</v>
      </c>
      <c r="J22" s="22" t="s">
        <v>1324</v>
      </c>
      <c r="K22" s="41" t="s">
        <v>1293</v>
      </c>
      <c r="L22" s="26" t="s">
        <v>200</v>
      </c>
    </row>
    <row r="23" ht="15.75" customHeight="1">
      <c r="A23" s="40" t="s">
        <v>1311</v>
      </c>
      <c r="B23" s="22">
        <v>6.0</v>
      </c>
      <c r="C23" s="22" t="s">
        <v>715</v>
      </c>
      <c r="D23" s="22" t="s">
        <v>114</v>
      </c>
      <c r="E23" s="22" t="s">
        <v>154</v>
      </c>
      <c r="F23" s="29" t="s">
        <v>38</v>
      </c>
      <c r="G23" s="41" t="s">
        <v>1346</v>
      </c>
      <c r="H23" s="22" t="s">
        <v>1347</v>
      </c>
      <c r="I23" s="41" t="s">
        <v>1349</v>
      </c>
      <c r="J23" s="22" t="s">
        <v>1350</v>
      </c>
      <c r="K23" s="41" t="s">
        <v>1293</v>
      </c>
      <c r="L23" s="26" t="s">
        <v>267</v>
      </c>
    </row>
    <row r="24" ht="15.75" customHeight="1">
      <c r="A24" s="40" t="s">
        <v>1311</v>
      </c>
      <c r="B24" s="22">
        <v>7.0</v>
      </c>
      <c r="C24" s="22" t="s">
        <v>911</v>
      </c>
      <c r="D24" s="22" t="s">
        <v>114</v>
      </c>
      <c r="E24" s="22" t="s">
        <v>154</v>
      </c>
      <c r="F24" s="29" t="s">
        <v>38</v>
      </c>
      <c r="G24" s="41" t="s">
        <v>1352</v>
      </c>
      <c r="H24" s="22" t="s">
        <v>1353</v>
      </c>
      <c r="I24" s="41" t="s">
        <v>1354</v>
      </c>
      <c r="J24" s="22" t="s">
        <v>1355</v>
      </c>
      <c r="K24" s="41" t="s">
        <v>1293</v>
      </c>
      <c r="L24" s="26" t="s">
        <v>236</v>
      </c>
    </row>
    <row r="25" ht="15.75" customHeight="1">
      <c r="A25" s="40" t="s">
        <v>1311</v>
      </c>
      <c r="B25" s="22">
        <v>8.0</v>
      </c>
      <c r="C25" s="22" t="s">
        <v>437</v>
      </c>
      <c r="D25" s="22" t="s">
        <v>114</v>
      </c>
      <c r="E25" s="22" t="s">
        <v>105</v>
      </c>
      <c r="F25" s="29" t="s">
        <v>38</v>
      </c>
      <c r="G25" s="41" t="s">
        <v>1360</v>
      </c>
      <c r="H25" s="22" t="s">
        <v>1361</v>
      </c>
      <c r="I25" s="41" t="s">
        <v>1363</v>
      </c>
      <c r="J25" s="22" t="s">
        <v>1316</v>
      </c>
      <c r="K25" s="41" t="s">
        <v>1293</v>
      </c>
      <c r="L25" s="26" t="s">
        <v>497</v>
      </c>
    </row>
    <row r="26" ht="15.75" customHeight="1">
      <c r="A26" s="40" t="s">
        <v>1311</v>
      </c>
      <c r="B26" s="22">
        <v>9.0</v>
      </c>
      <c r="C26" s="22" t="s">
        <v>386</v>
      </c>
      <c r="D26" s="22" t="s">
        <v>114</v>
      </c>
      <c r="E26" s="22" t="s">
        <v>412</v>
      </c>
      <c r="F26" s="29" t="s">
        <v>38</v>
      </c>
      <c r="G26" s="41" t="s">
        <v>1367</v>
      </c>
      <c r="H26" s="22" t="s">
        <v>1369</v>
      </c>
      <c r="I26" s="41" t="s">
        <v>1370</v>
      </c>
      <c r="J26" s="22" t="s">
        <v>1324</v>
      </c>
      <c r="K26" s="41" t="s">
        <v>1293</v>
      </c>
      <c r="L26" s="26" t="s">
        <v>396</v>
      </c>
    </row>
    <row r="27" ht="15.75" customHeight="1">
      <c r="A27" s="40" t="s">
        <v>1311</v>
      </c>
      <c r="B27" s="22">
        <v>10.0</v>
      </c>
      <c r="C27" s="22" t="s">
        <v>277</v>
      </c>
      <c r="D27" s="22" t="s">
        <v>114</v>
      </c>
      <c r="E27" s="22" t="s">
        <v>412</v>
      </c>
      <c r="F27" s="29" t="s">
        <v>38</v>
      </c>
      <c r="G27" s="41" t="s">
        <v>1376</v>
      </c>
      <c r="H27" s="22" t="s">
        <v>1377</v>
      </c>
      <c r="I27" s="41" t="s">
        <v>1379</v>
      </c>
      <c r="J27" s="22" t="s">
        <v>1380</v>
      </c>
      <c r="K27" s="41" t="s">
        <v>1293</v>
      </c>
      <c r="L27" s="26" t="s">
        <v>290</v>
      </c>
    </row>
    <row r="28" ht="15.75" customHeight="1">
      <c r="A28" s="40" t="s">
        <v>1311</v>
      </c>
      <c r="B28" s="22">
        <v>11.0</v>
      </c>
      <c r="C28" s="22" t="s">
        <v>345</v>
      </c>
      <c r="D28" s="22" t="s">
        <v>114</v>
      </c>
      <c r="E28" s="22" t="s">
        <v>412</v>
      </c>
      <c r="F28" s="29" t="s">
        <v>38</v>
      </c>
      <c r="G28" s="41" t="s">
        <v>1384</v>
      </c>
      <c r="H28" s="22" t="s">
        <v>1386</v>
      </c>
      <c r="I28" s="41" t="s">
        <v>1387</v>
      </c>
      <c r="J28" s="22" t="s">
        <v>1324</v>
      </c>
      <c r="K28" s="41" t="s">
        <v>1293</v>
      </c>
      <c r="L28" s="26" t="s">
        <v>354</v>
      </c>
    </row>
    <row r="29" ht="15.75" customHeight="1">
      <c r="A29" s="40" t="s">
        <v>1311</v>
      </c>
      <c r="B29" s="22">
        <v>12.0</v>
      </c>
      <c r="C29" s="22" t="s">
        <v>368</v>
      </c>
      <c r="D29" s="22" t="s">
        <v>114</v>
      </c>
      <c r="E29" s="22" t="s">
        <v>412</v>
      </c>
      <c r="F29" s="29" t="s">
        <v>38</v>
      </c>
      <c r="G29" s="41" t="s">
        <v>1394</v>
      </c>
      <c r="H29" s="22" t="s">
        <v>1395</v>
      </c>
      <c r="I29" s="41" t="s">
        <v>1397</v>
      </c>
      <c r="J29" s="22" t="s">
        <v>1399</v>
      </c>
      <c r="K29" s="41" t="s">
        <v>1293</v>
      </c>
      <c r="L29" s="26" t="s">
        <v>378</v>
      </c>
    </row>
    <row r="30" ht="15.75" customHeight="1">
      <c r="A30" s="42" t="s">
        <v>1403</v>
      </c>
      <c r="B30" s="22">
        <v>1.0</v>
      </c>
      <c r="C30" s="22" t="s">
        <v>865</v>
      </c>
      <c r="D30" s="22" t="s">
        <v>114</v>
      </c>
      <c r="E30" s="22" t="s">
        <v>154</v>
      </c>
      <c r="F30" s="23" t="s">
        <v>31</v>
      </c>
      <c r="G30" s="41" t="s">
        <v>1405</v>
      </c>
      <c r="H30" s="22"/>
      <c r="I30" s="41" t="s">
        <v>1406</v>
      </c>
      <c r="J30" s="22"/>
      <c r="K30" s="41" t="s">
        <v>1407</v>
      </c>
      <c r="L30" s="26" t="s">
        <v>216</v>
      </c>
    </row>
    <row r="31" ht="15.75" customHeight="1">
      <c r="A31" s="42" t="s">
        <v>1403</v>
      </c>
      <c r="B31" s="22">
        <v>2.0</v>
      </c>
      <c r="C31" s="22" t="s">
        <v>135</v>
      </c>
      <c r="D31" s="22" t="s">
        <v>110</v>
      </c>
      <c r="E31" s="22" t="s">
        <v>105</v>
      </c>
      <c r="F31" s="23" t="s">
        <v>31</v>
      </c>
      <c r="G31" s="41" t="s">
        <v>1408</v>
      </c>
      <c r="H31" s="22" t="s">
        <v>1409</v>
      </c>
      <c r="I31" s="41" t="s">
        <v>1410</v>
      </c>
      <c r="J31" s="22" t="s">
        <v>1411</v>
      </c>
      <c r="K31" s="41" t="s">
        <v>1407</v>
      </c>
      <c r="L31" s="26" t="s">
        <v>140</v>
      </c>
    </row>
    <row r="32" ht="15.75" customHeight="1">
      <c r="A32" s="42" t="s">
        <v>1403</v>
      </c>
      <c r="B32" s="22">
        <v>3.0</v>
      </c>
      <c r="C32" s="22" t="s">
        <v>159</v>
      </c>
      <c r="D32" s="22" t="s">
        <v>110</v>
      </c>
      <c r="E32" s="22" t="s">
        <v>154</v>
      </c>
      <c r="F32" s="29" t="s">
        <v>38</v>
      </c>
      <c r="G32" s="41" t="s">
        <v>1412</v>
      </c>
      <c r="H32" s="22"/>
      <c r="I32" s="41" t="s">
        <v>1413</v>
      </c>
      <c r="J32" s="22" t="s">
        <v>1414</v>
      </c>
      <c r="K32" s="41" t="s">
        <v>1407</v>
      </c>
      <c r="L32" s="26" t="s">
        <v>162</v>
      </c>
    </row>
    <row r="33" ht="15.75" customHeight="1">
      <c r="A33" s="42" t="s">
        <v>1403</v>
      </c>
      <c r="B33" s="22">
        <v>4.0</v>
      </c>
      <c r="C33" s="22" t="s">
        <v>199</v>
      </c>
      <c r="D33" s="22" t="s">
        <v>110</v>
      </c>
      <c r="E33" s="22" t="s">
        <v>105</v>
      </c>
      <c r="F33" s="29" t="s">
        <v>38</v>
      </c>
      <c r="G33" s="41" t="s">
        <v>1416</v>
      </c>
      <c r="H33" s="22"/>
      <c r="I33" s="41" t="s">
        <v>1417</v>
      </c>
      <c r="J33" s="22" t="s">
        <v>1072</v>
      </c>
      <c r="K33" s="41" t="s">
        <v>1407</v>
      </c>
      <c r="L33" s="26" t="s">
        <v>203</v>
      </c>
    </row>
    <row r="34" ht="15.75" customHeight="1">
      <c r="A34" s="42" t="s">
        <v>1418</v>
      </c>
      <c r="B34" s="22">
        <v>1.0</v>
      </c>
      <c r="C34" s="22" t="s">
        <v>832</v>
      </c>
      <c r="D34" s="22" t="s">
        <v>114</v>
      </c>
      <c r="E34" s="22" t="s">
        <v>412</v>
      </c>
      <c r="F34" s="34" t="s">
        <v>42</v>
      </c>
      <c r="G34" s="41" t="s">
        <v>1421</v>
      </c>
      <c r="H34" s="22" t="s">
        <v>1422</v>
      </c>
      <c r="I34" s="41" t="s">
        <v>1423</v>
      </c>
      <c r="J34" s="22" t="s">
        <v>1425</v>
      </c>
      <c r="K34" s="41" t="s">
        <v>1407</v>
      </c>
      <c r="L34" s="26" t="s">
        <v>841</v>
      </c>
    </row>
    <row r="35" ht="15.75" customHeight="1">
      <c r="A35" s="42" t="s">
        <v>1418</v>
      </c>
      <c r="B35" s="22">
        <v>2.0</v>
      </c>
      <c r="C35" s="22" t="s">
        <v>341</v>
      </c>
      <c r="D35" s="22" t="s">
        <v>114</v>
      </c>
      <c r="E35" s="22" t="s">
        <v>154</v>
      </c>
      <c r="F35" s="34" t="s">
        <v>42</v>
      </c>
      <c r="G35" s="41" t="s">
        <v>1427</v>
      </c>
      <c r="H35" s="22"/>
      <c r="I35" s="41" t="s">
        <v>1428</v>
      </c>
      <c r="J35" s="22"/>
      <c r="K35" s="41" t="s">
        <v>1407</v>
      </c>
      <c r="L35" s="26" t="s">
        <v>348</v>
      </c>
    </row>
    <row r="36" ht="15.75" customHeight="1">
      <c r="A36" s="42" t="s">
        <v>1418</v>
      </c>
      <c r="B36" s="22">
        <v>3.0</v>
      </c>
      <c r="C36" s="22" t="s">
        <v>607</v>
      </c>
      <c r="D36" s="22" t="s">
        <v>114</v>
      </c>
      <c r="E36" s="22" t="s">
        <v>412</v>
      </c>
      <c r="F36" s="34" t="s">
        <v>42</v>
      </c>
      <c r="G36" s="41" t="s">
        <v>1429</v>
      </c>
      <c r="H36" s="22" t="s">
        <v>1430</v>
      </c>
      <c r="I36" s="41" t="s">
        <v>1431</v>
      </c>
      <c r="J36" s="22" t="s">
        <v>1432</v>
      </c>
      <c r="K36" s="41" t="s">
        <v>1407</v>
      </c>
      <c r="L36" s="26" t="s">
        <v>624</v>
      </c>
    </row>
    <row r="37" ht="15.75" customHeight="1">
      <c r="A37" s="42" t="s">
        <v>1418</v>
      </c>
      <c r="B37" s="22">
        <v>4.0</v>
      </c>
      <c r="C37" s="22" t="s">
        <v>812</v>
      </c>
      <c r="D37" s="22" t="s">
        <v>114</v>
      </c>
      <c r="E37" s="22" t="s">
        <v>412</v>
      </c>
      <c r="F37" s="34" t="s">
        <v>42</v>
      </c>
      <c r="G37" s="41" t="s">
        <v>1435</v>
      </c>
      <c r="H37" s="22" t="s">
        <v>1436</v>
      </c>
      <c r="I37" s="41" t="s">
        <v>1437</v>
      </c>
      <c r="J37" s="22" t="s">
        <v>1438</v>
      </c>
      <c r="K37" s="41" t="s">
        <v>1407</v>
      </c>
      <c r="L37" s="26" t="s">
        <v>820</v>
      </c>
    </row>
    <row r="38" ht="15.75" customHeight="1">
      <c r="A38" s="42" t="s">
        <v>1418</v>
      </c>
      <c r="B38" s="22">
        <v>5.0</v>
      </c>
      <c r="C38" s="22" t="s">
        <v>769</v>
      </c>
      <c r="D38" s="22" t="s">
        <v>114</v>
      </c>
      <c r="E38" s="22" t="s">
        <v>412</v>
      </c>
      <c r="F38" s="34" t="s">
        <v>42</v>
      </c>
      <c r="G38" s="41" t="s">
        <v>1440</v>
      </c>
      <c r="H38" s="22" t="s">
        <v>1441</v>
      </c>
      <c r="I38" s="41" t="s">
        <v>1442</v>
      </c>
      <c r="J38" s="22" t="s">
        <v>1443</v>
      </c>
      <c r="K38" s="41" t="s">
        <v>1407</v>
      </c>
      <c r="L38" s="26" t="s">
        <v>778</v>
      </c>
    </row>
    <row r="39" ht="15.75" customHeight="1">
      <c r="A39" s="42" t="s">
        <v>1418</v>
      </c>
      <c r="B39" s="22">
        <v>6.0</v>
      </c>
      <c r="C39" s="22" t="s">
        <v>642</v>
      </c>
      <c r="D39" s="22" t="s">
        <v>114</v>
      </c>
      <c r="E39" s="22" t="s">
        <v>412</v>
      </c>
      <c r="F39" s="34" t="s">
        <v>42</v>
      </c>
      <c r="G39" s="41" t="s">
        <v>1445</v>
      </c>
      <c r="H39" s="22" t="s">
        <v>1446</v>
      </c>
      <c r="I39" s="41" t="s">
        <v>1447</v>
      </c>
      <c r="J39" s="22" t="s">
        <v>1438</v>
      </c>
      <c r="K39" s="41" t="s">
        <v>1407</v>
      </c>
      <c r="L39" s="26" t="s">
        <v>661</v>
      </c>
    </row>
    <row r="40" ht="15.75" customHeight="1">
      <c r="A40" s="42" t="s">
        <v>1418</v>
      </c>
      <c r="B40" s="22">
        <v>7.0</v>
      </c>
      <c r="C40" s="22" t="s">
        <v>786</v>
      </c>
      <c r="D40" s="22" t="s">
        <v>114</v>
      </c>
      <c r="E40" s="22" t="s">
        <v>412</v>
      </c>
      <c r="F40" s="34" t="s">
        <v>42</v>
      </c>
      <c r="G40" s="41" t="s">
        <v>1448</v>
      </c>
      <c r="H40" s="22" t="s">
        <v>1446</v>
      </c>
      <c r="I40" s="41" t="s">
        <v>1449</v>
      </c>
      <c r="J40" s="22" t="s">
        <v>1450</v>
      </c>
      <c r="K40" s="41" t="s">
        <v>1407</v>
      </c>
      <c r="L40" s="26" t="s">
        <v>790</v>
      </c>
    </row>
    <row r="41" ht="15.75" customHeight="1">
      <c r="A41" s="42" t="s">
        <v>1418</v>
      </c>
      <c r="B41" s="22">
        <v>8.0</v>
      </c>
      <c r="C41" s="22" t="s">
        <v>276</v>
      </c>
      <c r="D41" s="22" t="s">
        <v>110</v>
      </c>
      <c r="E41" s="22" t="s">
        <v>105</v>
      </c>
      <c r="F41" s="34" t="s">
        <v>42</v>
      </c>
      <c r="G41" s="41" t="s">
        <v>1452</v>
      </c>
      <c r="H41" s="22"/>
      <c r="I41" s="41" t="s">
        <v>1453</v>
      </c>
      <c r="J41" s="22" t="s">
        <v>1399</v>
      </c>
      <c r="K41" s="41" t="s">
        <v>1407</v>
      </c>
      <c r="L41" s="26" t="s">
        <v>280</v>
      </c>
    </row>
    <row r="42" ht="15.75" customHeight="1">
      <c r="A42" s="42" t="s">
        <v>1418</v>
      </c>
      <c r="B42" s="22">
        <v>9.0</v>
      </c>
      <c r="C42" s="22" t="s">
        <v>285</v>
      </c>
      <c r="D42" s="22" t="s">
        <v>110</v>
      </c>
      <c r="E42" s="22" t="s">
        <v>105</v>
      </c>
      <c r="F42" s="34" t="s">
        <v>42</v>
      </c>
      <c r="G42" s="41" t="s">
        <v>1454</v>
      </c>
      <c r="H42" s="22"/>
      <c r="I42" s="41" t="s">
        <v>1455</v>
      </c>
      <c r="J42" s="22"/>
      <c r="K42" s="41" t="s">
        <v>1407</v>
      </c>
      <c r="L42" s="26" t="s">
        <v>291</v>
      </c>
    </row>
    <row r="43" ht="15.75" customHeight="1">
      <c r="A43" s="42" t="s">
        <v>1418</v>
      </c>
      <c r="B43" s="22">
        <v>10.0</v>
      </c>
      <c r="C43" s="22" t="s">
        <v>266</v>
      </c>
      <c r="D43" s="22" t="s">
        <v>110</v>
      </c>
      <c r="E43" s="22" t="s">
        <v>105</v>
      </c>
      <c r="F43" s="34" t="s">
        <v>42</v>
      </c>
      <c r="G43" s="41" t="s">
        <v>1456</v>
      </c>
      <c r="H43" s="22" t="s">
        <v>1457</v>
      </c>
      <c r="I43" s="41" t="s">
        <v>1458</v>
      </c>
      <c r="J43" s="22" t="s">
        <v>1459</v>
      </c>
      <c r="K43" s="41" t="s">
        <v>1407</v>
      </c>
      <c r="L43" s="26" t="s">
        <v>272</v>
      </c>
    </row>
    <row r="44" ht="15.75" customHeight="1">
      <c r="A44" s="42" t="s">
        <v>1418</v>
      </c>
      <c r="B44" s="22">
        <v>11.0</v>
      </c>
      <c r="C44" s="22" t="s">
        <v>324</v>
      </c>
      <c r="D44" s="22" t="s">
        <v>110</v>
      </c>
      <c r="E44" s="22" t="s">
        <v>105</v>
      </c>
      <c r="F44" s="34" t="s">
        <v>42</v>
      </c>
      <c r="G44" s="41" t="s">
        <v>1460</v>
      </c>
      <c r="H44" s="22"/>
      <c r="I44" s="41" t="s">
        <v>1461</v>
      </c>
      <c r="J44" s="22"/>
      <c r="K44" s="41" t="s">
        <v>1407</v>
      </c>
      <c r="L44" s="26" t="s">
        <v>326</v>
      </c>
    </row>
    <row r="45" ht="15.75" customHeight="1">
      <c r="A45" s="42" t="s">
        <v>1418</v>
      </c>
      <c r="B45" s="22">
        <v>12.0</v>
      </c>
      <c r="C45" s="22" t="s">
        <v>302</v>
      </c>
      <c r="D45" s="22" t="s">
        <v>110</v>
      </c>
      <c r="E45" s="22" t="s">
        <v>105</v>
      </c>
      <c r="F45" s="34" t="s">
        <v>42</v>
      </c>
      <c r="G45" s="41" t="s">
        <v>1464</v>
      </c>
      <c r="H45" s="22"/>
      <c r="I45" s="41" t="s">
        <v>1465</v>
      </c>
      <c r="J45" s="22"/>
      <c r="K45" s="41" t="s">
        <v>1407</v>
      </c>
      <c r="L45" s="26" t="s">
        <v>304</v>
      </c>
    </row>
    <row r="46" ht="15.75" customHeight="1">
      <c r="A46" s="42" t="s">
        <v>1418</v>
      </c>
      <c r="B46" s="22">
        <v>13.0</v>
      </c>
      <c r="C46" s="22" t="s">
        <v>296</v>
      </c>
      <c r="D46" s="22" t="s">
        <v>110</v>
      </c>
      <c r="E46" s="22" t="s">
        <v>105</v>
      </c>
      <c r="F46" s="34" t="s">
        <v>42</v>
      </c>
      <c r="G46" s="41" t="s">
        <v>1466</v>
      </c>
      <c r="H46" s="22"/>
      <c r="I46" s="41" t="s">
        <v>1467</v>
      </c>
      <c r="J46" s="22"/>
      <c r="K46" s="41" t="s">
        <v>1407</v>
      </c>
      <c r="L46" s="26" t="s">
        <v>297</v>
      </c>
    </row>
    <row r="47" ht="15.75" customHeight="1">
      <c r="A47" s="42" t="s">
        <v>1418</v>
      </c>
      <c r="B47" s="22">
        <v>14.0</v>
      </c>
      <c r="C47" s="22" t="s">
        <v>339</v>
      </c>
      <c r="D47" s="22" t="s">
        <v>110</v>
      </c>
      <c r="E47" s="22" t="s">
        <v>105</v>
      </c>
      <c r="F47" s="34" t="s">
        <v>42</v>
      </c>
      <c r="G47" s="41" t="s">
        <v>1468</v>
      </c>
      <c r="H47" s="22"/>
      <c r="I47" s="41" t="s">
        <v>1469</v>
      </c>
      <c r="J47" s="22"/>
      <c r="K47" s="41" t="s">
        <v>1407</v>
      </c>
      <c r="L47" s="26" t="s">
        <v>340</v>
      </c>
    </row>
    <row r="48" ht="15.75" customHeight="1">
      <c r="A48" s="42" t="s">
        <v>1418</v>
      </c>
      <c r="B48" s="22">
        <v>15.0</v>
      </c>
      <c r="C48" s="22" t="s">
        <v>310</v>
      </c>
      <c r="D48" s="22" t="s">
        <v>110</v>
      </c>
      <c r="E48" s="22" t="s">
        <v>105</v>
      </c>
      <c r="F48" s="34" t="s">
        <v>42</v>
      </c>
      <c r="G48" s="41" t="s">
        <v>1470</v>
      </c>
      <c r="H48" s="22"/>
      <c r="I48" s="41" t="s">
        <v>1471</v>
      </c>
      <c r="J48" s="22"/>
      <c r="K48" s="41" t="s">
        <v>1407</v>
      </c>
      <c r="L48" s="26" t="s">
        <v>312</v>
      </c>
    </row>
    <row r="49" ht="15.75" customHeight="1">
      <c r="A49" s="42" t="s">
        <v>1418</v>
      </c>
      <c r="B49" s="22">
        <v>16.0</v>
      </c>
      <c r="C49" s="22" t="s">
        <v>393</v>
      </c>
      <c r="D49" s="22" t="s">
        <v>110</v>
      </c>
      <c r="E49" s="22" t="s">
        <v>105</v>
      </c>
      <c r="F49" s="34" t="s">
        <v>42</v>
      </c>
      <c r="G49" s="41" t="s">
        <v>1474</v>
      </c>
      <c r="H49" s="22"/>
      <c r="I49" s="41" t="s">
        <v>1465</v>
      </c>
      <c r="J49" s="22" t="s">
        <v>229</v>
      </c>
      <c r="K49" s="41" t="s">
        <v>1407</v>
      </c>
      <c r="L49" s="26" t="s">
        <v>399</v>
      </c>
    </row>
    <row r="50" ht="15.75" customHeight="1">
      <c r="A50" s="42" t="s">
        <v>1418</v>
      </c>
      <c r="B50" s="22">
        <v>17.0</v>
      </c>
      <c r="C50" s="22" t="s">
        <v>388</v>
      </c>
      <c r="D50" s="22" t="s">
        <v>110</v>
      </c>
      <c r="E50" s="22" t="s">
        <v>105</v>
      </c>
      <c r="F50" s="34" t="s">
        <v>42</v>
      </c>
      <c r="G50" s="41" t="s">
        <v>1475</v>
      </c>
      <c r="H50" s="22"/>
      <c r="I50" s="41" t="s">
        <v>1476</v>
      </c>
      <c r="J50" s="22"/>
      <c r="K50" s="41" t="s">
        <v>1407</v>
      </c>
      <c r="L50" s="26" t="s">
        <v>389</v>
      </c>
    </row>
    <row r="51" ht="15.75" customHeight="1">
      <c r="A51" s="42" t="s">
        <v>1418</v>
      </c>
      <c r="B51" s="22">
        <v>18.0</v>
      </c>
      <c r="C51" s="22" t="s">
        <v>353</v>
      </c>
      <c r="D51" s="22" t="s">
        <v>110</v>
      </c>
      <c r="E51" s="22" t="s">
        <v>105</v>
      </c>
      <c r="F51" s="34" t="s">
        <v>42</v>
      </c>
      <c r="G51" s="41" t="s">
        <v>1477</v>
      </c>
      <c r="H51" s="22"/>
      <c r="I51" s="41" t="s">
        <v>1478</v>
      </c>
      <c r="J51" s="22" t="s">
        <v>229</v>
      </c>
      <c r="K51" s="41" t="s">
        <v>1407</v>
      </c>
      <c r="L51" s="26" t="s">
        <v>358</v>
      </c>
    </row>
    <row r="52" ht="15.75" customHeight="1">
      <c r="A52" s="44" t="s">
        <v>1479</v>
      </c>
      <c r="B52" s="22">
        <v>1.0</v>
      </c>
      <c r="C52" s="22" t="s">
        <v>253</v>
      </c>
      <c r="D52" s="22" t="s">
        <v>114</v>
      </c>
      <c r="E52" s="22" t="s">
        <v>412</v>
      </c>
      <c r="F52" s="23" t="s">
        <v>31</v>
      </c>
      <c r="G52" s="41" t="s">
        <v>1481</v>
      </c>
      <c r="H52" s="22" t="s">
        <v>1482</v>
      </c>
      <c r="I52" s="41" t="s">
        <v>1483</v>
      </c>
      <c r="J52" s="22" t="s">
        <v>1324</v>
      </c>
      <c r="K52" s="41" t="s">
        <v>1484</v>
      </c>
      <c r="L52" s="26" t="s">
        <v>262</v>
      </c>
    </row>
    <row r="53" ht="15.75" customHeight="1">
      <c r="A53" s="44" t="s">
        <v>1479</v>
      </c>
      <c r="B53" s="22">
        <v>2.0</v>
      </c>
      <c r="C53" s="22" t="s">
        <v>148</v>
      </c>
      <c r="D53" s="22" t="s">
        <v>110</v>
      </c>
      <c r="E53" s="22" t="s">
        <v>105</v>
      </c>
      <c r="F53" s="23" t="s">
        <v>31</v>
      </c>
      <c r="G53" s="41" t="s">
        <v>1485</v>
      </c>
      <c r="H53" s="22"/>
      <c r="I53" s="41" t="s">
        <v>1486</v>
      </c>
      <c r="J53" s="22" t="s">
        <v>150</v>
      </c>
      <c r="K53" s="41" t="s">
        <v>1484</v>
      </c>
      <c r="L53" s="26" t="s">
        <v>149</v>
      </c>
    </row>
    <row r="54" ht="15.75" customHeight="1">
      <c r="A54" s="44" t="s">
        <v>1479</v>
      </c>
      <c r="B54" s="22">
        <v>3.0</v>
      </c>
      <c r="C54" s="22" t="s">
        <v>303</v>
      </c>
      <c r="D54" s="22" t="s">
        <v>114</v>
      </c>
      <c r="E54" s="22" t="s">
        <v>412</v>
      </c>
      <c r="F54" s="29" t="s">
        <v>38</v>
      </c>
      <c r="G54" s="41" t="s">
        <v>1487</v>
      </c>
      <c r="H54" s="22" t="s">
        <v>1488</v>
      </c>
      <c r="I54" s="41" t="s">
        <v>1489</v>
      </c>
      <c r="J54" s="22" t="s">
        <v>1324</v>
      </c>
      <c r="K54" s="41" t="s">
        <v>1484</v>
      </c>
      <c r="L54" s="26" t="s">
        <v>311</v>
      </c>
    </row>
    <row r="55" ht="15.75" customHeight="1">
      <c r="A55" s="44" t="s">
        <v>1479</v>
      </c>
      <c r="B55" s="22">
        <v>4.0</v>
      </c>
      <c r="C55" s="22" t="s">
        <v>325</v>
      </c>
      <c r="D55" s="22" t="s">
        <v>114</v>
      </c>
      <c r="E55" s="22" t="s">
        <v>412</v>
      </c>
      <c r="F55" s="29" t="s">
        <v>38</v>
      </c>
      <c r="G55" s="41" t="s">
        <v>1491</v>
      </c>
      <c r="H55" s="22" t="s">
        <v>1492</v>
      </c>
      <c r="I55" s="41" t="s">
        <v>1493</v>
      </c>
      <c r="J55" s="22" t="s">
        <v>1494</v>
      </c>
      <c r="K55" s="41" t="s">
        <v>1484</v>
      </c>
      <c r="L55" s="26" t="s">
        <v>336</v>
      </c>
    </row>
    <row r="56" ht="15.75" customHeight="1">
      <c r="A56" s="44" t="s">
        <v>1479</v>
      </c>
      <c r="B56" s="22">
        <v>5.0</v>
      </c>
      <c r="C56" s="22" t="s">
        <v>503</v>
      </c>
      <c r="D56" s="22" t="s">
        <v>114</v>
      </c>
      <c r="E56" s="22" t="s">
        <v>412</v>
      </c>
      <c r="F56" s="29" t="s">
        <v>38</v>
      </c>
      <c r="G56" s="41" t="s">
        <v>1495</v>
      </c>
      <c r="H56" s="22" t="s">
        <v>1496</v>
      </c>
      <c r="I56" s="41" t="s">
        <v>1497</v>
      </c>
      <c r="J56" s="22" t="s">
        <v>1498</v>
      </c>
      <c r="K56" s="41" t="s">
        <v>1484</v>
      </c>
      <c r="L56" s="26" t="s">
        <v>510</v>
      </c>
    </row>
    <row r="57" ht="15.75" customHeight="1">
      <c r="A57" s="44" t="s">
        <v>1479</v>
      </c>
      <c r="B57" s="22">
        <v>6.0</v>
      </c>
      <c r="C57" s="22" t="s">
        <v>215</v>
      </c>
      <c r="D57" s="22" t="s">
        <v>110</v>
      </c>
      <c r="E57" s="22" t="s">
        <v>105</v>
      </c>
      <c r="F57" s="29" t="s">
        <v>38</v>
      </c>
      <c r="G57" s="41" t="s">
        <v>1499</v>
      </c>
      <c r="H57" s="22"/>
      <c r="I57" s="41" t="s">
        <v>1500</v>
      </c>
      <c r="J57" s="22" t="s">
        <v>1324</v>
      </c>
      <c r="K57" s="41" t="s">
        <v>1484</v>
      </c>
      <c r="L57" s="26" t="s">
        <v>218</v>
      </c>
    </row>
    <row r="58" ht="15.75" customHeight="1">
      <c r="A58" s="44" t="s">
        <v>1479</v>
      </c>
      <c r="B58" s="22">
        <v>7.0</v>
      </c>
      <c r="C58" s="22" t="s">
        <v>207</v>
      </c>
      <c r="D58" s="22" t="s">
        <v>110</v>
      </c>
      <c r="E58" s="22" t="s">
        <v>105</v>
      </c>
      <c r="F58" s="29" t="s">
        <v>38</v>
      </c>
      <c r="G58" s="41" t="s">
        <v>1504</v>
      </c>
      <c r="H58" s="22"/>
      <c r="I58" s="41" t="s">
        <v>1505</v>
      </c>
      <c r="J58" s="22"/>
      <c r="K58" s="41" t="s">
        <v>1484</v>
      </c>
      <c r="L58" s="26" t="s">
        <v>210</v>
      </c>
    </row>
    <row r="59" ht="15.75" customHeight="1">
      <c r="A59" s="45" t="s">
        <v>1196</v>
      </c>
      <c r="B59" s="22">
        <v>1.0</v>
      </c>
      <c r="C59" s="22" t="s">
        <v>134</v>
      </c>
      <c r="D59" s="22" t="s">
        <v>114</v>
      </c>
      <c r="E59" s="22" t="s">
        <v>412</v>
      </c>
      <c r="F59" s="23" t="s">
        <v>31</v>
      </c>
      <c r="G59" s="41" t="s">
        <v>1513</v>
      </c>
      <c r="H59" s="22" t="s">
        <v>1514</v>
      </c>
      <c r="I59" s="41" t="s">
        <v>1517</v>
      </c>
      <c r="J59" s="22" t="s">
        <v>166</v>
      </c>
      <c r="K59" s="41" t="s">
        <v>1519</v>
      </c>
      <c r="L59" s="26" t="s">
        <v>168</v>
      </c>
    </row>
    <row r="60" ht="15.75" customHeight="1">
      <c r="A60" s="45" t="s">
        <v>1196</v>
      </c>
      <c r="B60" s="22">
        <v>2.0</v>
      </c>
      <c r="C60" s="22" t="s">
        <v>576</v>
      </c>
      <c r="D60" s="22" t="s">
        <v>114</v>
      </c>
      <c r="E60" s="22" t="s">
        <v>412</v>
      </c>
      <c r="F60" s="29" t="s">
        <v>38</v>
      </c>
      <c r="G60" s="41" t="s">
        <v>1523</v>
      </c>
      <c r="H60" s="22" t="s">
        <v>1524</v>
      </c>
      <c r="I60" s="41" t="s">
        <v>1526</v>
      </c>
      <c r="J60" s="22" t="s">
        <v>1527</v>
      </c>
      <c r="K60" s="41" t="s">
        <v>1519</v>
      </c>
      <c r="L60" s="26" t="s">
        <v>591</v>
      </c>
    </row>
    <row r="61" ht="15.75" customHeight="1">
      <c r="A61" s="45" t="s">
        <v>1196</v>
      </c>
      <c r="B61" s="22">
        <v>3.0</v>
      </c>
      <c r="C61" s="22" t="s">
        <v>470</v>
      </c>
      <c r="D61" s="22" t="s">
        <v>114</v>
      </c>
      <c r="E61" s="22" t="s">
        <v>412</v>
      </c>
      <c r="F61" s="29" t="s">
        <v>38</v>
      </c>
      <c r="G61" s="41" t="s">
        <v>1533</v>
      </c>
      <c r="H61" s="22" t="s">
        <v>1535</v>
      </c>
      <c r="I61" s="41" t="s">
        <v>1536</v>
      </c>
      <c r="J61" s="22" t="s">
        <v>481</v>
      </c>
      <c r="K61" s="41" t="s">
        <v>1519</v>
      </c>
      <c r="L61" s="26" t="s">
        <v>484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9:$L$61"/>
  <mergeCells count="3">
    <mergeCell ref="A8:F8"/>
    <mergeCell ref="G8:H8"/>
    <mergeCell ref="I8:L8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sheetData>
    <row r="1">
      <c r="A1" s="21" t="s">
        <v>1319</v>
      </c>
    </row>
    <row r="2">
      <c r="A2" s="21" t="s">
        <v>1322</v>
      </c>
    </row>
    <row r="3">
      <c r="A3" s="21" t="s">
        <v>1325</v>
      </c>
    </row>
    <row r="4">
      <c r="A4" s="21" t="s">
        <v>89</v>
      </c>
      <c r="B4" s="21" t="s">
        <v>1326</v>
      </c>
      <c r="C4" s="21" t="s">
        <v>1327</v>
      </c>
      <c r="D4" s="21" t="s">
        <v>1329</v>
      </c>
      <c r="E4" s="21" t="s">
        <v>1331</v>
      </c>
      <c r="F4" s="21" t="s">
        <v>1334</v>
      </c>
      <c r="G4" s="21" t="s">
        <v>1336</v>
      </c>
      <c r="H4" s="21" t="s">
        <v>1338</v>
      </c>
      <c r="I4" s="21" t="s">
        <v>1339</v>
      </c>
    </row>
    <row r="5">
      <c r="A5" s="21" t="s">
        <v>412</v>
      </c>
      <c r="B5" s="21">
        <v>400.0</v>
      </c>
      <c r="C5" s="21">
        <v>150.0</v>
      </c>
      <c r="D5" s="21">
        <v>50.0</v>
      </c>
      <c r="E5" s="21">
        <v>10.0</v>
      </c>
      <c r="F5" s="21">
        <v>0.006</v>
      </c>
      <c r="G5" s="21">
        <v>5.0E-4</v>
      </c>
      <c r="H5" s="21" t="s">
        <v>1343</v>
      </c>
      <c r="I5" s="21" t="s">
        <v>1344</v>
      </c>
    </row>
    <row r="6">
      <c r="A6" s="21" t="s">
        <v>105</v>
      </c>
      <c r="B6" s="21">
        <v>3000.0</v>
      </c>
      <c r="C6" s="21">
        <v>1500.0</v>
      </c>
      <c r="D6" s="21">
        <v>500.0</v>
      </c>
      <c r="E6" s="21">
        <v>8.0</v>
      </c>
      <c r="F6" s="21">
        <v>0.08</v>
      </c>
      <c r="G6" s="21">
        <v>0.005</v>
      </c>
      <c r="H6" s="21" t="s">
        <v>1345</v>
      </c>
      <c r="I6" s="21" t="s">
        <v>1348</v>
      </c>
    </row>
    <row r="7">
      <c r="A7" s="21" t="s">
        <v>154</v>
      </c>
      <c r="B7" s="21">
        <v>10000.0</v>
      </c>
      <c r="C7" s="21">
        <v>3000.0</v>
      </c>
      <c r="D7" s="21">
        <v>1000.0</v>
      </c>
      <c r="E7" s="21">
        <v>3.0</v>
      </c>
      <c r="F7" s="21">
        <v>0.05</v>
      </c>
      <c r="G7" s="21">
        <v>0.005</v>
      </c>
      <c r="H7" s="21" t="s">
        <v>1351</v>
      </c>
      <c r="I7" s="21" t="s">
        <v>1348</v>
      </c>
    </row>
    <row r="9">
      <c r="A9" s="21" t="s">
        <v>1356</v>
      </c>
      <c r="B9" s="21" t="s">
        <v>1357</v>
      </c>
    </row>
    <row r="10">
      <c r="A10" s="21" t="s">
        <v>1359</v>
      </c>
      <c r="B10" s="21" t="s">
        <v>1362</v>
      </c>
    </row>
    <row r="11">
      <c r="A11" s="21" t="s">
        <v>1364</v>
      </c>
      <c r="B11" s="21" t="s">
        <v>1365</v>
      </c>
    </row>
    <row r="12">
      <c r="A12" s="21" t="s">
        <v>1366</v>
      </c>
      <c r="B12" s="21" t="s">
        <v>1368</v>
      </c>
    </row>
    <row r="13">
      <c r="A13" s="21" t="s">
        <v>1371</v>
      </c>
      <c r="B13" s="21" t="s">
        <v>1372</v>
      </c>
    </row>
    <row r="14">
      <c r="A14" s="21" t="s">
        <v>1373</v>
      </c>
      <c r="B14" s="21" t="s">
        <v>1374</v>
      </c>
    </row>
    <row r="15">
      <c r="A15" s="21" t="s">
        <v>1375</v>
      </c>
      <c r="B15" s="21" t="s">
        <v>1378</v>
      </c>
    </row>
    <row r="16">
      <c r="A16" s="21" t="s">
        <v>1381</v>
      </c>
      <c r="B16" s="21" t="s">
        <v>1382</v>
      </c>
    </row>
    <row r="17">
      <c r="A17" s="21" t="s">
        <v>1383</v>
      </c>
      <c r="B17" s="21" t="s">
        <v>1385</v>
      </c>
    </row>
    <row r="18">
      <c r="A18" s="21" t="s">
        <v>1388</v>
      </c>
      <c r="B18" s="21" t="s">
        <v>1389</v>
      </c>
    </row>
    <row r="19">
      <c r="A19" s="21" t="s">
        <v>1390</v>
      </c>
      <c r="B19" s="21" t="s">
        <v>1391</v>
      </c>
    </row>
    <row r="20">
      <c r="A20" s="21" t="s">
        <v>1392</v>
      </c>
      <c r="B20" s="21" t="s">
        <v>1393</v>
      </c>
    </row>
    <row r="21">
      <c r="A21" s="21" t="s">
        <v>1396</v>
      </c>
      <c r="B21" s="21" t="s">
        <v>1398</v>
      </c>
    </row>
    <row r="22">
      <c r="A22" s="21" t="s">
        <v>1400</v>
      </c>
      <c r="B22" s="43" t="s">
        <v>1402</v>
      </c>
    </row>
    <row r="23">
      <c r="A23" s="21" t="s">
        <v>1419</v>
      </c>
      <c r="B23" s="43" t="s">
        <v>1420</v>
      </c>
    </row>
    <row r="24">
      <c r="A24" s="21" t="s">
        <v>1433</v>
      </c>
      <c r="B24" s="21" t="s">
        <v>1434</v>
      </c>
    </row>
  </sheetData>
  <hyperlinks>
    <hyperlink r:id="rId1" location="q-what-does-the-eye-icon-mean" ref="B22"/>
    <hyperlink r:id="rId2" ref="B23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sheetData>
    <row r="1">
      <c r="A1" s="21" t="s">
        <v>1502</v>
      </c>
    </row>
    <row r="2">
      <c r="A2" s="21" t="s">
        <v>1503</v>
      </c>
    </row>
    <row r="3">
      <c r="A3" s="21" t="s">
        <v>1506</v>
      </c>
    </row>
    <row r="4">
      <c r="A4" s="21" t="s">
        <v>113</v>
      </c>
      <c r="B4" s="21" t="s">
        <v>86</v>
      </c>
      <c r="C4" s="21" t="s">
        <v>403</v>
      </c>
      <c r="D4" s="21" t="s">
        <v>53</v>
      </c>
      <c r="E4" s="21" t="s">
        <v>1507</v>
      </c>
      <c r="F4" s="21" t="s">
        <v>1508</v>
      </c>
      <c r="G4" s="21" t="s">
        <v>1509</v>
      </c>
      <c r="H4" s="21" t="s">
        <v>1510</v>
      </c>
      <c r="I4" s="21" t="s">
        <v>1511</v>
      </c>
      <c r="J4" s="21" t="s">
        <v>1512</v>
      </c>
      <c r="K4" s="21" t="s">
        <v>116</v>
      </c>
      <c r="L4" s="21" t="s">
        <v>1515</v>
      </c>
      <c r="M4" s="21" t="s">
        <v>92</v>
      </c>
      <c r="N4" s="21" t="s">
        <v>1518</v>
      </c>
      <c r="O4" s="21" t="s">
        <v>1520</v>
      </c>
      <c r="P4" s="21" t="s">
        <v>68</v>
      </c>
      <c r="Q4" s="21" t="s">
        <v>107</v>
      </c>
      <c r="R4" s="21" t="s">
        <v>1522</v>
      </c>
      <c r="S4" s="21" t="s">
        <v>1525</v>
      </c>
      <c r="T4" s="21" t="s">
        <v>1528</v>
      </c>
      <c r="U4" s="21" t="s">
        <v>60</v>
      </c>
      <c r="V4" s="21" t="s">
        <v>1529</v>
      </c>
      <c r="W4" s="21" t="s">
        <v>1530</v>
      </c>
      <c r="X4" s="21" t="s">
        <v>1531</v>
      </c>
      <c r="Y4" s="21" t="s">
        <v>1331</v>
      </c>
      <c r="Z4" s="21" t="s">
        <v>1532</v>
      </c>
    </row>
    <row r="5">
      <c r="A5" s="21" t="s">
        <v>169</v>
      </c>
      <c r="B5" s="21" t="s">
        <v>170</v>
      </c>
      <c r="C5" s="21" t="s">
        <v>134</v>
      </c>
      <c r="D5" s="21" t="s">
        <v>802</v>
      </c>
      <c r="E5" s="21" t="s">
        <v>412</v>
      </c>
      <c r="F5" s="43" t="s">
        <v>168</v>
      </c>
      <c r="G5" s="21" t="s">
        <v>1537</v>
      </c>
      <c r="H5" s="21">
        <v>46293.0</v>
      </c>
      <c r="K5" s="21" t="s">
        <v>1364</v>
      </c>
      <c r="L5" s="21" t="s">
        <v>166</v>
      </c>
      <c r="M5" s="21" t="s">
        <v>132</v>
      </c>
      <c r="O5" s="7">
        <f t="array" ref="O5">IF(_xlfn.XLOOKUP(A5,'글로벌 X'!$X$8:$X$50,'글로벌 X'!$P$8:$P$50,"",0)="","",_xlfn.XLOOKUP(A5,'글로벌 X'!$X$8:$X$50,'글로벌 X'!$P$8:$P$50,"",0))</f>
        <v>11</v>
      </c>
      <c r="P5" s="46">
        <f t="array" ref="P5">IF(_xlfn.XLOOKUP(A5,'글로벌 X'!$X$8:$X$50,'글로벌 X'!$Q$8:$Q$50,"",0)="","",_xlfn.XLOOKUP(A5,'글로벌 X'!$X$8:$X$50,'글로벌 X'!$Q$8:$Q$50,"",0))</f>
        <v>62411</v>
      </c>
      <c r="R5" s="47">
        <f t="array" ref="R5">IF(_xlfn.XLOOKUP(A5,'글로벌 X'!$X$8:$X$50,'글로벌 X'!$S$8:$S$50,"",0)="","",_xlfn.XLOOKUP(A5,'글로벌 X'!$X$8:$X$50,'글로벌 X'!$S$8:$S$50,"",0))</f>
        <v>0.028</v>
      </c>
      <c r="S5" s="46">
        <f t="array" ref="S5">IF(_xlfn.XLOOKUP(A5,'글로벌 X'!$X$8:$X$50,'글로벌 X'!$G$8:$G$50,"",0)="","",_xlfn.XLOOKUP(A5,'글로벌 X'!$X$8:$X$50,'글로벌 X'!$G$8:$G$50,"",0))</f>
        <v>89700</v>
      </c>
      <c r="T5" s="7">
        <f>IF(OR(S5="",S5&lt;=0,IF(E5="X",P5,Q5)=""),"",IF(E5="X",P5,Q5)/S5)</f>
        <v>0.6957748049</v>
      </c>
      <c r="U5" s="7" t="str">
        <f t="array" ref="U5">IF(OR(K5="조회 불가",K5="계정 확인 필요",O5="",V5=""),"미측정",IF(O5&lt;IF(E5="YouTube",1,3),"저빈도",IF(V5&gt;=_xlfn.XLOOKUP(E5,'선정 기준'!$A$5:$A$7,'선정 기준'!$B$5:$B$7),"P1",IF(V5&gt;=_xlfn.XLOOKUP(E5,'선정 기준'!$A$5:$A$7,'선정 기준'!$C$5:$C$7),"P2",IF(V5&gt;=_xlfn.XLOOKUP(E5,'선정 기준'!$A$5:$A$7,'선정 기준'!$D$5:$D$7),"P3","P4")))))</f>
        <v>P1</v>
      </c>
      <c r="V5" s="7">
        <f>IF(E5="X",IF(OR(P5="",R5=""),"",P5*R5),IF(Q5="","",Q5))</f>
        <v>1747.508</v>
      </c>
      <c r="W5" s="47">
        <f>IF(E5="X",IF(R5="","",R5),IF(T5="","",T5))</f>
        <v>0.028</v>
      </c>
      <c r="X5" s="7">
        <f t="array" ref="X5">_xlfn.XLOOKUP(E5,'선정 기준'!$A$5:$A$7,'선정 기준'!$F$5:$F$7)</f>
        <v>0.006</v>
      </c>
      <c r="Y5" s="7">
        <f t="array" ref="Y5">_xlfn.XLOOKUP(E5,'선정 기준'!$A$5:$A$7,'선정 기준'!$E$5:$E$7)</f>
        <v>10</v>
      </c>
      <c r="Z5" s="21" t="s">
        <v>31</v>
      </c>
    </row>
    <row r="11">
      <c r="A11" s="21" t="s">
        <v>315</v>
      </c>
      <c r="B11" s="21" t="s">
        <v>316</v>
      </c>
      <c r="C11" s="21" t="s">
        <v>303</v>
      </c>
      <c r="D11" s="21" t="s">
        <v>802</v>
      </c>
      <c r="E11" s="21" t="s">
        <v>412</v>
      </c>
      <c r="F11" s="43" t="s">
        <v>311</v>
      </c>
      <c r="G11" s="21" t="s">
        <v>1537</v>
      </c>
      <c r="H11" s="21">
        <v>46293.0</v>
      </c>
      <c r="K11" s="21" t="s">
        <v>1364</v>
      </c>
      <c r="L11" s="21" t="s">
        <v>1215</v>
      </c>
      <c r="M11" s="21" t="s">
        <v>132</v>
      </c>
      <c r="O11" s="7">
        <f t="array" ref="O11">IF(_xlfn.XLOOKUP(A11,'글로벌 X'!$X$8:$X$50,'글로벌 X'!$P$8:$P$50,"",0)="","",_xlfn.XLOOKUP(A11,'글로벌 X'!$X$8:$X$50,'글로벌 X'!$P$8:$P$50,"",0))</f>
        <v>81</v>
      </c>
      <c r="P11" s="46">
        <f t="array" ref="P11">IF(_xlfn.XLOOKUP(A11,'글로벌 X'!$X$8:$X$50,'글로벌 X'!$Q$8:$Q$50,"",0)="","",_xlfn.XLOOKUP(A11,'글로벌 X'!$X$8:$X$50,'글로벌 X'!$Q$8:$Q$50,"",0))</f>
        <v>65242</v>
      </c>
      <c r="R11" s="47">
        <f t="array" ref="R11">IF(_xlfn.XLOOKUP(A11,'글로벌 X'!$X$8:$X$50,'글로벌 X'!$S$8:$S$50,"",0)="","",_xlfn.XLOOKUP(A11,'글로벌 X'!$X$8:$X$50,'글로벌 X'!$S$8:$S$50,"",0))</f>
        <v>0.0053</v>
      </c>
      <c r="S11" s="46">
        <f t="array" ref="S11">IF(_xlfn.XLOOKUP(A11,'글로벌 X'!$X$8:$X$50,'글로벌 X'!$G$8:$G$50,"",0)="","",_xlfn.XLOOKUP(A11,'글로벌 X'!$X$8:$X$50,'글로벌 X'!$G$8:$G$50,"",0))</f>
        <v>563000</v>
      </c>
      <c r="T11" s="7">
        <f>IF(OR(S11="",S11&lt;=0,IF(E11="X",P11,Q11)=""),"",IF(E11="X",P11,Q11)/S11)</f>
        <v>0.1158827709</v>
      </c>
      <c r="U11" s="7" t="str">
        <f t="array" ref="U11">IF(OR(K11="조회 불가",K11="계정 확인 필요",O11="",V11=""),"미측정",IF(O11&lt;IF(E11="YouTube",1,3),"저빈도",IF(V11&gt;=_xlfn.XLOOKUP(E11,'선정 기준'!$A$5:$A$7,'선정 기준'!$B$5:$B$7),"P1",IF(V11&gt;=_xlfn.XLOOKUP(E11,'선정 기준'!$A$5:$A$7,'선정 기준'!$C$5:$C$7),"P2",IF(V11&gt;=_xlfn.XLOOKUP(E11,'선정 기준'!$A$5:$A$7,'선정 기준'!$D$5:$D$7),"P3","P4")))))</f>
        <v>P2</v>
      </c>
      <c r="V11" s="7">
        <f>IF(E11="X",IF(OR(P11="",R11=""),"",P11*R11),IF(Q11="","",Q11))</f>
        <v>345.7826</v>
      </c>
      <c r="W11" s="47">
        <f>IF(E11="X",IF(R11="","",R11),IF(T11="","",T11))</f>
        <v>0.0053</v>
      </c>
      <c r="X11" s="7">
        <f t="array" ref="X11">_xlfn.XLOOKUP(E11,'선정 기준'!$A$5:$A$7,'선정 기준'!$F$5:$F$7)</f>
        <v>0.006</v>
      </c>
      <c r="Y11" s="7">
        <f t="array" ref="Y11">_xlfn.XLOOKUP(E11,'선정 기준'!$A$5:$A$7,'선정 기준'!$E$5:$E$7)</f>
        <v>10</v>
      </c>
      <c r="Z11" s="21" t="s">
        <v>38</v>
      </c>
    </row>
    <row r="39">
      <c r="A39" s="21" t="s">
        <v>977</v>
      </c>
      <c r="B39" s="21" t="s">
        <v>958</v>
      </c>
      <c r="C39" s="21" t="s">
        <v>973</v>
      </c>
      <c r="D39" s="21" t="s">
        <v>802</v>
      </c>
      <c r="E39" s="21" t="s">
        <v>412</v>
      </c>
      <c r="F39" s="43" t="s">
        <v>976</v>
      </c>
      <c r="G39" s="21" t="s">
        <v>1537</v>
      </c>
      <c r="H39" s="21">
        <v>46293.0</v>
      </c>
      <c r="K39" s="21" t="s">
        <v>1366</v>
      </c>
      <c r="L39" s="21" t="s">
        <v>975</v>
      </c>
      <c r="M39" s="21" t="s">
        <v>132</v>
      </c>
      <c r="O39" s="7" t="str">
        <f t="array" ref="O39">IF(_xlfn.XLOOKUP(A39,'글로벌 X'!$X$8:$X$50,'글로벌 X'!$P$8:$P$50,"",0)="","",_xlfn.XLOOKUP(A39,'글로벌 X'!$X$8:$X$50,'글로벌 X'!$P$8:$P$50,"",0))</f>
        <v/>
      </c>
      <c r="P39" s="7" t="str">
        <f t="array" ref="P39">IF(_xlfn.XLOOKUP(A39,'글로벌 X'!$X$8:$X$50,'글로벌 X'!$Q$8:$Q$50,"",0)="","",_xlfn.XLOOKUP(A39,'글로벌 X'!$X$8:$X$50,'글로벌 X'!$Q$8:$Q$50,"",0))</f>
        <v/>
      </c>
      <c r="R39" s="7" t="str">
        <f t="array" ref="R39">IF(_xlfn.XLOOKUP(A39,'글로벌 X'!$X$8:$X$50,'글로벌 X'!$S$8:$S$50,"",0)="","",_xlfn.XLOOKUP(A39,'글로벌 X'!$X$8:$X$50,'글로벌 X'!$S$8:$S$50,"",0))</f>
        <v/>
      </c>
      <c r="S39" s="46">
        <f t="array" ref="S39">IF(_xlfn.XLOOKUP(A39,'글로벌 X'!$X$8:$X$50,'글로벌 X'!$G$8:$G$50,"",0)="","",_xlfn.XLOOKUP(A39,'글로벌 X'!$X$8:$X$50,'글로벌 X'!$G$8:$G$50,"",0))</f>
        <v>56200</v>
      </c>
      <c r="T39" s="7" t="str">
        <f>IF(OR(S39="",S39&lt;=0,IF(E39="X",P39,Q39)=""),"",IF(E39="X",P39,Q39)/S39)</f>
        <v/>
      </c>
      <c r="U39" s="7" t="str">
        <f t="array" ref="U39">IF(OR(K39="조회 불가",K39="계정 확인 필요",O39="",V39=""),"미측정",IF(O39&lt;IF(E39="YouTube",1,3),"저빈도",IF(V39&gt;=_xlfn.XLOOKUP(E39,'선정 기준'!$A$5:$A$7,'선정 기준'!$B$5:$B$7),"P1",IF(V39&gt;=_xlfn.XLOOKUP(E39,'선정 기준'!$A$5:$A$7,'선정 기준'!$C$5:$C$7),"P2",IF(V39&gt;=_xlfn.XLOOKUP(E39,'선정 기준'!$A$5:$A$7,'선정 기준'!$D$5:$D$7),"P3","P4")))))</f>
        <v>미측정</v>
      </c>
      <c r="V39" s="7" t="str">
        <f>IF(E39="X",IF(OR(P39="",R39=""),"",P39*R39),IF(Q39="","",Q39))</f>
        <v/>
      </c>
      <c r="W39" s="7" t="str">
        <f>IF(E39="X",IF(R39="","",R39),IF(T39="","",T39))</f>
        <v/>
      </c>
      <c r="X39" s="7">
        <f t="array" ref="X39">_xlfn.XLOOKUP(E39,'선정 기준'!$A$5:$A$7,'선정 기준'!$F$5:$F$7)</f>
        <v>0.006</v>
      </c>
      <c r="Y39" s="7">
        <f t="array" ref="Y39">_xlfn.XLOOKUP(E39,'선정 기준'!$A$5:$A$7,'선정 기준'!$E$5:$E$7)</f>
        <v>10</v>
      </c>
      <c r="Z39" s="21" t="s">
        <v>48</v>
      </c>
    </row>
    <row r="101">
      <c r="A101" s="21" t="s">
        <v>971</v>
      </c>
      <c r="B101" s="21" t="s">
        <v>972</v>
      </c>
      <c r="C101" s="21" t="s">
        <v>968</v>
      </c>
      <c r="D101" s="21" t="s">
        <v>802</v>
      </c>
      <c r="E101" s="21" t="s">
        <v>105</v>
      </c>
      <c r="F101" s="43" t="s">
        <v>970</v>
      </c>
      <c r="G101" s="21" t="s">
        <v>1559</v>
      </c>
      <c r="H101" s="21">
        <v>46293.0</v>
      </c>
      <c r="K101" s="21" t="s">
        <v>1371</v>
      </c>
      <c r="L101" s="21" t="s">
        <v>949</v>
      </c>
      <c r="M101" s="21" t="s">
        <v>132</v>
      </c>
      <c r="O101" s="7" t="str">
        <f t="array" ref="O101">IF(_xlfn.XLOOKUP(A101,'글로벌 TG'!$X$8:$X$35,'글로벌 TG'!$L$8:$L$35,"",0)="","",_xlfn.XLOOKUP(A101,'글로벌 TG'!$X$8:$X$35,'글로벌 TG'!$L$8:$L$35,"",0))</f>
        <v/>
      </c>
      <c r="P101" s="7" t="str">
        <f t="array" ref="P101">IF(_xlfn.XLOOKUP(A101,'글로벌 TG'!$X$8:$X$35,'글로벌 TG'!$M$8:$M$35,"",0)="","",_xlfn.XLOOKUP(A101,'글로벌 TG'!$X$8:$X$35,'글로벌 TG'!$M$8:$M$35,"",0))</f>
        <v/>
      </c>
      <c r="Q101" s="7" t="str">
        <f t="array" ref="Q101">IF(_xlfn.XLOOKUP(A101,'글로벌 TG'!$X$8:$X$35,'글로벌 TG'!$N$8:$N$35,"",0)="","",_xlfn.XLOOKUP(A101,'글로벌 TG'!$X$8:$X$35,'글로벌 TG'!$N$8:$N$35,"",0))</f>
        <v/>
      </c>
      <c r="S101" s="7" t="str">
        <f t="array" ref="S101">IF(_xlfn.XLOOKUP(A101,'글로벌 TG'!$X$8:$X$35,'글로벌 TG'!$E$8:$E$35,"",0)="","",_xlfn.XLOOKUP(A101,'글로벌 TG'!$X$8:$X$35,'글로벌 TG'!$E$8:$E$35,"",0))</f>
        <v/>
      </c>
      <c r="T101" s="7" t="str">
        <f>IF(OR(S101="",S101&lt;=0,IF(E101="X",P101,Q101)=""),"",IF(E101="X",P101,Q101)/S101)</f>
        <v/>
      </c>
      <c r="U101" s="7" t="str">
        <f t="array" ref="U101">IF(OR(K101="조회 불가",K101="계정 확인 필요",O101="",V101=""),"미측정",IF(O101&lt;IF(E101="YouTube",1,3),"저빈도",IF(V101&gt;=_xlfn.XLOOKUP(E101,'선정 기준'!$A$5:$A$7,'선정 기준'!$B$5:$B$7),"P1",IF(V101&gt;=_xlfn.XLOOKUP(E101,'선정 기준'!$A$5:$A$7,'선정 기준'!$C$5:$C$7),"P2",IF(V101&gt;=_xlfn.XLOOKUP(E101,'선정 기준'!$A$5:$A$7,'선정 기준'!$D$5:$D$7),"P3","P4")))))</f>
        <v>미측정</v>
      </c>
      <c r="V101" s="7" t="str">
        <f>IF(E101="X",IF(OR(P101="",R101=""),"",P101*R101),IF(Q101="","",Q101))</f>
        <v/>
      </c>
      <c r="W101" s="7" t="str">
        <f>IF(E101="X",IF(R101="","",R101),IF(T101="","",T101))</f>
        <v/>
      </c>
      <c r="X101" s="7">
        <f t="array" ref="X101">_xlfn.XLOOKUP(E101,'선정 기준'!$A$5:$A$7,'선정 기준'!$F$5:$F$7)</f>
        <v>0.08</v>
      </c>
      <c r="Y101" s="7">
        <f t="array" ref="Y101">_xlfn.XLOOKUP(E101,'선정 기준'!$A$5:$A$7,'선정 기준'!$E$5:$E$7)</f>
        <v>8</v>
      </c>
      <c r="Z101" s="21" t="s">
        <v>947</v>
      </c>
    </row>
    <row r="108">
      <c r="A108" s="21" t="s">
        <v>178</v>
      </c>
      <c r="B108" s="21" t="s">
        <v>177</v>
      </c>
      <c r="C108" s="21" t="s">
        <v>174</v>
      </c>
      <c r="D108" s="21" t="s">
        <v>98</v>
      </c>
      <c r="E108" s="21" t="s">
        <v>105</v>
      </c>
      <c r="F108" s="43" t="s">
        <v>175</v>
      </c>
      <c r="G108" s="21" t="s">
        <v>1560</v>
      </c>
      <c r="H108" s="21">
        <v>46293.0</v>
      </c>
      <c r="K108" s="21" t="s">
        <v>1366</v>
      </c>
      <c r="L108" s="21" t="s">
        <v>1092</v>
      </c>
      <c r="M108" s="21" t="s">
        <v>132</v>
      </c>
      <c r="O108" s="7">
        <f t="array" ref="O108">IF(_xlfn.XLOOKUP(A108,'한국 TG'!$X$8:$X$74,'한국 TG'!$K$8:$K$74,"",0)="","",_xlfn.XLOOKUP(A108,'한국 TG'!$X$8:$X$74,'한국 TG'!$K$8:$K$74,"",0))</f>
        <v>839</v>
      </c>
      <c r="P108" s="46">
        <f t="array" ref="P108">IF(_xlfn.XLOOKUP(A108,'한국 TG'!$X$8:$X$74,'한국 TG'!$L$8:$L$74,"",0)="","",_xlfn.XLOOKUP(A108,'한국 TG'!$X$8:$X$74,'한국 TG'!$L$8:$L$74,"",0))</f>
        <v>2416</v>
      </c>
      <c r="Q108" s="46">
        <f t="array" ref="Q108">IF(_xlfn.XLOOKUP(A108,'한국 TG'!$X$8:$X$74,'한국 TG'!$M$8:$M$74,"",0)="","",_xlfn.XLOOKUP(A108,'한국 TG'!$X$8:$X$74,'한국 TG'!$M$8:$M$74,"",0))</f>
        <v>2210</v>
      </c>
      <c r="S108" s="46">
        <f t="array" ref="S108">IF(_xlfn.XLOOKUP(A108,'한국 TG'!$X$8:$X$74,'한국 TG'!$E$8:$E$74,"",0)="","",_xlfn.XLOOKUP(A108,'한국 TG'!$X$8:$X$74,'한국 TG'!$E$8:$E$74,"",0))</f>
        <v>17400</v>
      </c>
      <c r="T108" s="7">
        <f>IF(OR(S108="",S108&lt;=0,IF(E108="X",P108,Q108)=""),"",IF(E108="X",P108,Q108)/S108)</f>
        <v>0.1270114943</v>
      </c>
      <c r="U108" s="7" t="str">
        <f t="array" ref="U108">IF(OR(K108="조회 불가",K108="계정 확인 필요",O108="",V108=""),"미측정",IF(O108&lt;IF(E108="YouTube",1,3),"저빈도",IF(V108&gt;=_xlfn.XLOOKUP(E108,'선정 기준'!$A$5:$A$7,'선정 기준'!$B$5:$B$7),"P1",IF(V108&gt;=_xlfn.XLOOKUP(E108,'선정 기준'!$A$5:$A$7,'선정 기준'!$C$5:$C$7),"P2",IF(V108&gt;=_xlfn.XLOOKUP(E108,'선정 기준'!$A$5:$A$7,'선정 기준'!$D$5:$D$7),"P3","P4")))))</f>
        <v>P2</v>
      </c>
      <c r="V108" s="46">
        <f>IF(E108="X",IF(OR(P108="",R108=""),"",P108*R108),IF(Q108="","",Q108))</f>
        <v>2210</v>
      </c>
      <c r="W108" s="7">
        <f>IF(E108="X",IF(R108="","",R108),IF(T108="","",T108))</f>
        <v>0.1270114943</v>
      </c>
      <c r="X108" s="7">
        <f t="array" ref="X108">_xlfn.XLOOKUP(E108,'선정 기준'!$A$5:$A$7,'선정 기준'!$F$5:$F$7)</f>
        <v>0.08</v>
      </c>
      <c r="Y108" s="7">
        <f t="array" ref="Y108">_xlfn.XLOOKUP(E108,'선정 기준'!$A$5:$A$7,'선정 기준'!$E$5:$E$7)</f>
        <v>8</v>
      </c>
      <c r="Z108" s="21" t="s">
        <v>38</v>
      </c>
    </row>
    <row r="166">
      <c r="A166" s="21" t="s">
        <v>783</v>
      </c>
      <c r="B166" s="21" t="s">
        <v>781</v>
      </c>
      <c r="C166" s="21" t="s">
        <v>771</v>
      </c>
      <c r="D166" s="21" t="s">
        <v>98</v>
      </c>
      <c r="E166" s="21" t="s">
        <v>105</v>
      </c>
      <c r="F166" s="43" t="s">
        <v>776</v>
      </c>
      <c r="G166" s="21" t="s">
        <v>1560</v>
      </c>
      <c r="H166" s="21">
        <v>46293.0</v>
      </c>
      <c r="K166" s="21" t="s">
        <v>1371</v>
      </c>
      <c r="L166" s="21" t="s">
        <v>780</v>
      </c>
      <c r="M166" s="21" t="s">
        <v>132</v>
      </c>
      <c r="O166" s="7" t="str">
        <f t="array" ref="O166">IF(_xlfn.XLOOKUP(A166,'한국 TG'!$X$8:$X$74,'한국 TG'!$K$8:$K$74,"",0)="","",_xlfn.XLOOKUP(A166,'한국 TG'!$X$8:$X$74,'한국 TG'!$K$8:$K$74,"",0))</f>
        <v/>
      </c>
      <c r="P166" s="7" t="str">
        <f t="array" ref="P166">IF(_xlfn.XLOOKUP(A166,'한국 TG'!$X$8:$X$74,'한국 TG'!$L$8:$L$74,"",0)="","",_xlfn.XLOOKUP(A166,'한국 TG'!$X$8:$X$74,'한국 TG'!$L$8:$L$74,"",0))</f>
        <v/>
      </c>
      <c r="Q166" s="7" t="str">
        <f t="array" ref="Q166">IF(_xlfn.XLOOKUP(A166,'한국 TG'!$X$8:$X$74,'한국 TG'!$M$8:$M$74,"",0)="","",_xlfn.XLOOKUP(A166,'한국 TG'!$X$8:$X$74,'한국 TG'!$M$8:$M$74,"",0))</f>
        <v/>
      </c>
      <c r="S166" s="7" t="str">
        <f t="array" ref="S166">IF(_xlfn.XLOOKUP(A166,'한국 TG'!$X$8:$X$74,'한국 TG'!$E$8:$E$74,"",0)="","",_xlfn.XLOOKUP(A166,'한국 TG'!$X$8:$X$74,'한국 TG'!$E$8:$E$74,"",0))</f>
        <v/>
      </c>
      <c r="T166" s="7" t="str">
        <f>IF(OR(S166="",S166&lt;=0,IF(E166="X",P166,Q166)=""),"",IF(E166="X",P166,Q166)/S166)</f>
        <v/>
      </c>
      <c r="U166" s="7" t="str">
        <f t="array" ref="U166">IF(OR(K166="조회 불가",K166="계정 확인 필요",O166="",V166=""),"미측정",IF(O166&lt;IF(E166="YouTube",1,3),"저빈도",IF(V166&gt;=_xlfn.XLOOKUP(E166,'선정 기준'!$A$5:$A$7,'선정 기준'!$B$5:$B$7),"P1",IF(V166&gt;=_xlfn.XLOOKUP(E166,'선정 기준'!$A$5:$A$7,'선정 기준'!$C$5:$C$7),"P2",IF(V166&gt;=_xlfn.XLOOKUP(E166,'선정 기준'!$A$5:$A$7,'선정 기준'!$D$5:$D$7),"P3","P4")))))</f>
        <v>미측정</v>
      </c>
      <c r="V166" s="7" t="str">
        <f>IF(E166="X",IF(OR(P166="",R166=""),"",P166*R166),IF(Q166="","",Q166))</f>
        <v/>
      </c>
      <c r="W166" s="7" t="str">
        <f>IF(E166="X",IF(R166="","",R166),IF(T166="","",T166))</f>
        <v/>
      </c>
      <c r="X166" s="7">
        <f t="array" ref="X166">_xlfn.XLOOKUP(E166,'선정 기준'!$A$5:$A$7,'선정 기준'!$F$5:$F$7)</f>
        <v>0.08</v>
      </c>
      <c r="Y166" s="7">
        <f t="array" ref="Y166">_xlfn.XLOOKUP(E166,'선정 기준'!$A$5:$A$7,'선정 기준'!$E$5:$E$7)</f>
        <v>8</v>
      </c>
      <c r="Z166" s="21" t="s">
        <v>54</v>
      </c>
    </row>
    <row r="191">
      <c r="A191" s="21" t="s">
        <v>1248</v>
      </c>
      <c r="B191" s="21" t="s">
        <v>513</v>
      </c>
      <c r="C191" s="21" t="s">
        <v>507</v>
      </c>
      <c r="D191" s="21" t="s">
        <v>98</v>
      </c>
      <c r="E191" s="21" t="s">
        <v>154</v>
      </c>
      <c r="F191" s="43" t="s">
        <v>509</v>
      </c>
      <c r="G191" s="21" t="s">
        <v>1561</v>
      </c>
      <c r="H191" s="21">
        <v>46293.0</v>
      </c>
      <c r="K191" s="21" t="s">
        <v>1373</v>
      </c>
      <c r="L191" s="21" t="s">
        <v>1247</v>
      </c>
      <c r="M191" s="21" t="s">
        <v>132</v>
      </c>
      <c r="O191" s="7" t="str">
        <f t="array" ref="O191">IF(_xlfn.XLOOKUP(A191,'한국 YT'!$X$8:$X$30,'한국 YT'!$I$8:$I$30,"",0)="","",_xlfn.XLOOKUP(A191,'한국 YT'!$X$8:$X$30,'한국 YT'!$I$8:$I$30,"",0))</f>
        <v/>
      </c>
      <c r="P191" s="7" t="str">
        <f t="array" ref="P191">IF(_xlfn.XLOOKUP(A191,'한국 YT'!$X$8:$X$30,'한국 YT'!$J$8:$J$30,"",0)="","",_xlfn.XLOOKUP(A191,'한국 YT'!$X$8:$X$30,'한국 YT'!$J$8:$J$30,"",0))</f>
        <v/>
      </c>
      <c r="Q191" s="7" t="str">
        <f t="array" ref="Q191">IF(_xlfn.XLOOKUP(A191,'한국 YT'!$X$8:$X$30,'한국 YT'!$K$8:$K$30,"",0)="","",_xlfn.XLOOKUP(A191,'한국 YT'!$X$8:$X$30,'한국 YT'!$K$8:$K$30,"",0))</f>
        <v/>
      </c>
      <c r="S191" s="7" t="str">
        <f t="array" ref="S191">IF(_xlfn.XLOOKUP(A191,'한국 YT'!$X$8:$X$30,'한국 YT'!$E$8:$E$30,"",0)="","",_xlfn.XLOOKUP(A191,'한국 YT'!$X$8:$X$30,'한국 YT'!$E$8:$E$30,"",0))</f>
        <v/>
      </c>
      <c r="T191" s="7" t="str">
        <f>IF(OR(S191="",S191&lt;=0,IF(E191="X",P191,Q191)=""),"",IF(E191="X",P191,Q191)/S191)</f>
        <v/>
      </c>
      <c r="U191" s="7" t="str">
        <f t="array" ref="U191">IF(OR(K191="조회 불가",K191="계정 확인 필요",O191="",V191=""),"미측정",IF(O191&lt;IF(E191="YouTube",1,3),"저빈도",IF(V191&gt;=_xlfn.XLOOKUP(E191,'선정 기준'!$A$5:$A$7,'선정 기준'!$B$5:$B$7),"P1",IF(V191&gt;=_xlfn.XLOOKUP(E191,'선정 기준'!$A$5:$A$7,'선정 기준'!$C$5:$C$7),"P2",IF(V191&gt;=_xlfn.XLOOKUP(E191,'선정 기준'!$A$5:$A$7,'선정 기준'!$D$5:$D$7),"P3","P4")))))</f>
        <v>미측정</v>
      </c>
      <c r="V191" s="7" t="str">
        <f>IF(E191="X",IF(OR(P191="",R191=""),"",P191*R191),IF(Q191="","",Q191))</f>
        <v/>
      </c>
      <c r="W191" s="7" t="str">
        <f>IF(E191="X",IF(R191="","",R191),IF(T191="","",T191))</f>
        <v/>
      </c>
      <c r="X191" s="7">
        <f t="array" ref="X191">_xlfn.XLOOKUP(E191,'선정 기준'!$A$5:$A$7,'선정 기준'!$F$5:$F$7)</f>
        <v>0.05</v>
      </c>
      <c r="Y191" s="7">
        <f t="array" ref="Y191">_xlfn.XLOOKUP(E191,'선정 기준'!$A$5:$A$7,'선정 기준'!$E$5:$E$7)</f>
        <v>3</v>
      </c>
      <c r="Z191" s="21" t="s">
        <v>54</v>
      </c>
    </row>
    <row r="193">
      <c r="A193" s="21" t="s">
        <v>1142</v>
      </c>
      <c r="B193" s="21" t="s">
        <v>274</v>
      </c>
      <c r="C193" s="21" t="s">
        <v>1130</v>
      </c>
      <c r="D193" s="21" t="s">
        <v>98</v>
      </c>
      <c r="E193" s="21" t="s">
        <v>412</v>
      </c>
      <c r="F193" s="43" t="s">
        <v>271</v>
      </c>
      <c r="G193" s="21" t="s">
        <v>1562</v>
      </c>
      <c r="H193" s="21">
        <v>46293.0</v>
      </c>
      <c r="I193" s="21">
        <v>46281.0</v>
      </c>
      <c r="K193" s="21" t="s">
        <v>1366</v>
      </c>
      <c r="L193" s="21" t="s">
        <v>1563</v>
      </c>
      <c r="M193" s="21" t="s">
        <v>147</v>
      </c>
      <c r="O193" s="7">
        <f t="array" ref="O193">IF(_xlfn.XLOOKUP(A193,'한국 X'!$X$7:$X$19,'한국 X'!$P$7:$P$19,"",0)="","",_xlfn.XLOOKUP(A193,'한국 X'!$X$7:$X$19,'한국 X'!$P$7:$P$19,"",0))</f>
        <v>17</v>
      </c>
      <c r="P193" s="46">
        <f t="array" ref="P193">IF(_xlfn.XLOOKUP(A193,'한국 X'!$X$7:$X$19,'한국 X'!$Q$7:$Q$19,"",0)="","",_xlfn.XLOOKUP(A193,'한국 X'!$X$7:$X$19,'한국 X'!$Q$7:$Q$19,"",0))</f>
        <v>910</v>
      </c>
      <c r="R193" s="47">
        <f t="array" ref="R193">IF(_xlfn.XLOOKUP(A193,'한국 X'!$X$7:$X$19,'한국 X'!$S$7:$S$19,"",0)="","",_xlfn.XLOOKUP(A193,'한국 X'!$X$7:$X$19,'한국 X'!$S$7:$S$19,"",0))</f>
        <v>0.0292</v>
      </c>
      <c r="S193" s="46">
        <f t="array" ref="S193">IF(_xlfn.XLOOKUP(A193,'한국 X'!$X$7:$X$19,'한국 X'!$G$7:$G$19,"",0)="","",_xlfn.XLOOKUP(A193,'한국 X'!$X$7:$X$19,'한국 X'!$G$7:$G$19,"",0))</f>
        <v>19000</v>
      </c>
      <c r="T193" s="7">
        <f>IF(OR(S193="",S193&lt;=0,IF(E193="X",P193,Q193)=""),"",IF(E193="X",P193,Q193)/S193)</f>
        <v>0.04789473684</v>
      </c>
      <c r="U193" s="7" t="str">
        <f t="array" ref="U193">IF(OR(K193="조회 불가",K193="계정 확인 필요",O193="",V193=""),"미측정",IF(O193&lt;IF(E193="YouTube",1,3),"저빈도",IF(V193&gt;=_xlfn.XLOOKUP(E193,'선정 기준'!$A$5:$A$7,'선정 기준'!$B$5:$B$7),"P1",IF(V193&gt;=_xlfn.XLOOKUP(E193,'선정 기준'!$A$5:$A$7,'선정 기준'!$C$5:$C$7),"P2",IF(V193&gt;=_xlfn.XLOOKUP(E193,'선정 기준'!$A$5:$A$7,'선정 기준'!$D$5:$D$7),"P3","P4")))))</f>
        <v>P4</v>
      </c>
      <c r="V193" s="7">
        <f>IF(E193="X",IF(OR(P193="",R193=""),"",P193*R193),IF(Q193="","",Q193))</f>
        <v>26.572</v>
      </c>
      <c r="W193" s="47">
        <f>IF(E193="X",IF(R193="","",R193),IF(T193="","",T193))</f>
        <v>0.0292</v>
      </c>
      <c r="X193" s="7">
        <f t="array" ref="X193">_xlfn.XLOOKUP(E193,'선정 기준'!$A$5:$A$7,'선정 기준'!$F$5:$F$7)</f>
        <v>0.006</v>
      </c>
      <c r="Y193" s="7">
        <f t="array" ref="Y193">_xlfn.XLOOKUP(E193,'선정 기준'!$A$5:$A$7,'선정 기준'!$E$5:$E$7)</f>
        <v>10</v>
      </c>
      <c r="Z193" s="21" t="s">
        <v>48</v>
      </c>
    </row>
    <row r="198">
      <c r="A198" s="21" t="s">
        <v>1214</v>
      </c>
      <c r="B198" s="21" t="s">
        <v>1215</v>
      </c>
      <c r="C198" s="21" t="s">
        <v>1206</v>
      </c>
      <c r="D198" s="21" t="s">
        <v>98</v>
      </c>
      <c r="E198" s="21" t="s">
        <v>412</v>
      </c>
      <c r="F198" s="43" t="s">
        <v>1212</v>
      </c>
      <c r="G198" s="21" t="s">
        <v>1562</v>
      </c>
      <c r="H198" s="21">
        <v>46293.0</v>
      </c>
      <c r="K198" s="21" t="s">
        <v>1364</v>
      </c>
      <c r="L198" s="21" t="s">
        <v>1215</v>
      </c>
      <c r="M198" s="21" t="s">
        <v>147</v>
      </c>
      <c r="O198" s="7">
        <f t="array" ref="O198">IF(_xlfn.XLOOKUP(A198,'한국 X'!$X$7:$X$19,'한국 X'!$P$7:$P$19,"",0)="","",_xlfn.XLOOKUP(A198,'한국 X'!$X$7:$X$19,'한국 X'!$P$7:$P$19,"",0))</f>
        <v>8</v>
      </c>
      <c r="P198" s="46">
        <f t="array" ref="P198">IF(_xlfn.XLOOKUP(A198,'한국 X'!$X$7:$X$19,'한국 X'!$Q$7:$Q$19,"",0)="","",_xlfn.XLOOKUP(A198,'한국 X'!$X$7:$X$19,'한국 X'!$Q$7:$Q$19,"",0))</f>
        <v>583</v>
      </c>
      <c r="R198" s="47">
        <f t="array" ref="R198">IF(_xlfn.XLOOKUP(A198,'한국 X'!$X$7:$X$19,'한국 X'!$S$7:$S$19,"",0)="","",_xlfn.XLOOKUP(A198,'한국 X'!$X$7:$X$19,'한국 X'!$S$7:$S$19,"",0))</f>
        <v>0.0049</v>
      </c>
      <c r="S198" s="46">
        <f t="array" ref="S198">IF(_xlfn.XLOOKUP(A198,'한국 X'!$X$7:$X$19,'한국 X'!$G$7:$G$19,"",0)="","",_xlfn.XLOOKUP(A198,'한국 X'!$X$7:$X$19,'한국 X'!$G$7:$G$19,"",0))</f>
        <v>5360</v>
      </c>
      <c r="T198" s="7">
        <f>IF(OR(S198="",S198&lt;=0,IF(E198="X",P198,Q198)=""),"",IF(E198="X",P198,Q198)/S198)</f>
        <v>0.1087686567</v>
      </c>
      <c r="U198" s="7" t="str">
        <f t="array" ref="U198">IF(OR(K198="조회 불가",K198="계정 확인 필요",O198="",V198=""),"미측정",IF(O198&lt;IF(E198="YouTube",1,3),"저빈도",IF(V198&gt;=_xlfn.XLOOKUP(E198,'선정 기준'!$A$5:$A$7,'선정 기준'!$B$5:$B$7),"P1",IF(V198&gt;=_xlfn.XLOOKUP(E198,'선정 기준'!$A$5:$A$7,'선정 기준'!$C$5:$C$7),"P2",IF(V198&gt;=_xlfn.XLOOKUP(E198,'선정 기준'!$A$5:$A$7,'선정 기준'!$D$5:$D$7),"P3","P4")))))</f>
        <v>P4</v>
      </c>
      <c r="V198" s="7">
        <f>IF(E198="X",IF(OR(P198="",R198=""),"",P198*R198),IF(Q198="","",Q198))</f>
        <v>2.8567</v>
      </c>
      <c r="W198" s="47">
        <f>IF(E198="X",IF(R198="","",R198),IF(T198="","",T198))</f>
        <v>0.0049</v>
      </c>
      <c r="X198" s="7">
        <f t="array" ref="X198">_xlfn.XLOOKUP(E198,'선정 기준'!$A$5:$A$7,'선정 기준'!$F$5:$F$7)</f>
        <v>0.006</v>
      </c>
      <c r="Y198" s="7">
        <f t="array" ref="Y198">_xlfn.XLOOKUP(E198,'선정 기준'!$A$5:$A$7,'선정 기준'!$E$5:$E$7)</f>
        <v>10</v>
      </c>
      <c r="Z198" s="21" t="s">
        <v>48</v>
      </c>
    </row>
  </sheetData>
  <hyperlinks>
    <hyperlink r:id="rId1" ref="F5"/>
    <hyperlink r:id="rId2" ref="F11"/>
    <hyperlink r:id="rId3" ref="F39"/>
    <hyperlink r:id="rId4" ref="F101"/>
    <hyperlink r:id="rId5" ref="F108"/>
    <hyperlink r:id="rId6" ref="F166"/>
    <hyperlink r:id="rId7" ref="F191"/>
    <hyperlink r:id="rId8" ref="F193"/>
    <hyperlink r:id="rId9" ref="F198"/>
  </hyperlinks>
  <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sheetData/>
  <drawing r:id="rId1"/>
</worksheet>
</file>