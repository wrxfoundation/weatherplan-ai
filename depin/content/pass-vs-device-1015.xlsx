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비교" sheetId="2" state="visible" r:id="rId4"/>
    <sheet name="월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<sst xmlns="http://schemas.openxmlformats.org/spreadsheetml/2006/main" count="119" uniqueCount="105">
  <si>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WenQuanYi Zen Hei"/>
        <family val="2"/>
      </rPr>
      <t xml:space="preserve">이용권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기기 </t>
    </r>
    <r>
      <rPr>
        <b val="true"/>
        <sz val="13"/>
        <rFont val="Arial"/>
        <family val="0"/>
        <charset val="1"/>
      </rPr>
      <t xml:space="preserve">NFT — </t>
    </r>
    <r>
      <rPr>
        <b val="true"/>
        <sz val="13"/>
        <rFont val="WenQuanYi Zen Hei"/>
        <family val="2"/>
      </rPr>
      <t xml:space="preserve">가정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</si>
  <si>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고객 안내 금지</t>
    </r>
    <r>
      <rPr>
        <b val="true"/>
        <sz val="9"/>
        <color rgb="FF7A1F1F"/>
        <rFont val="Arial"/>
        <family val="0"/>
        <charset val="1"/>
      </rPr>
      <t xml:space="preserve">. WLBN </t>
    </r>
    <r>
      <rPr>
        <b val="true"/>
        <sz val="9"/>
        <color rgb="FF7A1F1F"/>
        <rFont val="WenQuanYi Zen Hei"/>
        <family val="2"/>
      </rPr>
      <t xml:space="preserve">가격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단계 기간은 가정</t>
    </r>
    <r>
      <rPr>
        <b val="true"/>
        <sz val="9"/>
        <color rgb="FF7A1F1F"/>
        <rFont val="Arial"/>
        <family val="0"/>
        <charset val="1"/>
      </rPr>
      <t xml:space="preserve">(</t>
    </r>
    <r>
      <rPr>
        <b val="true"/>
        <sz val="9"/>
        <color rgb="FF7A1F1F"/>
        <rFont val="WenQuanYi Zen Hei"/>
        <family val="2"/>
      </rPr>
      <t xml:space="preserve">전망 아님</t>
    </r>
    <r>
      <rPr>
        <b val="true"/>
        <sz val="9"/>
        <color rgb="FF7A1F1F"/>
        <rFont val="Arial"/>
        <family val="0"/>
        <charset val="1"/>
      </rPr>
      <t xml:space="preserve">). </t>
    </r>
    <r>
      <rPr>
        <b val="true"/>
        <sz val="9"/>
        <color rgb="FF7A1F1F"/>
        <rFont val="WenQuanYi Zen Hei"/>
        <family val="2"/>
      </rPr>
      <t xml:space="preserve">지급 수량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가치 비보장</t>
    </r>
    <r>
      <rPr>
        <b val="true"/>
        <sz val="9"/>
        <color rgb="FF7A1F1F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</si>
  <si>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</si>
  <si>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</si>
  <si>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근거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</si>
  <si>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공통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월 평균 일수</t>
    </r>
  </si>
  <si>
    <t xml:space="preserve">365 ÷ 12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</si>
  <si>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이용권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정가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</si>
  <si>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§4-1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</si>
  <si>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이용권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할인율</t>
    </r>
  </si>
  <si>
    <t xml:space="preserve">서우 지정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</si>
  <si>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이용권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구매가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</si>
  <si>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이용권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일 지급 </t>
    </r>
    <r>
      <rPr>
        <sz val="10"/>
        <rFont val="Arial"/>
        <family val="0"/>
        <charset val="1"/>
      </rPr>
      <t xml:space="preserve">WLBN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</si>
  <si>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이용권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지급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</si>
  <si>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§4-1 — 3</t>
    </r>
    <r>
      <rPr>
        <sz val="9"/>
        <color rgb="FF555555"/>
        <rFont val="WenQuanYi Zen Hei"/>
        <family val="2"/>
      </rPr>
      <t xml:space="preserve">년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</si>
  <si>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정가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</si>
  <si>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§2 (</t>
    </r>
    <r>
      <rPr>
        <sz val="9"/>
        <color rgb="FF555555"/>
        <rFont val="WenQuanYi Zen Hei"/>
        <family val="2"/>
      </rPr>
      <t xml:space="preserve">원화 </t>
    </r>
    <r>
      <rPr>
        <sz val="9"/>
        <color rgb="FF555555"/>
        <rFont val="Arial"/>
        <family val="0"/>
        <charset val="1"/>
      </rPr>
      <t xml:space="preserve">1,083,000</t>
    </r>
    <r>
      <rPr>
        <sz val="9"/>
        <color rgb="FF555555"/>
        <rFont val="WenQuanYi Zen Hei"/>
        <family val="2"/>
      </rPr>
      <t xml:space="preserve">원</t>
    </r>
    <r>
      <rPr>
        <sz val="9"/>
        <color rgb="FF555555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</si>
  <si>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할인율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</si>
  <si>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구매가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</si>
  <si>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1</t>
    </r>
    <r>
      <rPr>
        <sz val="10"/>
        <rFont val="WenQuanYi Zen Hei"/>
        <family val="2"/>
      </rPr>
      <t xml:space="preserve">단계 일 지급 </t>
    </r>
    <r>
      <rPr>
        <sz val="10"/>
        <rFont val="Arial"/>
        <family val="0"/>
        <charset val="1"/>
      </rPr>
      <t xml:space="preserve">WLBN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</si>
  <si>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§1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</si>
  <si>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단계마다 곱하는 비율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</si>
  <si>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품질 등급</t>
    </r>
  </si>
  <si>
    <t xml:space="preserve">0 / 1.0 / 1.2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</si>
  <si>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제네시스 가산</t>
    </r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</si>
  <si>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차 구매자 </t>
    </r>
    <r>
      <rPr>
        <sz val="9"/>
        <color rgb="FF555555"/>
        <rFont val="Arial"/>
        <family val="0"/>
        <charset val="1"/>
      </rPr>
      <t xml:space="preserve">+20%(</t>
    </r>
    <r>
      <rPr>
        <sz val="9"/>
        <color rgb="FF555555"/>
        <rFont val="WenQuanYi Zen Hei"/>
        <family val="2"/>
      </rPr>
      <t xml:space="preserve">예정</t>
    </r>
    <r>
      <rPr>
        <sz val="9"/>
        <color rgb="FF555555"/>
        <rFont val="Arial"/>
        <family val="0"/>
        <charset val="1"/>
      </rPr>
      <t xml:space="preserve">) — </t>
    </r>
    <r>
      <rPr>
        <sz val="9"/>
        <color rgb="FF555555"/>
        <rFont val="WenQuanYi Zen Hei"/>
        <family val="2"/>
      </rPr>
      <t xml:space="preserve">해당 시 </t>
    </r>
    <r>
      <rPr>
        <sz val="9"/>
        <color rgb="FF555555"/>
        <rFont val="Arial"/>
        <family val="0"/>
        <charset val="1"/>
      </rPr>
      <t xml:space="preserve">0.2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</si>
  <si>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전송률 계수</t>
    </r>
  </si>
  <si>
    <r>
      <rPr>
        <sz val="9"/>
        <color rgb="FF555555"/>
        <rFont val="Arial"/>
        <family val="0"/>
        <charset val="1"/>
      </rPr>
      <t xml:space="preserve">95%↑ 100% · 80~95% </t>
    </r>
    <r>
      <rPr>
        <sz val="9"/>
        <color rgb="FF555555"/>
        <rFont val="WenQuanYi Zen Hei"/>
        <family val="2"/>
      </rPr>
      <t xml:space="preserve">선형 </t>
    </r>
    <r>
      <rPr>
        <sz val="9"/>
        <color rgb="FF555555"/>
        <rFont val="Arial"/>
        <family val="0"/>
        <charset val="1"/>
      </rPr>
      <t xml:space="preserve">· 80% </t>
    </r>
    <r>
      <rPr>
        <sz val="9"/>
        <color rgb="FF555555"/>
        <rFont val="WenQuanYi Zen Hei"/>
        <family val="2"/>
      </rPr>
      <t xml:space="preserve">미만 </t>
    </r>
    <r>
      <rPr>
        <sz val="9"/>
        <color rgb="FF555555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</si>
  <si>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단계 하나의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</si>
  <si>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t xml:space="preserve">단계는 게이트로 오름 — 달력 아님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</si>
  <si>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] 1</t>
    </r>
    <r>
      <rPr>
        <sz val="10"/>
        <rFont val="WenQuanYi Zen Hei"/>
        <family val="2"/>
      </rPr>
      <t xml:space="preserve">단계 일 지급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조건 반영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</si>
  <si>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WLBN </t>
    </r>
    <r>
      <rPr>
        <b val="true"/>
        <sz val="10"/>
        <rFont val="WenQuanYi Zen Hei"/>
        <family val="2"/>
      </rPr>
      <t xml:space="preserve">가격 </t>
    </r>
    <r>
      <rPr>
        <b val="true"/>
        <sz val="10"/>
        <rFont val="Arial"/>
        <family val="0"/>
        <charset val="1"/>
      </rPr>
      <t xml:space="preserve">(USD)</t>
    </r>
  </si>
  <si>
    <r>
      <rPr>
        <sz val="10"/>
        <rFont val="WenQuanYi Zen Hei"/>
        <family val="2"/>
      </rPr>
      <t xml:space="preserve">참고 </t>
    </r>
    <r>
      <rPr>
        <sz val="10"/>
        <rFont val="Arial"/>
        <family val="0"/>
        <charset val="1"/>
      </rPr>
      <t xml:space="preserve">· 10/14 </t>
    </r>
    <r>
      <rPr>
        <sz val="10"/>
        <rFont val="WenQuanYi Zen Hei"/>
        <family val="2"/>
      </rPr>
      <t xml:space="preserve">풀</t>
    </r>
  </si>
  <si>
    <r>
      <rPr>
        <sz val="9"/>
        <color rgb="FF555555"/>
        <rFont val="Arial"/>
        <family val="0"/>
        <charset val="1"/>
      </rPr>
      <t xml:space="preserve">10/14 XRPL </t>
    </r>
    <r>
      <rPr>
        <sz val="9"/>
        <color rgb="FF555555"/>
        <rFont val="WenQuanYi Zen Hei"/>
        <family val="2"/>
      </rPr>
      <t xml:space="preserve">풀 화면 — 비교용</t>
    </r>
  </si>
  <si>
    <t xml:space="preserve">A</t>
  </si>
  <si>
    <r>
      <rPr>
        <sz val="9"/>
        <color rgb="FF555555"/>
        <rFont val="WenQuanYi Zen Hei"/>
        <family val="2"/>
      </rPr>
      <t xml:space="preserve">서우 지정 구간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가정</t>
    </r>
    <r>
      <rPr>
        <sz val="9"/>
        <color rgb="FF555555"/>
        <rFont val="Arial"/>
        <family val="0"/>
        <charset val="1"/>
      </rPr>
      <t xml:space="preserve">)</t>
    </r>
  </si>
  <si>
    <t xml:space="preserve">B</t>
  </si>
  <si>
    <t xml:space="preserve">C</t>
  </si>
  <si>
    <t xml:space="preserve">D</t>
  </si>
  <si>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WenQuanYi Zen Hei"/>
        <family val="2"/>
      </rPr>
      <t xml:space="preserve">이용권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기기 </t>
    </r>
    <r>
      <rPr>
        <b val="true"/>
        <sz val="13"/>
        <rFont val="Arial"/>
        <family val="0"/>
        <charset val="1"/>
      </rPr>
      <t xml:space="preserve">NFT — </t>
    </r>
    <r>
      <rPr>
        <b val="true"/>
        <sz val="13"/>
        <rFont val="WenQuanYi Zen Hei"/>
        <family val="2"/>
      </rPr>
      <t xml:space="preserve">가격 구간별 비교 </t>
    </r>
    <r>
      <rPr>
        <b val="true"/>
        <sz val="13"/>
        <rFont val="Arial"/>
        <family val="0"/>
        <charset val="1"/>
      </rPr>
      <t xml:space="preserve">(1</t>
    </r>
    <r>
      <rPr>
        <b val="true"/>
        <sz val="13"/>
        <rFont val="WenQuanYi Zen Hei"/>
        <family val="2"/>
      </rPr>
      <t xml:space="preserve">장 </t>
    </r>
    <r>
      <rPr>
        <b val="true"/>
        <sz val="13"/>
        <rFont val="Arial"/>
        <family val="0"/>
        <charset val="1"/>
      </rPr>
      <t xml:space="preserve">· 1</t>
    </r>
    <r>
      <rPr>
        <b val="true"/>
        <sz val="13"/>
        <rFont val="WenQuanYi Zen Hei"/>
        <family val="2"/>
      </rPr>
      <t xml:space="preserve">대 기준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</si>
  <si>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금지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「환산」 </t>
    </r>
    <r>
      <rPr>
        <b val="true"/>
        <sz val="9"/>
        <color rgb="FF7A1F1F"/>
        <rFont val="Arial"/>
        <family val="0"/>
        <charset val="1"/>
      </rPr>
      <t xml:space="preserve">= </t>
    </r>
    <r>
      <rPr>
        <b val="true"/>
        <sz val="9"/>
        <color rgb="FF7A1F1F"/>
        <rFont val="WenQuanYi Zen Hei"/>
        <family val="2"/>
      </rPr>
      <t xml:space="preserve">적립 </t>
    </r>
    <r>
      <rPr>
        <b val="true"/>
        <sz val="9"/>
        <color rgb="FF7A1F1F"/>
        <rFont val="Arial"/>
        <family val="0"/>
        <charset val="1"/>
      </rPr>
      <t xml:space="preserve">WLBN × </t>
    </r>
    <r>
      <rPr>
        <b val="true"/>
        <sz val="9"/>
        <color rgb="FF7A1F1F"/>
        <rFont val="WenQuanYi Zen Hei"/>
        <family val="2"/>
      </rPr>
      <t xml:space="preserve">가정 가격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실제로 그 가격에 팔 수 있다는 뜻이 아님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기기는 단계 </t>
    </r>
    <r>
      <rPr>
        <b val="true"/>
        <sz val="9"/>
        <color rgb="FF7A1F1F"/>
        <rFont val="Arial"/>
        <family val="0"/>
        <charset val="1"/>
      </rPr>
      <t xml:space="preserve">12</t>
    </r>
    <r>
      <rPr>
        <b val="true"/>
        <sz val="9"/>
        <color rgb="FF7A1F1F"/>
        <rFont val="WenQuanYi Zen Hei"/>
        <family val="2"/>
      </rPr>
      <t xml:space="preserve">개월 가정</t>
    </r>
    <r>
      <rPr>
        <b val="true"/>
        <sz val="9"/>
        <color rgb="FF7A1F1F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</si>
  <si>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WLBN </t>
    </r>
    <r>
      <rPr>
        <b val="true"/>
        <sz val="10"/>
        <rFont val="WenQuanYi Zen Hei"/>
        <family val="2"/>
      </rPr>
      <t xml:space="preserve">가격</t>
    </r>
  </si>
  <si>
    <r>
      <rPr>
        <b val="true"/>
        <sz val="10"/>
        <rFont val="WenQuanYi Zen Hei"/>
        <family val="2"/>
      </rPr>
      <t xml:space="preserve">참고 </t>
    </r>
    <r>
      <rPr>
        <b val="true"/>
        <sz val="10"/>
        <rFont val="Arial"/>
        <family val="0"/>
        <charset val="1"/>
      </rPr>
      <t xml:space="preserve">$0.46</t>
    </r>
  </si>
  <si>
    <t xml:space="preserve">A $0.5</t>
  </si>
  <si>
    <t xml:space="preserve">B $1.0</t>
  </si>
  <si>
    <t xml:space="preserve">C $1.5</t>
  </si>
  <si>
    <t xml:space="preserve">D $2.0</t>
  </si>
  <si>
    <t xml:space="preserve">이용권</t>
  </si>
  <si>
    <t xml:space="preserve">기기</t>
  </si>
  <si>
    <r>
      <rPr>
        <sz val="10"/>
        <rFont val="WenQuanYi Zen Hei"/>
        <family val="2"/>
      </rPr>
      <t xml:space="preserve">구매가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</si>
  <si>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WenQuanYi Zen Hei"/>
        <family val="2"/>
      </rPr>
      <t xml:space="preserve">첫 달 적립 </t>
    </r>
    <r>
      <rPr>
        <sz val="10"/>
        <rFont val="Arial"/>
        <family val="0"/>
        <charset val="1"/>
      </rPr>
      <t xml:space="preserve">WLBN</t>
    </r>
  </si>
  <si>
    <r>
      <rPr>
        <sz val="10"/>
        <rFont val="WenQuanYi Zen Hei"/>
        <family val="2"/>
      </rPr>
      <t xml:space="preserve">첫 달 적립 환산 </t>
    </r>
    <r>
      <rPr>
        <sz val="10"/>
        <rFont val="Arial"/>
        <family val="0"/>
        <charset val="1"/>
      </rPr>
      <t xml:space="preserve">(USD)</t>
    </r>
  </si>
  <si>
    <r>
      <rPr>
        <b val="true"/>
        <sz val="10"/>
        <rFont val="WenQuanYi Zen Hei"/>
        <family val="2"/>
      </rPr>
      <t xml:space="preserve">원금 회수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</si>
  <si>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누적 </t>
    </r>
    <r>
      <rPr>
        <sz val="10"/>
        <rFont val="Arial"/>
        <family val="0"/>
        <charset val="1"/>
      </rPr>
      <t xml:space="preserve">WLBN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</si>
  <si>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누적 환산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</si>
  <si>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순차액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</si>
  <si>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WenQuanYi Zen Hei"/>
        <family val="2"/>
      </rPr>
      <t xml:space="preserve">구매가 대비 배수 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</si>
  <si>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달러당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WLBN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</si>
  <si>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안 회수 최저 가격</t>
    </r>
  </si>
  <si>
    <t xml:space="preserve">구조 비교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</si>
  <si>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이용권 </t>
    </r>
    <r>
      <rPr>
        <b val="true"/>
        <sz val="10"/>
        <rFont val="Arial"/>
        <family val="0"/>
        <charset val="1"/>
      </rPr>
      <t xml:space="preserve">(TAXON 4026)</t>
    </r>
  </si>
  <si>
    <r>
      <rPr>
        <b val="true"/>
        <sz val="10"/>
        <rFont val="WenQuanYi Zen Hei"/>
        <family val="2"/>
      </rPr>
      <t xml:space="preserve">기기 </t>
    </r>
    <r>
      <rPr>
        <b val="true"/>
        <sz val="10"/>
        <rFont val="Arial"/>
        <family val="0"/>
        <charset val="1"/>
      </rPr>
      <t xml:space="preserve">NFT (</t>
    </r>
    <r>
      <rPr>
        <b val="true"/>
        <sz val="10"/>
        <rFont val="WenQuanYi Zen Hei"/>
        <family val="2"/>
      </rPr>
      <t xml:space="preserve">측정기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대 포함</t>
    </r>
    <r>
      <rPr>
        <b val="true"/>
        <sz val="10"/>
        <rFont val="Arial"/>
        <family val="0"/>
        <charset val="1"/>
      </rPr>
      <t xml:space="preserve">)</t>
    </r>
  </si>
  <si>
    <t xml:space="preserve">받는 것</t>
  </si>
  <si>
    <r>
      <rPr>
        <sz val="10"/>
        <rFont val="WenQuanYi Zen Hei"/>
        <family val="2"/>
      </rPr>
      <t xml:space="preserve">이용권 </t>
    </r>
    <r>
      <rPr>
        <sz val="10"/>
        <rFont val="Arial"/>
        <family val="0"/>
        <charset val="1"/>
      </rPr>
      <t xml:space="preserve">NFT — AI </t>
    </r>
    <r>
      <rPr>
        <sz val="10"/>
        <rFont val="WenQuanYi Zen Hei"/>
        <family val="2"/>
      </rPr>
      <t xml:space="preserve">팩토리 콘텐츠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날씨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에이전트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데이터셋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추론 </t>
    </r>
    <r>
      <rPr>
        <sz val="10"/>
        <rFont val="Arial"/>
        <family val="0"/>
        <charset val="1"/>
      </rPr>
      <t xml:space="preserve">API) </t>
    </r>
    <r>
      <rPr>
        <sz val="10"/>
        <rFont val="WenQuanYi Zen Hei"/>
        <family val="2"/>
      </rPr>
      <t xml:space="preserve">결제용 토큰을 매일 받음</t>
    </r>
  </si>
  <si>
    <r>
      <rPr>
        <sz val="10"/>
        <rFont val="WenQuanYi Zen Hei"/>
        <family val="2"/>
      </rPr>
      <t xml:space="preserve">기기 </t>
    </r>
    <r>
      <rPr>
        <sz val="10"/>
        <rFont val="Arial"/>
        <family val="0"/>
        <charset val="1"/>
      </rPr>
      <t xml:space="preserve">NFT + </t>
    </r>
    <r>
      <rPr>
        <sz val="10"/>
        <rFont val="WenQuanYi Zen Hei"/>
        <family val="2"/>
      </rPr>
      <t xml:space="preserve">실내 공기질 측정기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(ARC-600DA)</t>
    </r>
  </si>
  <si>
    <t xml:space="preserve">적립 조건</t>
  </si>
  <si>
    <r>
      <rPr>
        <sz val="10"/>
        <rFont val="Arial"/>
        <family val="0"/>
        <charset val="1"/>
      </rPr>
      <t xml:space="preserve">NFT </t>
    </r>
    <r>
      <rPr>
        <sz val="10"/>
        <rFont val="WenQuanYi Zen Hei"/>
        <family val="2"/>
      </rPr>
      <t xml:space="preserve">보유만으로 적립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매일 </t>
    </r>
    <r>
      <rPr>
        <sz val="10"/>
        <rFont val="Arial"/>
        <family val="0"/>
        <charset val="1"/>
      </rPr>
      <t xml:space="preserve">00:00 UTC </t>
    </r>
    <r>
      <rPr>
        <sz val="10"/>
        <rFont val="WenQuanYi Zen Hei"/>
        <family val="2"/>
      </rPr>
      <t xml:space="preserve">스냅샷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</si>
  <si>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기기 설치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데이터 전송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전송률 </t>
    </r>
    <r>
      <rPr>
        <sz val="10"/>
        <rFont val="Arial"/>
        <family val="0"/>
        <charset val="1"/>
      </rPr>
      <t xml:space="preserve">95%↑ </t>
    </r>
    <r>
      <rPr>
        <sz val="10"/>
        <rFont val="WenQuanYi Zen Hei"/>
        <family val="2"/>
      </rPr>
      <t xml:space="preserve">전액</t>
    </r>
    <r>
      <rPr>
        <sz val="10"/>
        <rFont val="Arial"/>
        <family val="0"/>
        <charset val="1"/>
      </rPr>
      <t xml:space="preserve">, 80% </t>
    </r>
    <r>
      <rPr>
        <sz val="10"/>
        <rFont val="WenQuanYi Zen Hei"/>
        <family val="2"/>
      </rPr>
      <t xml:space="preserve">미만 </t>
    </r>
    <r>
      <rPr>
        <sz val="10"/>
        <rFont val="Arial"/>
        <family val="0"/>
        <charset val="1"/>
      </rPr>
      <t xml:space="preserve">0) · </t>
    </r>
    <r>
      <rPr>
        <sz val="10"/>
        <rFont val="WenQuanYi Zen Hei"/>
        <family val="2"/>
      </rPr>
      <t xml:space="preserve">품질 등급 </t>
    </r>
    <r>
      <rPr>
        <sz val="10"/>
        <rFont val="Arial"/>
        <family val="0"/>
        <charset val="1"/>
      </rPr>
      <t xml:space="preserve">0 / 1.0 / 1.2</t>
    </r>
  </si>
  <si>
    <r>
      <rPr>
        <b val="true"/>
        <sz val="10"/>
        <rFont val="WenQuanYi Zen Hei"/>
        <family val="2"/>
      </rPr>
      <t xml:space="preserve">지급 기간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총량</t>
    </r>
  </si>
  <si>
    <r>
      <rPr>
        <sz val="10"/>
        <rFont val="Arial"/>
        <family val="0"/>
        <charset val="1"/>
      </rPr>
      <t xml:space="preserve">1,095</t>
    </r>
    <r>
      <rPr>
        <sz val="10"/>
        <rFont val="WenQuanYi Zen Hei"/>
        <family val="2"/>
      </rPr>
      <t xml:space="preserve">일 고정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장당 </t>
    </r>
    <r>
      <rPr>
        <sz val="10"/>
        <rFont val="Arial"/>
        <family val="0"/>
        <charset val="1"/>
      </rPr>
      <t xml:space="preserve">5,475 WLBN</t>
    </r>
  </si>
  <si>
    <r>
      <rPr>
        <sz val="10"/>
        <rFont val="WenQuanYi Zen Hei"/>
        <family val="2"/>
      </rPr>
      <t xml:space="preserve">단계마다 </t>
    </r>
    <r>
      <rPr>
        <sz val="10"/>
        <rFont val="Arial"/>
        <family val="0"/>
        <charset val="1"/>
      </rPr>
      <t xml:space="preserve">22% </t>
    </r>
    <r>
      <rPr>
        <sz val="10"/>
        <rFont val="WenQuanYi Zen Hei"/>
        <family val="2"/>
      </rPr>
      <t xml:space="preserve">감소 </t>
    </r>
    <r>
      <rPr>
        <sz val="10"/>
        <rFont val="Arial"/>
        <family val="0"/>
        <charset val="1"/>
      </rPr>
      <t xml:space="preserve">· 1</t>
    </r>
    <r>
      <rPr>
        <sz val="10"/>
        <rFont val="WenQuanYi Zen Hei"/>
        <family val="2"/>
      </rPr>
      <t xml:space="preserve">기</t>
    </r>
    <r>
      <rPr>
        <sz val="10"/>
        <rFont val="Arial"/>
        <family val="0"/>
        <charset val="1"/>
      </rPr>
      <t xml:space="preserve">(28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안에서 </t>
    </r>
    <r>
      <rPr>
        <sz val="10"/>
        <rFont val="Arial"/>
        <family val="0"/>
        <charset val="1"/>
      </rPr>
      <t xml:space="preserve">· 10</t>
    </r>
    <r>
      <rPr>
        <sz val="10"/>
        <rFont val="WenQuanYi Zen Hei"/>
        <family val="2"/>
      </rPr>
      <t xml:space="preserve">단계 누적 약 </t>
    </r>
    <r>
      <rPr>
        <sz val="10"/>
        <rFont val="Arial"/>
        <family val="0"/>
        <charset val="1"/>
      </rPr>
      <t xml:space="preserve">10,646</t>
    </r>
  </si>
  <si>
    <t xml:space="preserve">토큰 용도</t>
  </si>
  <si>
    <r>
      <rPr>
        <sz val="10"/>
        <rFont val="WenQuanYi Zen Hei"/>
        <family val="2"/>
      </rPr>
      <t xml:space="preserve">콘텐츠 결제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카탈로그 토큰가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고정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쓴 토큰 소각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</si>
  <si>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데이터 공급 대가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일반 보상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</si>
  <si>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발행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구매 한도</t>
    </r>
  </si>
  <si>
    <r>
      <rPr>
        <sz val="10"/>
        <rFont val="Arial"/>
        <family val="0"/>
        <charset val="1"/>
      </rPr>
      <t xml:space="preserve">4,000</t>
    </r>
    <r>
      <rPr>
        <sz val="10"/>
        <rFont val="WenQuanYi Zen Hei"/>
        <family val="2"/>
      </rPr>
      <t xml:space="preserve">장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계정당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장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</si>
  <si>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장 </t>
    </r>
    <r>
      <rPr>
        <sz val="10"/>
        <rFont val="Arial"/>
        <family val="0"/>
        <charset val="1"/>
      </rPr>
      <t xml:space="preserve">· G4 = 25,000</t>
    </r>
    <r>
      <rPr>
        <sz val="10"/>
        <rFont val="WenQuanYi Zen Hei"/>
        <family val="2"/>
      </rPr>
      <t xml:space="preserve">대 완판</t>
    </r>
  </si>
  <si>
    <t xml:space="preserve">출금</t>
  </si>
  <si>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시간 보류 뒤 클레임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정본 </t>
    </r>
    <r>
      <rPr>
        <sz val="10"/>
        <rFont val="Arial"/>
        <family val="0"/>
        <charset val="1"/>
      </rPr>
      <t xml:space="preserve">§4-1 — </t>
    </r>
    <r>
      <rPr>
        <sz val="10"/>
        <rFont val="WenQuanYi Zen Hei"/>
        <family val="2"/>
      </rPr>
      <t xml:space="preserve">온체인 출금인지 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</si>
  <si>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DEX(G4) </t>
    </r>
    <r>
      <rPr>
        <sz val="10"/>
        <rFont val="WenQuanYi Zen Hei"/>
        <family val="2"/>
      </rPr>
      <t xml:space="preserve">전까지 포인트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정본 </t>
    </r>
    <r>
      <rPr>
        <sz val="10"/>
        <rFont val="Arial"/>
        <family val="0"/>
        <charset val="1"/>
      </rPr>
      <t xml:space="preserve">§1) — 10/14 AMM </t>
    </r>
    <r>
      <rPr>
        <sz val="10"/>
        <rFont val="WenQuanYi Zen Hei"/>
        <family val="2"/>
      </rPr>
      <t xml:space="preserve">화면과 확인 필요</t>
    </r>
  </si>
  <si>
    <t xml:space="preserve">규제 시선</t>
  </si>
  <si>
    <t xml:space="preserve">보유만으로 매일 적립 → 투자상품으로 읽힐 위험이 더 큼</t>
  </si>
  <si>
    <r>
      <rPr>
        <sz val="10"/>
        <rFont val="WenQuanYi Zen Hei"/>
        <family val="2"/>
      </rPr>
      <t xml:space="preserve">데이터 공급 대가 → 설명이 쉬움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 설치 전 </t>
    </r>
    <r>
      <rPr>
        <sz val="10"/>
        <rFont val="Arial"/>
        <family val="0"/>
        <charset val="1"/>
      </rPr>
      <t xml:space="preserve">NFT </t>
    </r>
    <r>
      <rPr>
        <sz val="10"/>
        <rFont val="WenQuanYi Zen Hei"/>
        <family val="2"/>
      </rPr>
      <t xml:space="preserve">보상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딜러 재고분은 같은 위험</t>
    </r>
    <r>
      <rPr>
        <sz val="10"/>
        <rFont val="Arial"/>
        <family val="0"/>
        <charset val="1"/>
      </rPr>
      <t xml:space="preserve">)</t>
    </r>
  </si>
  <si>
    <t xml:space="preserve">회사 쪽 원가</t>
  </si>
  <si>
    <r>
      <rPr>
        <sz val="10"/>
        <rFont val="WenQuanYi Zen Hei"/>
        <family val="2"/>
      </rPr>
      <t xml:space="preserve">실물 원가 없음</t>
    </r>
    <r>
      <rPr>
        <sz val="10"/>
        <rFont val="Arial"/>
        <family val="0"/>
        <charset val="1"/>
      </rPr>
      <t xml:space="preserve">(GPU </t>
    </r>
    <r>
      <rPr>
        <sz val="10"/>
        <rFont val="WenQuanYi Zen Hei"/>
        <family val="2"/>
      </rPr>
      <t xml:space="preserve">운영비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</si>
  <si>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기기 원가 있음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케이웨더 공급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</si>
  <si>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읽는 법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같은 돈으로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년 동안 받는 </t>
    </r>
    <r>
      <rPr>
        <sz val="9"/>
        <color rgb="FF555555"/>
        <rFont val="Arial"/>
        <family val="0"/>
        <charset val="1"/>
      </rPr>
      <t xml:space="preserve">WLBN </t>
    </r>
    <r>
      <rPr>
        <sz val="9"/>
        <color rgb="FF555555"/>
        <rFont val="WenQuanYi Zen Hei"/>
        <family val="2"/>
      </rPr>
      <t xml:space="preserve">은 이용권이 더 많고</t>
    </r>
    <r>
      <rPr>
        <sz val="9"/>
        <color rgb="FF555555"/>
        <rFont val="Arial"/>
        <family val="0"/>
        <charset val="1"/>
      </rPr>
      <t xml:space="preserve">(1</t>
    </r>
    <r>
      <rPr>
        <sz val="9"/>
        <color rgb="FF555555"/>
        <rFont val="WenQuanYi Zen Hei"/>
        <family val="2"/>
      </rPr>
      <t xml:space="preserve">달러당</t>
    </r>
    <r>
      <rPr>
        <sz val="9"/>
        <color rgb="FF555555"/>
        <rFont val="Arial"/>
        <family val="0"/>
        <charset val="1"/>
      </rPr>
      <t xml:space="preserve">), </t>
    </r>
    <r>
      <rPr>
        <sz val="9"/>
        <color rgb="FF555555"/>
        <rFont val="WenQuanYi Zen Hei"/>
        <family val="2"/>
      </rPr>
      <t xml:space="preserve">조건도 없다 — 이용권이 기기 판매를 잠식하고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「보유 수익」으로 읽힐 위험이 크다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</si>
  <si>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월별 순누적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적립 환산 − 구매가</t>
    </r>
    <r>
      <rPr>
        <b val="true"/>
        <sz val="13"/>
        <rFont val="Arial"/>
        <family val="0"/>
        <charset val="1"/>
      </rPr>
      <t xml:space="preserve">, USD) — 36</t>
    </r>
    <r>
      <rPr>
        <b val="true"/>
        <sz val="13"/>
        <rFont val="WenQuanYi Zen Hei"/>
        <family val="2"/>
      </rPr>
      <t xml:space="preserve">개월</t>
    </r>
  </si>
  <si>
    <r>
      <rPr>
        <b val="true"/>
        <sz val="9"/>
        <color rgb="FF7A1F1F"/>
        <rFont val="WenQuanYi Zen Hei"/>
        <family val="2"/>
      </rPr>
      <t xml:space="preserve">내부 검토용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초록 </t>
    </r>
    <r>
      <rPr>
        <b val="true"/>
        <sz val="9"/>
        <color rgb="FF7A1F1F"/>
        <rFont val="Arial"/>
        <family val="0"/>
        <charset val="1"/>
      </rPr>
      <t xml:space="preserve">= </t>
    </r>
    <r>
      <rPr>
        <b val="true"/>
        <sz val="9"/>
        <color rgb="FF7A1F1F"/>
        <rFont val="WenQuanYi Zen Hei"/>
        <family val="2"/>
      </rPr>
      <t xml:space="preserve">처음 구매가를 넘긴 달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가격은 </t>
    </r>
    <r>
      <rPr>
        <b val="true"/>
        <sz val="9"/>
        <color rgb="FF7A1F1F"/>
        <rFont val="Arial"/>
        <family val="0"/>
        <charset val="1"/>
      </rPr>
      <t xml:space="preserve">36</t>
    </r>
    <r>
      <rPr>
        <b val="true"/>
        <sz val="9"/>
        <color rgb="FF7A1F1F"/>
        <rFont val="WenQuanYi Zen Hei"/>
        <family val="2"/>
      </rPr>
      <t xml:space="preserve">개월 내내 같다고 가정</t>
    </r>
    <r>
      <rPr>
        <b val="true"/>
        <sz val="9"/>
        <color rgb="FF7A1F1F"/>
        <rFont val="Arial"/>
        <family val="0"/>
        <charset val="1"/>
      </rPr>
      <t xml:space="preserve">.</t>
    </r>
  </si>
  <si>
    <t xml:space="preserve">개월</t>
  </si>
  <si>
    <r>
      <rPr>
        <b val="true"/>
        <sz val="10"/>
        <rFont val="WenQuanYi Zen Hei"/>
        <family val="2"/>
      </rPr>
      <t xml:space="preserve">이용권 월 </t>
    </r>
    <r>
      <rPr>
        <b val="true"/>
        <sz val="10"/>
        <rFont val="Arial"/>
        <family val="0"/>
        <charset val="1"/>
      </rPr>
      <t xml:space="preserve">WLBN</t>
    </r>
  </si>
  <si>
    <t xml:space="preserve">이용권 누적</t>
  </si>
  <si>
    <t xml:space="preserve">기기 단계</t>
  </si>
  <si>
    <r>
      <rPr>
        <b val="true"/>
        <sz val="10"/>
        <rFont val="WenQuanYi Zen Hei"/>
        <family val="2"/>
      </rPr>
      <t xml:space="preserve">기기 월 </t>
    </r>
    <r>
      <rPr>
        <b val="true"/>
        <sz val="10"/>
        <rFont val="Arial"/>
        <family val="0"/>
        <charset val="1"/>
      </rPr>
      <t xml:space="preserve">WLBN</t>
    </r>
  </si>
  <si>
    <t xml:space="preserve">기기 누적</t>
  </si>
  <si>
    <t xml:space="preserve">이용권 참고</t>
  </si>
  <si>
    <r>
      <rPr>
        <b val="true"/>
        <sz val="10"/>
        <rFont val="WenQuanYi Zen Hei"/>
        <family val="2"/>
      </rPr>
      <t xml:space="preserve">이용권 </t>
    </r>
    <r>
      <rPr>
        <b val="true"/>
        <sz val="10"/>
        <rFont val="Arial"/>
        <family val="0"/>
        <charset val="1"/>
      </rPr>
      <t xml:space="preserve">A</t>
    </r>
  </si>
  <si>
    <r>
      <rPr>
        <b val="true"/>
        <sz val="10"/>
        <rFont val="WenQuanYi Zen Hei"/>
        <family val="2"/>
      </rPr>
      <t xml:space="preserve">이용권 </t>
    </r>
    <r>
      <rPr>
        <b val="true"/>
        <sz val="10"/>
        <rFont val="Arial"/>
        <family val="0"/>
        <charset val="1"/>
      </rPr>
      <t xml:space="preserve">B</t>
    </r>
  </si>
  <si>
    <r>
      <rPr>
        <b val="true"/>
        <sz val="10"/>
        <rFont val="WenQuanYi Zen Hei"/>
        <family val="2"/>
      </rPr>
      <t xml:space="preserve">이용권 </t>
    </r>
    <r>
      <rPr>
        <b val="true"/>
        <sz val="10"/>
        <rFont val="Arial"/>
        <family val="0"/>
        <charset val="1"/>
      </rPr>
      <t xml:space="preserve">C</t>
    </r>
  </si>
  <si>
    <r>
      <rPr>
        <b val="true"/>
        <sz val="10"/>
        <rFont val="WenQuanYi Zen Hei"/>
        <family val="2"/>
      </rPr>
      <t xml:space="preserve">이용권 </t>
    </r>
    <r>
      <rPr>
        <b val="true"/>
        <sz val="10"/>
        <rFont val="Arial"/>
        <family val="0"/>
        <charset val="1"/>
      </rPr>
      <t xml:space="preserve">D</t>
    </r>
  </si>
  <si>
    <t xml:space="preserve">기기 참고</t>
  </si>
  <si>
    <r>
      <rPr>
        <b val="true"/>
        <sz val="10"/>
        <rFont val="WenQuanYi Zen Hei"/>
        <family val="2"/>
      </rPr>
      <t xml:space="preserve">기기 </t>
    </r>
    <r>
      <rPr>
        <b val="true"/>
        <sz val="10"/>
        <rFont val="Arial"/>
        <family val="0"/>
        <charset val="1"/>
      </rPr>
      <t xml:space="preserve">A</t>
    </r>
  </si>
  <si>
    <r>
      <rPr>
        <b val="true"/>
        <sz val="10"/>
        <rFont val="WenQuanYi Zen Hei"/>
        <family val="2"/>
      </rPr>
      <t xml:space="preserve">기기 </t>
    </r>
    <r>
      <rPr>
        <b val="true"/>
        <sz val="10"/>
        <rFont val="Arial"/>
        <family val="0"/>
        <charset val="1"/>
      </rPr>
      <t xml:space="preserve">B</t>
    </r>
  </si>
  <si>
    <r>
      <rPr>
        <b val="true"/>
        <sz val="10"/>
        <rFont val="WenQuanYi Zen Hei"/>
        <family val="2"/>
      </rPr>
      <t xml:space="preserve">기기 </t>
    </r>
    <r>
      <rPr>
        <b val="true"/>
        <sz val="10"/>
        <rFont val="Arial"/>
        <family val="0"/>
        <charset val="1"/>
      </rPr>
      <t xml:space="preserve">C</t>
    </r>
  </si>
  <si>
    <r>
      <rPr>
        <b val="true"/>
        <sz val="10"/>
        <rFont val="WenQuanYi Zen Hei"/>
        <family val="2"/>
      </rPr>
      <t xml:space="preserve">기기 </t>
    </r>
    <r>
      <rPr>
        <b val="true"/>
        <sz val="10"/>
        <rFont val="Arial"/>
        <family val="0"/>
        <charset val="1"/>
      </rPr>
      <t xml:space="preserve">D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</si>
</sst>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\$#,##0.00;&quot;($&quot;#,##0.00\);\-"/>
    <numFmt numFmtId="167" formatCode="0.0%"/>
    <numFmt numFmtId="168" formatCode="#,##0;\(#,##0\);\-"/>
    <numFmt numFmtId="169" formatCode="0.00"/>
    <numFmt numFmtId="170" formatCode="0.0"/>
    <numFmt numFmtId="171" formatCode="0%"/>
    <numFmt numFmtId="172" formatCode="#,##0.00;\(#,##0.00\);\-"/>
    <numFmt numFmtId="173" formatCode="\$#,##0.00##"/>
    <numFmt numFmtId="174" formatCode="\$#,##0;&quot;($&quot;#,##0\);\-"/>
    <numFmt numFmtId="175" formatCode="#,##0.0;\(#,##0.0\);\-"/>
    <numFmt numFmtId="176" formatCode="0.0\x"/>
    <numFmt numFmtId="177" formatCode="\$#,##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9"/>
      <color rgb="FF7A1F1F"/>
      <name val="WenQuanYi Zen Hei"/>
      <family val="2"/>
    </font>
    <font>
      <b val="true"/>
      <sz val="9"/>
      <color rgb="FF7A1F1F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WenQuanYi Zen Hei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EF4"/>
        <bgColor rgb="FFEEF3FB"/>
      </patternFill>
    </fill>
    <fill>
      <patternFill patternType="solid">
        <fgColor rgb="FFEEF3FB"/>
        <bgColor rgb="FFE8EEF4"/>
      </patternFill>
    </fill>
    <fill>
      <patternFill patternType="solid">
        <fgColor rgb="FFFFF2CC"/>
        <bgColor rgb="FFF3F7EE"/>
      </patternFill>
    </fill>
    <fill>
      <patternFill patternType="solid">
        <fgColor rgb="FFF3F7EE"/>
        <bgColor rgb="FFEE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9E4BE"/>
        </patternFill>
      </fill>
    </dxf>
  </dxfs>
  <colors>
    <indexedColors>
      <rgbColor rgb="FF000000"/>
      <rgbColor rgb="FFF3F7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EF4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C9E4B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46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f aca="false">365/12</f>
        <v>30.4166666666667</v>
      </c>
      <c r="C4" s="6" t="s">
        <v>6</v>
      </c>
    </row>
    <row r="5" customFormat="false" ht="15" hidden="false" customHeight="false" outlineLevel="0" collapsed="false">
      <c r="A5" s="7" t="s">
        <v>7</v>
      </c>
      <c r="B5" s="8" t="n">
        <v>380</v>
      </c>
      <c r="C5" s="9" t="s">
        <v>8</v>
      </c>
    </row>
    <row r="6" customFormat="false" ht="15" hidden="false" customHeight="false" outlineLevel="0" collapsed="false">
      <c r="A6" s="7" t="s">
        <v>9</v>
      </c>
      <c r="B6" s="10" t="n">
        <v>0.3</v>
      </c>
      <c r="C6" s="9" t="s">
        <v>10</v>
      </c>
    </row>
    <row r="7" customFormat="false" ht="15" hidden="false" customHeight="false" outlineLevel="0" collapsed="false">
      <c r="A7" s="7" t="s">
        <v>11</v>
      </c>
      <c r="B7" s="11" t="n">
        <f aca="false">B5*(1-B6)</f>
        <v>266</v>
      </c>
      <c r="C7" s="9"/>
    </row>
    <row r="8" customFormat="false" ht="15" hidden="false" customHeight="false" outlineLevel="0" collapsed="false">
      <c r="A8" s="7" t="s">
        <v>12</v>
      </c>
      <c r="B8" s="12" t="n">
        <v>5</v>
      </c>
      <c r="C8" s="9" t="s">
        <v>8</v>
      </c>
    </row>
    <row r="9" customFormat="false" ht="15" hidden="false" customHeight="false" outlineLevel="0" collapsed="false">
      <c r="A9" s="7" t="s">
        <v>13</v>
      </c>
      <c r="B9" s="12" t="n">
        <v>1095</v>
      </c>
      <c r="C9" s="9" t="s">
        <v>14</v>
      </c>
    </row>
    <row r="10" customFormat="false" ht="15" hidden="false" customHeight="false" outlineLevel="0" collapsed="false">
      <c r="A10" s="13" t="s">
        <v>15</v>
      </c>
      <c r="B10" s="8" t="n">
        <v>650</v>
      </c>
      <c r="C10" s="14" t="s">
        <v>16</v>
      </c>
    </row>
    <row r="11" customFormat="false" ht="15" hidden="false" customHeight="false" outlineLevel="0" collapsed="false">
      <c r="A11" s="13" t="s">
        <v>17</v>
      </c>
      <c r="B11" s="10" t="n">
        <v>0.3</v>
      </c>
      <c r="C11" s="14" t="s">
        <v>10</v>
      </c>
    </row>
    <row r="12" customFormat="false" ht="15" hidden="false" customHeight="false" outlineLevel="0" collapsed="false">
      <c r="A12" s="13" t="s">
        <v>18</v>
      </c>
      <c r="B12" s="15" t="n">
        <f aca="false">B10*(1-B11)</f>
        <v>455</v>
      </c>
      <c r="C12" s="14"/>
    </row>
    <row r="13" customFormat="false" ht="15" hidden="false" customHeight="false" outlineLevel="0" collapsed="false">
      <c r="A13" s="13" t="s">
        <v>19</v>
      </c>
      <c r="B13" s="12" t="n">
        <v>7</v>
      </c>
      <c r="C13" s="14" t="s">
        <v>20</v>
      </c>
    </row>
    <row r="14" customFormat="false" ht="15" hidden="false" customHeight="false" outlineLevel="0" collapsed="false">
      <c r="A14" s="13" t="s">
        <v>21</v>
      </c>
      <c r="B14" s="16" t="n">
        <v>0.78</v>
      </c>
      <c r="C14" s="14" t="s">
        <v>20</v>
      </c>
    </row>
    <row r="15" customFormat="false" ht="15" hidden="false" customHeight="false" outlineLevel="0" collapsed="false">
      <c r="A15" s="13" t="s">
        <v>22</v>
      </c>
      <c r="B15" s="17" t="n">
        <v>1</v>
      </c>
      <c r="C15" s="18" t="s">
        <v>23</v>
      </c>
    </row>
    <row r="16" customFormat="false" ht="15" hidden="false" customHeight="false" outlineLevel="0" collapsed="false">
      <c r="A16" s="13" t="s">
        <v>24</v>
      </c>
      <c r="B16" s="19" t="n">
        <v>0</v>
      </c>
      <c r="C16" s="18" t="s">
        <v>25</v>
      </c>
    </row>
    <row r="17" customFormat="false" ht="15" hidden="false" customHeight="false" outlineLevel="0" collapsed="false">
      <c r="A17" s="13" t="s">
        <v>26</v>
      </c>
      <c r="B17" s="19" t="n">
        <v>1</v>
      </c>
      <c r="C17" s="18" t="s">
        <v>27</v>
      </c>
    </row>
    <row r="18" customFormat="false" ht="15" hidden="false" customHeight="false" outlineLevel="0" collapsed="false">
      <c r="A18" s="13" t="s">
        <v>28</v>
      </c>
      <c r="B18" s="12" t="n">
        <v>12</v>
      </c>
      <c r="C18" s="14" t="s">
        <v>29</v>
      </c>
    </row>
    <row r="19" customFormat="false" ht="15" hidden="false" customHeight="false" outlineLevel="0" collapsed="false">
      <c r="A19" s="13" t="s">
        <v>30</v>
      </c>
      <c r="B19" s="20" t="n">
        <f aca="false">B13*B15*(1+B16)*B17</f>
        <v>7</v>
      </c>
      <c r="C19" s="18"/>
    </row>
    <row r="21" customFormat="false" ht="15" hidden="false" customHeight="false" outlineLevel="0" collapsed="false">
      <c r="A21" s="21" t="s">
        <v>31</v>
      </c>
      <c r="B21" s="22"/>
      <c r="C21" s="22"/>
    </row>
    <row r="22" customFormat="false" ht="15" hidden="false" customHeight="false" outlineLevel="0" collapsed="false">
      <c r="A22" s="23" t="s">
        <v>32</v>
      </c>
      <c r="B22" s="24" t="n">
        <v>0.460535</v>
      </c>
      <c r="C22" s="6" t="s">
        <v>33</v>
      </c>
    </row>
    <row r="23" customFormat="false" ht="15" hidden="false" customHeight="false" outlineLevel="0" collapsed="false">
      <c r="A23" s="4" t="s">
        <v>34</v>
      </c>
      <c r="B23" s="24" t="n">
        <v>0.5</v>
      </c>
      <c r="C23" s="25" t="s">
        <v>35</v>
      </c>
    </row>
    <row r="24" customFormat="false" ht="15" hidden="false" customHeight="false" outlineLevel="0" collapsed="false">
      <c r="A24" s="4" t="s">
        <v>36</v>
      </c>
      <c r="B24" s="24" t="n">
        <v>1</v>
      </c>
      <c r="C24" s="25" t="s">
        <v>35</v>
      </c>
    </row>
    <row r="25" customFormat="false" ht="15" hidden="false" customHeight="false" outlineLevel="0" collapsed="false">
      <c r="A25" s="4" t="s">
        <v>37</v>
      </c>
      <c r="B25" s="24" t="n">
        <v>1.5</v>
      </c>
      <c r="C25" s="25" t="s">
        <v>35</v>
      </c>
    </row>
    <row r="26" customFormat="false" ht="15" hidden="false" customHeight="false" outlineLevel="0" collapsed="false">
      <c r="A26" s="4" t="s">
        <v>38</v>
      </c>
      <c r="B26" s="24" t="n">
        <v>2</v>
      </c>
      <c r="C26" s="2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11"/>
  </cols>
  <sheetData>
    <row r="1" customFormat="false" ht="17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true" outlineLevel="0" collapsed="false">
      <c r="A3" s="26" t="s">
        <v>41</v>
      </c>
      <c r="B3" s="27" t="s">
        <v>42</v>
      </c>
      <c r="C3" s="27"/>
      <c r="D3" s="28" t="s">
        <v>43</v>
      </c>
      <c r="E3" s="28"/>
      <c r="F3" s="28" t="s">
        <v>44</v>
      </c>
      <c r="G3" s="28"/>
      <c r="H3" s="28" t="s">
        <v>45</v>
      </c>
      <c r="I3" s="28"/>
      <c r="J3" s="28" t="s">
        <v>46</v>
      </c>
      <c r="K3" s="28"/>
    </row>
    <row r="4" customFormat="false" ht="15" hidden="false" customHeight="false" outlineLevel="0" collapsed="false">
      <c r="A4" s="22"/>
      <c r="B4" s="29" t="s">
        <v>47</v>
      </c>
      <c r="C4" s="30" t="s">
        <v>48</v>
      </c>
      <c r="D4" s="29" t="s">
        <v>47</v>
      </c>
      <c r="E4" s="30" t="s">
        <v>48</v>
      </c>
      <c r="F4" s="29" t="s">
        <v>47</v>
      </c>
      <c r="G4" s="30" t="s">
        <v>48</v>
      </c>
      <c r="H4" s="29" t="s">
        <v>47</v>
      </c>
      <c r="I4" s="30" t="s">
        <v>48</v>
      </c>
      <c r="J4" s="29" t="s">
        <v>47</v>
      </c>
      <c r="K4" s="30" t="s">
        <v>48</v>
      </c>
    </row>
    <row r="5" customFormat="false" ht="15" hidden="false" customHeight="false" outlineLevel="0" collapsed="false">
      <c r="A5" s="23" t="s">
        <v>49</v>
      </c>
      <c r="B5" s="31" t="n">
        <f aca="false">가정!$B$7</f>
        <v>266</v>
      </c>
      <c r="C5" s="32" t="n">
        <f aca="false">가정!$B$12</f>
        <v>455</v>
      </c>
      <c r="D5" s="31" t="n">
        <f aca="false">가정!$B$7</f>
        <v>266</v>
      </c>
      <c r="E5" s="32" t="n">
        <f aca="false">가정!$B$12</f>
        <v>455</v>
      </c>
      <c r="F5" s="31" t="n">
        <f aca="false">가정!$B$7</f>
        <v>266</v>
      </c>
      <c r="G5" s="32" t="n">
        <f aca="false">가정!$B$12</f>
        <v>455</v>
      </c>
      <c r="H5" s="31" t="n">
        <f aca="false">가정!$B$7</f>
        <v>266</v>
      </c>
      <c r="I5" s="32" t="n">
        <f aca="false">가정!$B$12</f>
        <v>455</v>
      </c>
      <c r="J5" s="31" t="n">
        <f aca="false">가정!$B$7</f>
        <v>266</v>
      </c>
      <c r="K5" s="32" t="n">
        <f aca="false">가정!$B$12</f>
        <v>455</v>
      </c>
    </row>
    <row r="6" customFormat="false" ht="15" hidden="false" customHeight="false" outlineLevel="0" collapsed="false">
      <c r="A6" s="23" t="s">
        <v>50</v>
      </c>
      <c r="B6" s="33" t="n">
        <f aca="false">월별!$B$4</f>
        <v>152.083333333333</v>
      </c>
      <c r="C6" s="34" t="n">
        <f aca="false">월별!$E$4</f>
        <v>212.916666666667</v>
      </c>
      <c r="D6" s="33" t="n">
        <f aca="false">월별!$B$4</f>
        <v>152.083333333333</v>
      </c>
      <c r="E6" s="34" t="n">
        <f aca="false">월별!$E$4</f>
        <v>212.916666666667</v>
      </c>
      <c r="F6" s="33" t="n">
        <f aca="false">월별!$B$4</f>
        <v>152.083333333333</v>
      </c>
      <c r="G6" s="34" t="n">
        <f aca="false">월별!$E$4</f>
        <v>212.916666666667</v>
      </c>
      <c r="H6" s="33" t="n">
        <f aca="false">월별!$B$4</f>
        <v>152.083333333333</v>
      </c>
      <c r="I6" s="34" t="n">
        <f aca="false">월별!$E$4</f>
        <v>212.916666666667</v>
      </c>
      <c r="J6" s="33" t="n">
        <f aca="false">월별!$B$4</f>
        <v>152.083333333333</v>
      </c>
      <c r="K6" s="34" t="n">
        <f aca="false">월별!$E$4</f>
        <v>212.916666666667</v>
      </c>
    </row>
    <row r="7" customFormat="false" ht="15" hidden="false" customHeight="false" outlineLevel="0" collapsed="false">
      <c r="A7" s="23" t="s">
        <v>51</v>
      </c>
      <c r="B7" s="31" t="n">
        <f aca="false">월별!$B$4*가정!$B$22</f>
        <v>70.0396979166667</v>
      </c>
      <c r="C7" s="32" t="n">
        <f aca="false">월별!$E$4*가정!$B$22</f>
        <v>98.0555770833334</v>
      </c>
      <c r="D7" s="31" t="n">
        <f aca="false">월별!$B$4*가정!$B$23</f>
        <v>76.0416666666667</v>
      </c>
      <c r="E7" s="32" t="n">
        <f aca="false">월별!$E$4*가정!$B$23</f>
        <v>106.458333333333</v>
      </c>
      <c r="F7" s="31" t="n">
        <f aca="false">월별!$B$4*가정!$B$24</f>
        <v>152.083333333333</v>
      </c>
      <c r="G7" s="32" t="n">
        <f aca="false">월별!$E$4*가정!$B$24</f>
        <v>212.916666666667</v>
      </c>
      <c r="H7" s="31" t="n">
        <f aca="false">월별!$B$4*가정!$B$25</f>
        <v>228.125</v>
      </c>
      <c r="I7" s="32" t="n">
        <f aca="false">월별!$E$4*가정!$B$25</f>
        <v>319.375</v>
      </c>
      <c r="J7" s="31" t="n">
        <f aca="false">월별!$B$4*가정!$B$26</f>
        <v>304.166666666667</v>
      </c>
      <c r="K7" s="32" t="n">
        <f aca="false">월별!$E$4*가정!$B$26</f>
        <v>425.833333333333</v>
      </c>
    </row>
    <row r="8" customFormat="false" ht="15" hidden="false" customHeight="false" outlineLevel="0" collapsed="false">
      <c r="A8" s="35" t="s">
        <v>52</v>
      </c>
      <c r="B8" s="36" t="n">
        <f aca="false">IF(COUNTIF(월별!G4:G39,"&lt;0")&gt;=36,"36개월 안 X",COUNTIF(월별!G4:G39,"&lt;0")+1)</f>
        <v>4</v>
      </c>
      <c r="C8" s="37" t="n">
        <f aca="false">IF(COUNTIF(월별!L4:L39,"&lt;0")&gt;=36,"36개월 안 X",COUNTIF(월별!L4:L39,"&lt;0")+1)</f>
        <v>5</v>
      </c>
      <c r="D8" s="36" t="n">
        <f aca="false">IF(COUNTIF(월별!H4:H39,"&lt;0")&gt;=36,"36개월 안 X",COUNTIF(월별!H4:H39,"&lt;0")+1)</f>
        <v>4</v>
      </c>
      <c r="E8" s="37" t="n">
        <f aca="false">IF(COUNTIF(월별!M4:M39,"&lt;0")&gt;=36,"36개월 안 X",COUNTIF(월별!M4:M39,"&lt;0")+1)</f>
        <v>5</v>
      </c>
      <c r="F8" s="36" t="n">
        <f aca="false">IF(COUNTIF(월별!I4:I39,"&lt;0")&gt;=36,"36개월 안 X",COUNTIF(월별!I4:I39,"&lt;0")+1)</f>
        <v>2</v>
      </c>
      <c r="G8" s="37" t="n">
        <f aca="false">IF(COUNTIF(월별!N4:N39,"&lt;0")&gt;=36,"36개월 안 X",COUNTIF(월별!N4:N39,"&lt;0")+1)</f>
        <v>3</v>
      </c>
      <c r="H8" s="36" t="n">
        <f aca="false">IF(COUNTIF(월별!J4:J39,"&lt;0")&gt;=36,"36개월 안 X",COUNTIF(월별!J4:J39,"&lt;0")+1)</f>
        <v>2</v>
      </c>
      <c r="I8" s="37" t="n">
        <f aca="false">IF(COUNTIF(월별!O4:O39,"&lt;0")&gt;=36,"36개월 안 X",COUNTIF(월별!O4:O39,"&lt;0")+1)</f>
        <v>2</v>
      </c>
      <c r="J8" s="36" t="n">
        <f aca="false">IF(COUNTIF(월별!K4:K39,"&lt;0")&gt;=36,"36개월 안 X",COUNTIF(월별!K4:K39,"&lt;0")+1)</f>
        <v>1</v>
      </c>
      <c r="K8" s="37" t="n">
        <f aca="false">IF(COUNTIF(월별!P4:P39,"&lt;0")&gt;=36,"36개월 안 X",COUNTIF(월별!P4:P39,"&lt;0")+1)</f>
        <v>2</v>
      </c>
    </row>
    <row r="9" customFormat="false" ht="15" hidden="false" customHeight="false" outlineLevel="0" collapsed="false">
      <c r="A9" s="4" t="s">
        <v>53</v>
      </c>
      <c r="B9" s="36" t="n">
        <f aca="false">월별!$C$39</f>
        <v>5475</v>
      </c>
      <c r="C9" s="37" t="n">
        <f aca="false">월별!$F$39</f>
        <v>6102.36199999999</v>
      </c>
      <c r="D9" s="36" t="n">
        <f aca="false">월별!$C$39</f>
        <v>5475</v>
      </c>
      <c r="E9" s="37" t="n">
        <f aca="false">월별!$F$39</f>
        <v>6102.36199999999</v>
      </c>
      <c r="F9" s="36" t="n">
        <f aca="false">월별!$C$39</f>
        <v>5475</v>
      </c>
      <c r="G9" s="37" t="n">
        <f aca="false">월별!$F$39</f>
        <v>6102.36199999999</v>
      </c>
      <c r="H9" s="36" t="n">
        <f aca="false">월별!$C$39</f>
        <v>5475</v>
      </c>
      <c r="I9" s="37" t="n">
        <f aca="false">월별!$F$39</f>
        <v>6102.36199999999</v>
      </c>
      <c r="J9" s="36" t="n">
        <f aca="false">월별!$C$39</f>
        <v>5475</v>
      </c>
      <c r="K9" s="37" t="n">
        <f aca="false">월별!$F$39</f>
        <v>6102.36199999999</v>
      </c>
    </row>
    <row r="10" customFormat="false" ht="15" hidden="false" customHeight="false" outlineLevel="0" collapsed="false">
      <c r="A10" s="4" t="s">
        <v>54</v>
      </c>
      <c r="B10" s="31" t="n">
        <f aca="false">월별!$C$39*가정!$B$22</f>
        <v>2521.429125</v>
      </c>
      <c r="C10" s="32" t="n">
        <f aca="false">월별!$F$39*가정!$B$22</f>
        <v>2810.35128367</v>
      </c>
      <c r="D10" s="31" t="n">
        <f aca="false">월별!$C$39*가정!$B$23</f>
        <v>2737.5</v>
      </c>
      <c r="E10" s="32" t="n">
        <f aca="false">월별!$F$39*가정!$B$23</f>
        <v>3051.181</v>
      </c>
      <c r="F10" s="31" t="n">
        <f aca="false">월별!$C$39*가정!$B$24</f>
        <v>5475</v>
      </c>
      <c r="G10" s="32" t="n">
        <f aca="false">월별!$F$39*가정!$B$24</f>
        <v>6102.36199999999</v>
      </c>
      <c r="H10" s="31" t="n">
        <f aca="false">월별!$C$39*가정!$B$25</f>
        <v>8212.5</v>
      </c>
      <c r="I10" s="32" t="n">
        <f aca="false">월별!$F$39*가정!$B$25</f>
        <v>9153.54299999999</v>
      </c>
      <c r="J10" s="31" t="n">
        <f aca="false">월별!$C$39*가정!$B$26</f>
        <v>10950</v>
      </c>
      <c r="K10" s="32" t="n">
        <f aca="false">월별!$F$39*가정!$B$26</f>
        <v>12204.724</v>
      </c>
    </row>
    <row r="11" customFormat="false" ht="15" hidden="false" customHeight="false" outlineLevel="0" collapsed="false">
      <c r="A11" s="4" t="s">
        <v>55</v>
      </c>
      <c r="B11" s="31" t="n">
        <f aca="false">월별!$C$39*가정!$B$22-가정!$B$7</f>
        <v>2255.429125</v>
      </c>
      <c r="C11" s="32" t="n">
        <f aca="false">월별!$F$39*가정!$B$22-가정!$B$12</f>
        <v>2355.35128367</v>
      </c>
      <c r="D11" s="31" t="n">
        <f aca="false">월별!$C$39*가정!$B$23-가정!$B$7</f>
        <v>2471.5</v>
      </c>
      <c r="E11" s="32" t="n">
        <f aca="false">월별!$F$39*가정!$B$23-가정!$B$12</f>
        <v>2596.181</v>
      </c>
      <c r="F11" s="31" t="n">
        <f aca="false">월별!$C$39*가정!$B$24-가정!$B$7</f>
        <v>5209</v>
      </c>
      <c r="G11" s="32" t="n">
        <f aca="false">월별!$F$39*가정!$B$24-가정!$B$12</f>
        <v>5647.36199999999</v>
      </c>
      <c r="H11" s="31" t="n">
        <f aca="false">월별!$C$39*가정!$B$25-가정!$B$7</f>
        <v>7946.5</v>
      </c>
      <c r="I11" s="32" t="n">
        <f aca="false">월별!$F$39*가정!$B$25-가정!$B$12</f>
        <v>8698.54299999999</v>
      </c>
      <c r="J11" s="31" t="n">
        <f aca="false">월별!$C$39*가정!$B$26-가정!$B$7</f>
        <v>10684</v>
      </c>
      <c r="K11" s="32" t="n">
        <f aca="false">월별!$F$39*가정!$B$26-가정!$B$12</f>
        <v>11749.724</v>
      </c>
    </row>
    <row r="12" customFormat="false" ht="15" hidden="false" customHeight="false" outlineLevel="0" collapsed="false">
      <c r="A12" s="23" t="s">
        <v>56</v>
      </c>
      <c r="B12" s="38" t="n">
        <f aca="false">월별!$C$39*가정!$B$22/가정!$B$7</f>
        <v>9.47905686090226</v>
      </c>
      <c r="C12" s="39" t="n">
        <f aca="false">월별!$F$39*가정!$B$22/가정!$B$12</f>
        <v>6.17659622784615</v>
      </c>
      <c r="D12" s="38" t="n">
        <f aca="false">월별!$C$39*가정!$B$23/가정!$B$7</f>
        <v>10.2913533834586</v>
      </c>
      <c r="E12" s="39" t="n">
        <f aca="false">월별!$F$39*가정!$B$23/가정!$B$12</f>
        <v>6.7058923076923</v>
      </c>
      <c r="F12" s="38" t="n">
        <f aca="false">월별!$C$39*가정!$B$24/가정!$B$7</f>
        <v>20.5827067669173</v>
      </c>
      <c r="G12" s="39" t="n">
        <f aca="false">월별!$F$39*가정!$B$24/가정!$B$12</f>
        <v>13.4117846153846</v>
      </c>
      <c r="H12" s="38" t="n">
        <f aca="false">월별!$C$39*가정!$B$25/가정!$B$7</f>
        <v>30.8740601503759</v>
      </c>
      <c r="I12" s="39" t="n">
        <f aca="false">월별!$F$39*가정!$B$25/가정!$B$12</f>
        <v>20.1176769230769</v>
      </c>
      <c r="J12" s="38" t="n">
        <f aca="false">월별!$C$39*가정!$B$26/가정!$B$7</f>
        <v>41.1654135338346</v>
      </c>
      <c r="K12" s="39" t="n">
        <f aca="false">월별!$F$39*가정!$B$26/가정!$B$12</f>
        <v>26.8235692307692</v>
      </c>
    </row>
    <row r="13" customFormat="false" ht="15" hidden="false" customHeight="false" outlineLevel="0" collapsed="false">
      <c r="A13" s="4" t="s">
        <v>57</v>
      </c>
      <c r="B13" s="33" t="n">
        <f aca="false">월별!$C$39/가정!$B$7</f>
        <v>20.5827067669173</v>
      </c>
      <c r="C13" s="34" t="n">
        <f aca="false">월별!$F$39/가정!$B$12</f>
        <v>13.4117846153846</v>
      </c>
      <c r="D13" s="33" t="n">
        <f aca="false">월별!$C$39/가정!$B$7</f>
        <v>20.5827067669173</v>
      </c>
      <c r="E13" s="34" t="n">
        <f aca="false">월별!$F$39/가정!$B$12</f>
        <v>13.4117846153846</v>
      </c>
      <c r="F13" s="33" t="n">
        <f aca="false">월별!$C$39/가정!$B$7</f>
        <v>20.5827067669173</v>
      </c>
      <c r="G13" s="34" t="n">
        <f aca="false">월별!$F$39/가정!$B$12</f>
        <v>13.4117846153846</v>
      </c>
      <c r="H13" s="33" t="n">
        <f aca="false">월별!$C$39/가정!$B$7</f>
        <v>20.5827067669173</v>
      </c>
      <c r="I13" s="34" t="n">
        <f aca="false">월별!$F$39/가정!$B$12</f>
        <v>13.4117846153846</v>
      </c>
      <c r="J13" s="33" t="n">
        <f aca="false">월별!$C$39/가정!$B$7</f>
        <v>20.5827067669173</v>
      </c>
      <c r="K13" s="34" t="n">
        <f aca="false">월별!$F$39/가정!$B$12</f>
        <v>13.4117846153846</v>
      </c>
    </row>
    <row r="14" customFormat="false" ht="15" hidden="false" customHeight="false" outlineLevel="0" collapsed="false">
      <c r="A14" s="4" t="s">
        <v>58</v>
      </c>
      <c r="B14" s="40" t="n">
        <f aca="false">가정!$B$7/월별!$C$39</f>
        <v>0.0485844748858448</v>
      </c>
      <c r="C14" s="41" t="n">
        <f aca="false">가정!$B$12/월별!$F$39</f>
        <v>0.0745612928239918</v>
      </c>
      <c r="D14" s="40" t="n">
        <f aca="false">가정!$B$7/월별!$C$39</f>
        <v>0.0485844748858448</v>
      </c>
      <c r="E14" s="41" t="n">
        <f aca="false">가정!$B$12/월별!$F$39</f>
        <v>0.0745612928239918</v>
      </c>
      <c r="F14" s="40" t="n">
        <f aca="false">가정!$B$7/월별!$C$39</f>
        <v>0.0485844748858448</v>
      </c>
      <c r="G14" s="41" t="n">
        <f aca="false">가정!$B$12/월별!$F$39</f>
        <v>0.0745612928239918</v>
      </c>
      <c r="H14" s="40" t="n">
        <f aca="false">가정!$B$7/월별!$C$39</f>
        <v>0.0485844748858448</v>
      </c>
      <c r="I14" s="41" t="n">
        <f aca="false">가정!$B$12/월별!$F$39</f>
        <v>0.0745612928239918</v>
      </c>
      <c r="J14" s="40" t="n">
        <f aca="false">가정!$B$7/월별!$C$39</f>
        <v>0.0485844748858448</v>
      </c>
      <c r="K14" s="41" t="n">
        <f aca="false">가정!$B$12/월별!$F$39</f>
        <v>0.0745612928239918</v>
      </c>
    </row>
    <row r="17" customFormat="false" ht="15" hidden="false" customHeight="true" outlineLevel="0" collapsed="false">
      <c r="A17" s="3" t="s">
        <v>59</v>
      </c>
      <c r="B17" s="42" t="s">
        <v>60</v>
      </c>
      <c r="C17" s="42"/>
      <c r="D17" s="42"/>
      <c r="E17" s="42"/>
      <c r="F17" s="42"/>
      <c r="G17" s="43" t="s">
        <v>61</v>
      </c>
      <c r="H17" s="43"/>
      <c r="I17" s="43"/>
      <c r="J17" s="43"/>
      <c r="K17" s="43"/>
    </row>
    <row r="18" customFormat="false" ht="31.5" hidden="false" customHeight="true" outlineLevel="0" collapsed="false">
      <c r="A18" s="44" t="s">
        <v>62</v>
      </c>
      <c r="B18" s="45" t="s">
        <v>63</v>
      </c>
      <c r="C18" s="45"/>
      <c r="D18" s="45"/>
      <c r="E18" s="45"/>
      <c r="F18" s="45"/>
      <c r="G18" s="46" t="s">
        <v>64</v>
      </c>
      <c r="H18" s="46"/>
      <c r="I18" s="46"/>
      <c r="J18" s="46"/>
      <c r="K18" s="46"/>
    </row>
    <row r="19" customFormat="false" ht="31.5" hidden="false" customHeight="true" outlineLevel="0" collapsed="false">
      <c r="A19" s="44" t="s">
        <v>65</v>
      </c>
      <c r="B19" s="47" t="s">
        <v>66</v>
      </c>
      <c r="C19" s="47"/>
      <c r="D19" s="47"/>
      <c r="E19" s="47"/>
      <c r="F19" s="47"/>
      <c r="G19" s="46" t="s">
        <v>67</v>
      </c>
      <c r="H19" s="46"/>
      <c r="I19" s="46"/>
      <c r="J19" s="46"/>
      <c r="K19" s="46"/>
    </row>
    <row r="20" customFormat="false" ht="31.5" hidden="false" customHeight="true" outlineLevel="0" collapsed="false">
      <c r="A20" s="44" t="s">
        <v>68</v>
      </c>
      <c r="B20" s="47" t="s">
        <v>69</v>
      </c>
      <c r="C20" s="47"/>
      <c r="D20" s="47"/>
      <c r="E20" s="47"/>
      <c r="F20" s="47"/>
      <c r="G20" s="46" t="s">
        <v>70</v>
      </c>
      <c r="H20" s="46"/>
      <c r="I20" s="46"/>
      <c r="J20" s="46"/>
      <c r="K20" s="46"/>
    </row>
    <row r="21" customFormat="false" ht="31.5" hidden="false" customHeight="true" outlineLevel="0" collapsed="false">
      <c r="A21" s="44" t="s">
        <v>71</v>
      </c>
      <c r="B21" s="45" t="s">
        <v>72</v>
      </c>
      <c r="C21" s="45"/>
      <c r="D21" s="45"/>
      <c r="E21" s="45"/>
      <c r="F21" s="45"/>
      <c r="G21" s="46" t="s">
        <v>73</v>
      </c>
      <c r="H21" s="46"/>
      <c r="I21" s="46"/>
      <c r="J21" s="46"/>
      <c r="K21" s="46"/>
    </row>
    <row r="22" customFormat="false" ht="31.5" hidden="false" customHeight="true" outlineLevel="0" collapsed="false">
      <c r="A22" s="44" t="s">
        <v>74</v>
      </c>
      <c r="B22" s="47" t="s">
        <v>75</v>
      </c>
      <c r="C22" s="47"/>
      <c r="D22" s="47"/>
      <c r="E22" s="47"/>
      <c r="F22" s="47"/>
      <c r="G22" s="48" t="s">
        <v>76</v>
      </c>
      <c r="H22" s="48"/>
      <c r="I22" s="48"/>
      <c r="J22" s="48"/>
      <c r="K22" s="48"/>
    </row>
    <row r="23" customFormat="false" ht="31.5" hidden="false" customHeight="true" outlineLevel="0" collapsed="false">
      <c r="A23" s="44" t="s">
        <v>77</v>
      </c>
      <c r="B23" s="47" t="s">
        <v>78</v>
      </c>
      <c r="C23" s="47"/>
      <c r="D23" s="47"/>
      <c r="E23" s="47"/>
      <c r="F23" s="47"/>
      <c r="G23" s="48" t="s">
        <v>79</v>
      </c>
      <c r="H23" s="48"/>
      <c r="I23" s="48"/>
      <c r="J23" s="48"/>
      <c r="K23" s="48"/>
    </row>
    <row r="24" customFormat="false" ht="31.5" hidden="false" customHeight="true" outlineLevel="0" collapsed="false">
      <c r="A24" s="44" t="s">
        <v>80</v>
      </c>
      <c r="B24" s="45" t="s">
        <v>81</v>
      </c>
      <c r="C24" s="45"/>
      <c r="D24" s="45"/>
      <c r="E24" s="45"/>
      <c r="F24" s="45"/>
      <c r="G24" s="46" t="s">
        <v>82</v>
      </c>
      <c r="H24" s="46"/>
      <c r="I24" s="46"/>
      <c r="J24" s="46"/>
      <c r="K24" s="46"/>
    </row>
    <row r="25" customFormat="false" ht="31.5" hidden="false" customHeight="true" outlineLevel="0" collapsed="false">
      <c r="A25" s="44" t="s">
        <v>83</v>
      </c>
      <c r="B25" s="45" t="s">
        <v>84</v>
      </c>
      <c r="C25" s="45"/>
      <c r="D25" s="45"/>
      <c r="E25" s="45"/>
      <c r="F25" s="45"/>
      <c r="G25" s="46" t="s">
        <v>85</v>
      </c>
      <c r="H25" s="46"/>
      <c r="I25" s="46"/>
      <c r="J25" s="46"/>
      <c r="K25" s="46"/>
    </row>
    <row r="27" customFormat="false" ht="15" hidden="false" customHeight="false" outlineLevel="0" collapsed="false">
      <c r="A27" s="25" t="s">
        <v>86</v>
      </c>
    </row>
  </sheetData>
  <mergeCells count="23">
    <mergeCell ref="B3:C3"/>
    <mergeCell ref="D3:E3"/>
    <mergeCell ref="F3:G3"/>
    <mergeCell ref="H3:I3"/>
    <mergeCell ref="J3:K3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6" min="2" style="0" width="11"/>
  </cols>
  <sheetData>
    <row r="1" customFormat="false" ht="17.15" hidden="false" customHeight="false" outlineLevel="0" collapsed="false">
      <c r="A1" s="49" t="s">
        <v>87</v>
      </c>
    </row>
    <row r="2" customFormat="false" ht="15" hidden="false" customHeight="false" outlineLevel="0" collapsed="false">
      <c r="A2" s="2" t="s">
        <v>88</v>
      </c>
    </row>
    <row r="3" customFormat="false" ht="25.35" hidden="false" customHeight="false" outlineLevel="0" collapsed="false">
      <c r="A3" s="50" t="s">
        <v>89</v>
      </c>
      <c r="B3" s="50" t="s">
        <v>90</v>
      </c>
      <c r="C3" s="50" t="s">
        <v>91</v>
      </c>
      <c r="D3" s="50" t="s">
        <v>92</v>
      </c>
      <c r="E3" s="50" t="s">
        <v>93</v>
      </c>
      <c r="F3" s="50" t="s">
        <v>94</v>
      </c>
      <c r="G3" s="50" t="s">
        <v>95</v>
      </c>
      <c r="H3" s="50" t="s">
        <v>96</v>
      </c>
      <c r="I3" s="50" t="s">
        <v>97</v>
      </c>
      <c r="J3" s="50" t="s">
        <v>98</v>
      </c>
      <c r="K3" s="50" t="s">
        <v>99</v>
      </c>
      <c r="L3" s="50" t="s">
        <v>100</v>
      </c>
      <c r="M3" s="50" t="s">
        <v>101</v>
      </c>
      <c r="N3" s="50" t="s">
        <v>102</v>
      </c>
      <c r="O3" s="50" t="s">
        <v>103</v>
      </c>
      <c r="P3" s="50" t="s">
        <v>104</v>
      </c>
    </row>
    <row r="4" customFormat="false" ht="15" hidden="false" customHeight="false" outlineLevel="0" collapsed="false">
      <c r="A4" s="51" t="n">
        <v>1</v>
      </c>
      <c r="B4" s="52" t="n">
        <f aca="false">가정!$B$8*(MIN(A4*가정!$B$4,가정!$B$9)-MIN((A4-1)*가정!$B$4,가정!$B$9))</f>
        <v>152.083333333333</v>
      </c>
      <c r="C4" s="51" t="n">
        <f aca="false">B4</f>
        <v>152.083333333333</v>
      </c>
      <c r="D4" s="51" t="n">
        <f aca="false">MIN(10,INT((A4-1)/가정!$B$18)+1)</f>
        <v>1</v>
      </c>
      <c r="E4" s="52" t="n">
        <f aca="false">가정!$B$19*가정!$B$14^(D4-1)*가정!$B$4</f>
        <v>212.916666666667</v>
      </c>
      <c r="F4" s="51" t="n">
        <f aca="false">E4</f>
        <v>212.916666666667</v>
      </c>
      <c r="G4" s="53" t="n">
        <f aca="false">C4*가정!$B$22-가정!$B$7</f>
        <v>-195.960302083333</v>
      </c>
      <c r="H4" s="53" t="n">
        <f aca="false">C4*가정!$B$23-가정!$B$7</f>
        <v>-189.958333333333</v>
      </c>
      <c r="I4" s="53" t="n">
        <f aca="false">C4*가정!$B$24-가정!$B$7</f>
        <v>-113.916666666667</v>
      </c>
      <c r="J4" s="53" t="n">
        <f aca="false">C4*가정!$B$25-가정!$B$7</f>
        <v>-37.875</v>
      </c>
      <c r="K4" s="53" t="n">
        <f aca="false">C4*가정!$B$26-가정!$B$7</f>
        <v>38.1666666666667</v>
      </c>
      <c r="L4" s="54" t="n">
        <f aca="false">F4*가정!$B$22-가정!$B$12</f>
        <v>-356.944422916667</v>
      </c>
      <c r="M4" s="54" t="n">
        <f aca="false">F4*가정!$B$23-가정!$B$12</f>
        <v>-348.541666666667</v>
      </c>
      <c r="N4" s="54" t="n">
        <f aca="false">F4*가정!$B$24-가정!$B$12</f>
        <v>-242.083333333333</v>
      </c>
      <c r="O4" s="54" t="n">
        <f aca="false">F4*가정!$B$25-가정!$B$12</f>
        <v>-135.625</v>
      </c>
      <c r="P4" s="54" t="n">
        <f aca="false">F4*가정!$B$26-가정!$B$12</f>
        <v>-29.1666666666666</v>
      </c>
    </row>
    <row r="5" customFormat="false" ht="15" hidden="false" customHeight="false" outlineLevel="0" collapsed="false">
      <c r="A5" s="51" t="n">
        <v>2</v>
      </c>
      <c r="B5" s="52" t="n">
        <f aca="false">가정!$B$8*(MIN(A5*가정!$B$4,가정!$B$9)-MIN((A5-1)*가정!$B$4,가정!$B$9))</f>
        <v>152.083333333333</v>
      </c>
      <c r="C5" s="51" t="n">
        <f aca="false">C4+B5</f>
        <v>304.166666666667</v>
      </c>
      <c r="D5" s="51" t="n">
        <f aca="false">MIN(10,INT((A5-1)/가정!$B$18)+1)</f>
        <v>1</v>
      </c>
      <c r="E5" s="52" t="n">
        <f aca="false">가정!$B$19*가정!$B$14^(D5-1)*가정!$B$4</f>
        <v>212.916666666667</v>
      </c>
      <c r="F5" s="51" t="n">
        <f aca="false">F4+E5</f>
        <v>425.833333333333</v>
      </c>
      <c r="G5" s="53" t="n">
        <f aca="false">C5*가정!$B$22-가정!$B$7</f>
        <v>-125.920604166667</v>
      </c>
      <c r="H5" s="53" t="n">
        <f aca="false">C5*가정!$B$23-가정!$B$7</f>
        <v>-113.916666666667</v>
      </c>
      <c r="I5" s="53" t="n">
        <f aca="false">C5*가정!$B$24-가정!$B$7</f>
        <v>38.1666666666667</v>
      </c>
      <c r="J5" s="53" t="n">
        <f aca="false">C5*가정!$B$25-가정!$B$7</f>
        <v>190.25</v>
      </c>
      <c r="K5" s="53" t="n">
        <f aca="false">C5*가정!$B$26-가정!$B$7</f>
        <v>342.333333333333</v>
      </c>
      <c r="L5" s="54" t="n">
        <f aca="false">F5*가정!$B$22-가정!$B$12</f>
        <v>-258.888845833333</v>
      </c>
      <c r="M5" s="54" t="n">
        <f aca="false">F5*가정!$B$23-가정!$B$12</f>
        <v>-242.083333333333</v>
      </c>
      <c r="N5" s="54" t="n">
        <f aca="false">F5*가정!$B$24-가정!$B$12</f>
        <v>-29.1666666666666</v>
      </c>
      <c r="O5" s="54" t="n">
        <f aca="false">F5*가정!$B$25-가정!$B$12</f>
        <v>183.75</v>
      </c>
      <c r="P5" s="54" t="n">
        <f aca="false">F5*가정!$B$26-가정!$B$12</f>
        <v>396.666666666667</v>
      </c>
    </row>
    <row r="6" customFormat="false" ht="15" hidden="false" customHeight="false" outlineLevel="0" collapsed="false">
      <c r="A6" s="51" t="n">
        <v>3</v>
      </c>
      <c r="B6" s="52" t="n">
        <f aca="false">가정!$B$8*(MIN(A6*가정!$B$4,가정!$B$9)-MIN((A6-1)*가정!$B$4,가정!$B$9))</f>
        <v>152.083333333333</v>
      </c>
      <c r="C6" s="51" t="n">
        <f aca="false">C5+B6</f>
        <v>456.25</v>
      </c>
      <c r="D6" s="51" t="n">
        <f aca="false">MIN(10,INT((A6-1)/가정!$B$18)+1)</f>
        <v>1</v>
      </c>
      <c r="E6" s="52" t="n">
        <f aca="false">가정!$B$19*가정!$B$14^(D6-1)*가정!$B$4</f>
        <v>212.916666666667</v>
      </c>
      <c r="F6" s="51" t="n">
        <f aca="false">F5+E6</f>
        <v>638.75</v>
      </c>
      <c r="G6" s="53" t="n">
        <f aca="false">C6*가정!$B$22-가정!$B$7</f>
        <v>-55.88090625</v>
      </c>
      <c r="H6" s="53" t="n">
        <f aca="false">C6*가정!$B$23-가정!$B$7</f>
        <v>-37.875</v>
      </c>
      <c r="I6" s="53" t="n">
        <f aca="false">C6*가정!$B$24-가정!$B$7</f>
        <v>190.25</v>
      </c>
      <c r="J6" s="53" t="n">
        <f aca="false">C6*가정!$B$25-가정!$B$7</f>
        <v>418.375</v>
      </c>
      <c r="K6" s="53" t="n">
        <f aca="false">C6*가정!$B$26-가정!$B$7</f>
        <v>646.5</v>
      </c>
      <c r="L6" s="54" t="n">
        <f aca="false">F6*가정!$B$22-가정!$B$12</f>
        <v>-160.83326875</v>
      </c>
      <c r="M6" s="54" t="n">
        <f aca="false">F6*가정!$B$23-가정!$B$12</f>
        <v>-135.625</v>
      </c>
      <c r="N6" s="54" t="n">
        <f aca="false">F6*가정!$B$24-가정!$B$12</f>
        <v>183.75</v>
      </c>
      <c r="O6" s="54" t="n">
        <f aca="false">F6*가정!$B$25-가정!$B$12</f>
        <v>503.125</v>
      </c>
      <c r="P6" s="54" t="n">
        <f aca="false">F6*가정!$B$26-가정!$B$12</f>
        <v>822.5</v>
      </c>
    </row>
    <row r="7" customFormat="false" ht="15" hidden="false" customHeight="false" outlineLevel="0" collapsed="false">
      <c r="A7" s="51" t="n">
        <v>4</v>
      </c>
      <c r="B7" s="52" t="n">
        <f aca="false">가정!$B$8*(MIN(A7*가정!$B$4,가정!$B$9)-MIN((A7-1)*가정!$B$4,가정!$B$9))</f>
        <v>152.083333333333</v>
      </c>
      <c r="C7" s="51" t="n">
        <f aca="false">C6+B7</f>
        <v>608.333333333333</v>
      </c>
      <c r="D7" s="51" t="n">
        <f aca="false">MIN(10,INT((A7-1)/가정!$B$18)+1)</f>
        <v>1</v>
      </c>
      <c r="E7" s="52" t="n">
        <f aca="false">가정!$B$19*가정!$B$14^(D7-1)*가정!$B$4</f>
        <v>212.916666666667</v>
      </c>
      <c r="F7" s="51" t="n">
        <f aca="false">F6+E7</f>
        <v>851.666666666667</v>
      </c>
      <c r="G7" s="53" t="n">
        <f aca="false">C7*가정!$B$22-가정!$B$7</f>
        <v>14.1587916666667</v>
      </c>
      <c r="H7" s="53" t="n">
        <f aca="false">C7*가정!$B$23-가정!$B$7</f>
        <v>38.1666666666667</v>
      </c>
      <c r="I7" s="53" t="n">
        <f aca="false">C7*가정!$B$24-가정!$B$7</f>
        <v>342.333333333333</v>
      </c>
      <c r="J7" s="53" t="n">
        <f aca="false">C7*가정!$B$25-가정!$B$7</f>
        <v>646.5</v>
      </c>
      <c r="K7" s="53" t="n">
        <f aca="false">C7*가정!$B$26-가정!$B$7</f>
        <v>950.666666666667</v>
      </c>
      <c r="L7" s="54" t="n">
        <f aca="false">F7*가정!$B$22-가정!$B$12</f>
        <v>-62.7776916666666</v>
      </c>
      <c r="M7" s="54" t="n">
        <f aca="false">F7*가정!$B$23-가정!$B$12</f>
        <v>-29.1666666666666</v>
      </c>
      <c r="N7" s="54" t="n">
        <f aca="false">F7*가정!$B$24-가정!$B$12</f>
        <v>396.666666666667</v>
      </c>
      <c r="O7" s="54" t="n">
        <f aca="false">F7*가정!$B$25-가정!$B$12</f>
        <v>822.5</v>
      </c>
      <c r="P7" s="54" t="n">
        <f aca="false">F7*가정!$B$26-가정!$B$12</f>
        <v>1248.33333333333</v>
      </c>
    </row>
    <row r="8" customFormat="false" ht="15" hidden="false" customHeight="false" outlineLevel="0" collapsed="false">
      <c r="A8" s="51" t="n">
        <v>5</v>
      </c>
      <c r="B8" s="52" t="n">
        <f aca="false">가정!$B$8*(MIN(A8*가정!$B$4,가정!$B$9)-MIN((A8-1)*가정!$B$4,가정!$B$9))</f>
        <v>152.083333333333</v>
      </c>
      <c r="C8" s="51" t="n">
        <f aca="false">C7+B8</f>
        <v>760.416666666667</v>
      </c>
      <c r="D8" s="51" t="n">
        <f aca="false">MIN(10,INT((A8-1)/가정!$B$18)+1)</f>
        <v>1</v>
      </c>
      <c r="E8" s="52" t="n">
        <f aca="false">가정!$B$19*가정!$B$14^(D8-1)*가정!$B$4</f>
        <v>212.916666666667</v>
      </c>
      <c r="F8" s="51" t="n">
        <f aca="false">F7+E8</f>
        <v>1064.58333333333</v>
      </c>
      <c r="G8" s="53" t="n">
        <f aca="false">C8*가정!$B$22-가정!$B$7</f>
        <v>84.1984895833334</v>
      </c>
      <c r="H8" s="53" t="n">
        <f aca="false">C8*가정!$B$23-가정!$B$7</f>
        <v>114.208333333333</v>
      </c>
      <c r="I8" s="53" t="n">
        <f aca="false">C8*가정!$B$24-가정!$B$7</f>
        <v>494.416666666667</v>
      </c>
      <c r="J8" s="53" t="n">
        <f aca="false">C8*가정!$B$25-가정!$B$7</f>
        <v>874.625</v>
      </c>
      <c r="K8" s="53" t="n">
        <f aca="false">C8*가정!$B$26-가정!$B$7</f>
        <v>1254.83333333333</v>
      </c>
      <c r="L8" s="54" t="n">
        <f aca="false">F8*가정!$B$22-가정!$B$12</f>
        <v>35.2778854166668</v>
      </c>
      <c r="M8" s="54" t="n">
        <f aca="false">F8*가정!$B$23-가정!$B$12</f>
        <v>77.2916666666668</v>
      </c>
      <c r="N8" s="54" t="n">
        <f aca="false">F8*가정!$B$24-가정!$B$12</f>
        <v>609.583333333334</v>
      </c>
      <c r="O8" s="54" t="n">
        <f aca="false">F8*가정!$B$25-가정!$B$12</f>
        <v>1141.875</v>
      </c>
      <c r="P8" s="54" t="n">
        <f aca="false">F8*가정!$B$26-가정!$B$12</f>
        <v>1674.16666666667</v>
      </c>
    </row>
    <row r="9" customFormat="false" ht="15" hidden="false" customHeight="false" outlineLevel="0" collapsed="false">
      <c r="A9" s="51" t="n">
        <v>6</v>
      </c>
      <c r="B9" s="52" t="n">
        <f aca="false">가정!$B$8*(MIN(A9*가정!$B$4,가정!$B$9)-MIN((A9-1)*가정!$B$4,가정!$B$9))</f>
        <v>152.083333333333</v>
      </c>
      <c r="C9" s="51" t="n">
        <f aca="false">C8+B9</f>
        <v>912.5</v>
      </c>
      <c r="D9" s="51" t="n">
        <f aca="false">MIN(10,INT((A9-1)/가정!$B$18)+1)</f>
        <v>1</v>
      </c>
      <c r="E9" s="52" t="n">
        <f aca="false">가정!$B$19*가정!$B$14^(D9-1)*가정!$B$4</f>
        <v>212.916666666667</v>
      </c>
      <c r="F9" s="51" t="n">
        <f aca="false">F8+E9</f>
        <v>1277.5</v>
      </c>
      <c r="G9" s="53" t="n">
        <f aca="false">C9*가정!$B$22-가정!$B$7</f>
        <v>154.2381875</v>
      </c>
      <c r="H9" s="53" t="n">
        <f aca="false">C9*가정!$B$23-가정!$B$7</f>
        <v>190.25</v>
      </c>
      <c r="I9" s="53" t="n">
        <f aca="false">C9*가정!$B$24-가정!$B$7</f>
        <v>646.5</v>
      </c>
      <c r="J9" s="53" t="n">
        <f aca="false">C9*가정!$B$25-가정!$B$7</f>
        <v>1102.75</v>
      </c>
      <c r="K9" s="53" t="n">
        <f aca="false">C9*가정!$B$26-가정!$B$7</f>
        <v>1559</v>
      </c>
      <c r="L9" s="54" t="n">
        <f aca="false">F9*가정!$B$22-가정!$B$12</f>
        <v>133.3334625</v>
      </c>
      <c r="M9" s="54" t="n">
        <f aca="false">F9*가정!$B$23-가정!$B$12</f>
        <v>183.75</v>
      </c>
      <c r="N9" s="54" t="n">
        <f aca="false">F9*가정!$B$24-가정!$B$12</f>
        <v>822.5</v>
      </c>
      <c r="O9" s="54" t="n">
        <f aca="false">F9*가정!$B$25-가정!$B$12</f>
        <v>1461.25</v>
      </c>
      <c r="P9" s="54" t="n">
        <f aca="false">F9*가정!$B$26-가정!$B$12</f>
        <v>2100</v>
      </c>
    </row>
    <row r="10" customFormat="false" ht="15" hidden="false" customHeight="false" outlineLevel="0" collapsed="false">
      <c r="A10" s="51" t="n">
        <v>7</v>
      </c>
      <c r="B10" s="52" t="n">
        <f aca="false">가정!$B$8*(MIN(A10*가정!$B$4,가정!$B$9)-MIN((A10-1)*가정!$B$4,가정!$B$9))</f>
        <v>152.083333333333</v>
      </c>
      <c r="C10" s="51" t="n">
        <f aca="false">C9+B10</f>
        <v>1064.58333333333</v>
      </c>
      <c r="D10" s="51" t="n">
        <f aca="false">MIN(10,INT((A10-1)/가정!$B$18)+1)</f>
        <v>1</v>
      </c>
      <c r="E10" s="52" t="n">
        <f aca="false">가정!$B$19*가정!$B$14^(D10-1)*가정!$B$4</f>
        <v>212.916666666667</v>
      </c>
      <c r="F10" s="51" t="n">
        <f aca="false">F9+E10</f>
        <v>1490.41666666667</v>
      </c>
      <c r="G10" s="53" t="n">
        <f aca="false">C10*가정!$B$22-가정!$B$7</f>
        <v>224.277885416667</v>
      </c>
      <c r="H10" s="53" t="n">
        <f aca="false">C10*가정!$B$23-가정!$B$7</f>
        <v>266.291666666667</v>
      </c>
      <c r="I10" s="53" t="n">
        <f aca="false">C10*가정!$B$24-가정!$B$7</f>
        <v>798.583333333334</v>
      </c>
      <c r="J10" s="53" t="n">
        <f aca="false">C10*가정!$B$25-가정!$B$7</f>
        <v>1330.875</v>
      </c>
      <c r="K10" s="53" t="n">
        <f aca="false">C10*가정!$B$26-가정!$B$7</f>
        <v>1863.16666666667</v>
      </c>
      <c r="L10" s="54" t="n">
        <f aca="false">F10*가정!$B$22-가정!$B$12</f>
        <v>231.389039583334</v>
      </c>
      <c r="M10" s="54" t="n">
        <f aca="false">F10*가정!$B$23-가정!$B$12</f>
        <v>290.208333333334</v>
      </c>
      <c r="N10" s="54" t="n">
        <f aca="false">F10*가정!$B$24-가정!$B$12</f>
        <v>1035.41666666667</v>
      </c>
      <c r="O10" s="54" t="n">
        <f aca="false">F10*가정!$B$25-가정!$B$12</f>
        <v>1780.625</v>
      </c>
      <c r="P10" s="54" t="n">
        <f aca="false">F10*가정!$B$26-가정!$B$12</f>
        <v>2525.83333333333</v>
      </c>
    </row>
    <row r="11" customFormat="false" ht="15" hidden="false" customHeight="false" outlineLevel="0" collapsed="false">
      <c r="A11" s="51" t="n">
        <v>8</v>
      </c>
      <c r="B11" s="52" t="n">
        <f aca="false">가정!$B$8*(MIN(A11*가정!$B$4,가정!$B$9)-MIN((A11-1)*가정!$B$4,가정!$B$9))</f>
        <v>152.083333333333</v>
      </c>
      <c r="C11" s="51" t="n">
        <f aca="false">C10+B11</f>
        <v>1216.66666666667</v>
      </c>
      <c r="D11" s="51" t="n">
        <f aca="false">MIN(10,INT((A11-1)/가정!$B$18)+1)</f>
        <v>1</v>
      </c>
      <c r="E11" s="52" t="n">
        <f aca="false">가정!$B$19*가정!$B$14^(D11-1)*가정!$B$4</f>
        <v>212.916666666667</v>
      </c>
      <c r="F11" s="51" t="n">
        <f aca="false">F10+E11</f>
        <v>1703.33333333333</v>
      </c>
      <c r="G11" s="53" t="n">
        <f aca="false">C11*가정!$B$22-가정!$B$7</f>
        <v>294.317583333333</v>
      </c>
      <c r="H11" s="53" t="n">
        <f aca="false">C11*가정!$B$23-가정!$B$7</f>
        <v>342.333333333333</v>
      </c>
      <c r="I11" s="53" t="n">
        <f aca="false">C11*가정!$B$24-가정!$B$7</f>
        <v>950.666666666667</v>
      </c>
      <c r="J11" s="53" t="n">
        <f aca="false">C11*가정!$B$25-가정!$B$7</f>
        <v>1559</v>
      </c>
      <c r="K11" s="53" t="n">
        <f aca="false">C11*가정!$B$26-가정!$B$7</f>
        <v>2167.33333333333</v>
      </c>
      <c r="L11" s="54" t="n">
        <f aca="false">F11*가정!$B$22-가정!$B$12</f>
        <v>329.444616666667</v>
      </c>
      <c r="M11" s="54" t="n">
        <f aca="false">F11*가정!$B$23-가정!$B$12</f>
        <v>396.666666666667</v>
      </c>
      <c r="N11" s="54" t="n">
        <f aca="false">F11*가정!$B$24-가정!$B$12</f>
        <v>1248.33333333333</v>
      </c>
      <c r="O11" s="54" t="n">
        <f aca="false">F11*가정!$B$25-가정!$B$12</f>
        <v>2100</v>
      </c>
      <c r="P11" s="54" t="n">
        <f aca="false">F11*가정!$B$26-가정!$B$12</f>
        <v>2951.66666666667</v>
      </c>
    </row>
    <row r="12" customFormat="false" ht="15" hidden="false" customHeight="false" outlineLevel="0" collapsed="false">
      <c r="A12" s="51" t="n">
        <v>9</v>
      </c>
      <c r="B12" s="52" t="n">
        <f aca="false">가정!$B$8*(MIN(A12*가정!$B$4,가정!$B$9)-MIN((A12-1)*가정!$B$4,가정!$B$9))</f>
        <v>152.083333333333</v>
      </c>
      <c r="C12" s="51" t="n">
        <f aca="false">C11+B12</f>
        <v>1368.75</v>
      </c>
      <c r="D12" s="51" t="n">
        <f aca="false">MIN(10,INT((A12-1)/가정!$B$18)+1)</f>
        <v>1</v>
      </c>
      <c r="E12" s="52" t="n">
        <f aca="false">가정!$B$19*가정!$B$14^(D12-1)*가정!$B$4</f>
        <v>212.916666666667</v>
      </c>
      <c r="F12" s="51" t="n">
        <f aca="false">F11+E12</f>
        <v>1916.25</v>
      </c>
      <c r="G12" s="53" t="n">
        <f aca="false">C12*가정!$B$22-가정!$B$7</f>
        <v>364.35728125</v>
      </c>
      <c r="H12" s="53" t="n">
        <f aca="false">C12*가정!$B$23-가정!$B$7</f>
        <v>418.375</v>
      </c>
      <c r="I12" s="53" t="n">
        <f aca="false">C12*가정!$B$24-가정!$B$7</f>
        <v>1102.75</v>
      </c>
      <c r="J12" s="53" t="n">
        <f aca="false">C12*가정!$B$25-가정!$B$7</f>
        <v>1787.125</v>
      </c>
      <c r="K12" s="53" t="n">
        <f aca="false">C12*가정!$B$26-가정!$B$7</f>
        <v>2471.5</v>
      </c>
      <c r="L12" s="54" t="n">
        <f aca="false">F12*가정!$B$22-가정!$B$12</f>
        <v>427.50019375</v>
      </c>
      <c r="M12" s="54" t="n">
        <f aca="false">F12*가정!$B$23-가정!$B$12</f>
        <v>503.125</v>
      </c>
      <c r="N12" s="54" t="n">
        <f aca="false">F12*가정!$B$24-가정!$B$12</f>
        <v>1461.25</v>
      </c>
      <c r="O12" s="54" t="n">
        <f aca="false">F12*가정!$B$25-가정!$B$12</f>
        <v>2419.375</v>
      </c>
      <c r="P12" s="54" t="n">
        <f aca="false">F12*가정!$B$26-가정!$B$12</f>
        <v>3377.5</v>
      </c>
    </row>
    <row r="13" customFormat="false" ht="15" hidden="false" customHeight="false" outlineLevel="0" collapsed="false">
      <c r="A13" s="51" t="n">
        <v>10</v>
      </c>
      <c r="B13" s="52" t="n">
        <f aca="false">가정!$B$8*(MIN(A13*가정!$B$4,가정!$B$9)-MIN((A13-1)*가정!$B$4,가정!$B$9))</f>
        <v>152.083333333333</v>
      </c>
      <c r="C13" s="51" t="n">
        <f aca="false">C12+B13</f>
        <v>1520.83333333333</v>
      </c>
      <c r="D13" s="51" t="n">
        <f aca="false">MIN(10,INT((A13-1)/가정!$B$18)+1)</f>
        <v>1</v>
      </c>
      <c r="E13" s="52" t="n">
        <f aca="false">가정!$B$19*가정!$B$14^(D13-1)*가정!$B$4</f>
        <v>212.916666666667</v>
      </c>
      <c r="F13" s="51" t="n">
        <f aca="false">F12+E13</f>
        <v>2129.16666666667</v>
      </c>
      <c r="G13" s="53" t="n">
        <f aca="false">C13*가정!$B$22-가정!$B$7</f>
        <v>434.396979166667</v>
      </c>
      <c r="H13" s="53" t="n">
        <f aca="false">C13*가정!$B$23-가정!$B$7</f>
        <v>494.416666666667</v>
      </c>
      <c r="I13" s="53" t="n">
        <f aca="false">C13*가정!$B$24-가정!$B$7</f>
        <v>1254.83333333333</v>
      </c>
      <c r="J13" s="53" t="n">
        <f aca="false">C13*가정!$B$25-가정!$B$7</f>
        <v>2015.25</v>
      </c>
      <c r="K13" s="53" t="n">
        <f aca="false">C13*가정!$B$26-가정!$B$7</f>
        <v>2775.66666666667</v>
      </c>
      <c r="L13" s="54" t="n">
        <f aca="false">F13*가정!$B$22-가정!$B$12</f>
        <v>525.555770833334</v>
      </c>
      <c r="M13" s="54" t="n">
        <f aca="false">F13*가정!$B$23-가정!$B$12</f>
        <v>609.583333333334</v>
      </c>
      <c r="N13" s="54" t="n">
        <f aca="false">F13*가정!$B$24-가정!$B$12</f>
        <v>1674.16666666667</v>
      </c>
      <c r="O13" s="54" t="n">
        <f aca="false">F13*가정!$B$25-가정!$B$12</f>
        <v>2738.75</v>
      </c>
      <c r="P13" s="54" t="n">
        <f aca="false">F13*가정!$B$26-가정!$B$12</f>
        <v>3803.33333333333</v>
      </c>
    </row>
    <row r="14" customFormat="false" ht="15" hidden="false" customHeight="false" outlineLevel="0" collapsed="false">
      <c r="A14" s="51" t="n">
        <v>11</v>
      </c>
      <c r="B14" s="52" t="n">
        <f aca="false">가정!$B$8*(MIN(A14*가정!$B$4,가정!$B$9)-MIN((A14-1)*가정!$B$4,가정!$B$9))</f>
        <v>152.083333333333</v>
      </c>
      <c r="C14" s="51" t="n">
        <f aca="false">C13+B14</f>
        <v>1672.91666666667</v>
      </c>
      <c r="D14" s="51" t="n">
        <f aca="false">MIN(10,INT((A14-1)/가정!$B$18)+1)</f>
        <v>1</v>
      </c>
      <c r="E14" s="52" t="n">
        <f aca="false">가정!$B$19*가정!$B$14^(D14-1)*가정!$B$4</f>
        <v>212.916666666667</v>
      </c>
      <c r="F14" s="51" t="n">
        <f aca="false">F13+E14</f>
        <v>2342.08333333333</v>
      </c>
      <c r="G14" s="53" t="n">
        <f aca="false">C14*가정!$B$22-가정!$B$7</f>
        <v>504.436677083334</v>
      </c>
      <c r="H14" s="53" t="n">
        <f aca="false">C14*가정!$B$23-가정!$B$7</f>
        <v>570.458333333334</v>
      </c>
      <c r="I14" s="53" t="n">
        <f aca="false">C14*가정!$B$24-가정!$B$7</f>
        <v>1406.91666666667</v>
      </c>
      <c r="J14" s="53" t="n">
        <f aca="false">C14*가정!$B$25-가정!$B$7</f>
        <v>2243.375</v>
      </c>
      <c r="K14" s="53" t="n">
        <f aca="false">C14*가정!$B$26-가정!$B$7</f>
        <v>3079.83333333333</v>
      </c>
      <c r="L14" s="54" t="n">
        <f aca="false">F14*가정!$B$22-가정!$B$12</f>
        <v>623.611347916667</v>
      </c>
      <c r="M14" s="54" t="n">
        <f aca="false">F14*가정!$B$23-가정!$B$12</f>
        <v>716.041666666667</v>
      </c>
      <c r="N14" s="54" t="n">
        <f aca="false">F14*가정!$B$24-가정!$B$12</f>
        <v>1887.08333333333</v>
      </c>
      <c r="O14" s="54" t="n">
        <f aca="false">F14*가정!$B$25-가정!$B$12</f>
        <v>3058.125</v>
      </c>
      <c r="P14" s="54" t="n">
        <f aca="false">F14*가정!$B$26-가정!$B$12</f>
        <v>4229.16666666667</v>
      </c>
    </row>
    <row r="15" customFormat="false" ht="15" hidden="false" customHeight="false" outlineLevel="0" collapsed="false">
      <c r="A15" s="51" t="n">
        <v>12</v>
      </c>
      <c r="B15" s="52" t="n">
        <f aca="false">가정!$B$8*(MIN(A15*가정!$B$4,가정!$B$9)-MIN((A15-1)*가정!$B$4,가정!$B$9))</f>
        <v>152.083333333333</v>
      </c>
      <c r="C15" s="51" t="n">
        <f aca="false">C14+B15</f>
        <v>1825</v>
      </c>
      <c r="D15" s="51" t="n">
        <f aca="false">MIN(10,INT((A15-1)/가정!$B$18)+1)</f>
        <v>1</v>
      </c>
      <c r="E15" s="52" t="n">
        <f aca="false">가정!$B$19*가정!$B$14^(D15-1)*가정!$B$4</f>
        <v>212.916666666667</v>
      </c>
      <c r="F15" s="51" t="n">
        <f aca="false">F14+E15</f>
        <v>2555</v>
      </c>
      <c r="G15" s="53" t="n">
        <f aca="false">C15*가정!$B$22-가정!$B$7</f>
        <v>574.476375</v>
      </c>
      <c r="H15" s="53" t="n">
        <f aca="false">C15*가정!$B$23-가정!$B$7</f>
        <v>646.5</v>
      </c>
      <c r="I15" s="53" t="n">
        <f aca="false">C15*가정!$B$24-가정!$B$7</f>
        <v>1559</v>
      </c>
      <c r="J15" s="53" t="n">
        <f aca="false">C15*가정!$B$25-가정!$B$7</f>
        <v>2471.5</v>
      </c>
      <c r="K15" s="53" t="n">
        <f aca="false">C15*가정!$B$26-가정!$B$7</f>
        <v>3384</v>
      </c>
      <c r="L15" s="54" t="n">
        <f aca="false">F15*가정!$B$22-가정!$B$12</f>
        <v>721.666925</v>
      </c>
      <c r="M15" s="54" t="n">
        <f aca="false">F15*가정!$B$23-가정!$B$12</f>
        <v>822.5</v>
      </c>
      <c r="N15" s="54" t="n">
        <f aca="false">F15*가정!$B$24-가정!$B$12</f>
        <v>2100</v>
      </c>
      <c r="O15" s="54" t="n">
        <f aca="false">F15*가정!$B$25-가정!$B$12</f>
        <v>3377.5</v>
      </c>
      <c r="P15" s="54" t="n">
        <f aca="false">F15*가정!$B$26-가정!$B$12</f>
        <v>4655</v>
      </c>
    </row>
    <row r="16" customFormat="false" ht="15" hidden="false" customHeight="false" outlineLevel="0" collapsed="false">
      <c r="A16" s="51" t="n">
        <v>13</v>
      </c>
      <c r="B16" s="52" t="n">
        <f aca="false">가정!$B$8*(MIN(A16*가정!$B$4,가정!$B$9)-MIN((A16-1)*가정!$B$4,가정!$B$9))</f>
        <v>152.083333333333</v>
      </c>
      <c r="C16" s="51" t="n">
        <f aca="false">C15+B16</f>
        <v>1977.08333333333</v>
      </c>
      <c r="D16" s="51" t="n">
        <f aca="false">MIN(10,INT((A16-1)/가정!$B$18)+1)</f>
        <v>2</v>
      </c>
      <c r="E16" s="52" t="n">
        <f aca="false">가정!$B$19*가정!$B$14^(D16-1)*가정!$B$4</f>
        <v>166.075</v>
      </c>
      <c r="F16" s="51" t="n">
        <f aca="false">F15+E16</f>
        <v>2721.075</v>
      </c>
      <c r="G16" s="53" t="n">
        <f aca="false">C16*가정!$B$22-가정!$B$7</f>
        <v>644.516072916667</v>
      </c>
      <c r="H16" s="53" t="n">
        <f aca="false">C16*가정!$B$23-가정!$B$7</f>
        <v>722.541666666667</v>
      </c>
      <c r="I16" s="53" t="n">
        <f aca="false">C16*가정!$B$24-가정!$B$7</f>
        <v>1711.08333333333</v>
      </c>
      <c r="J16" s="53" t="n">
        <f aca="false">C16*가정!$B$25-가정!$B$7</f>
        <v>2699.625</v>
      </c>
      <c r="K16" s="53" t="n">
        <f aca="false">C16*가정!$B$26-가정!$B$7</f>
        <v>3688.16666666667</v>
      </c>
      <c r="L16" s="54" t="n">
        <f aca="false">F16*가정!$B$22-가정!$B$12</f>
        <v>798.150275125</v>
      </c>
      <c r="M16" s="54" t="n">
        <f aca="false">F16*가정!$B$23-가정!$B$12</f>
        <v>905.5375</v>
      </c>
      <c r="N16" s="54" t="n">
        <f aca="false">F16*가정!$B$24-가정!$B$12</f>
        <v>2266.075</v>
      </c>
      <c r="O16" s="54" t="n">
        <f aca="false">F16*가정!$B$25-가정!$B$12</f>
        <v>3626.6125</v>
      </c>
      <c r="P16" s="54" t="n">
        <f aca="false">F16*가정!$B$26-가정!$B$12</f>
        <v>4987.15</v>
      </c>
    </row>
    <row r="17" customFormat="false" ht="15" hidden="false" customHeight="false" outlineLevel="0" collapsed="false">
      <c r="A17" s="51" t="n">
        <v>14</v>
      </c>
      <c r="B17" s="52" t="n">
        <f aca="false">가정!$B$8*(MIN(A17*가정!$B$4,가정!$B$9)-MIN((A17-1)*가정!$B$4,가정!$B$9))</f>
        <v>152.083333333333</v>
      </c>
      <c r="C17" s="51" t="n">
        <f aca="false">C16+B17</f>
        <v>2129.16666666667</v>
      </c>
      <c r="D17" s="51" t="n">
        <f aca="false">MIN(10,INT((A17-1)/가정!$B$18)+1)</f>
        <v>2</v>
      </c>
      <c r="E17" s="52" t="n">
        <f aca="false">가정!$B$19*가정!$B$14^(D17-1)*가정!$B$4</f>
        <v>166.075</v>
      </c>
      <c r="F17" s="51" t="n">
        <f aca="false">F16+E17</f>
        <v>2887.15</v>
      </c>
      <c r="G17" s="53" t="n">
        <f aca="false">C17*가정!$B$22-가정!$B$7</f>
        <v>714.555770833334</v>
      </c>
      <c r="H17" s="53" t="n">
        <f aca="false">C17*가정!$B$23-가정!$B$7</f>
        <v>798.583333333334</v>
      </c>
      <c r="I17" s="53" t="n">
        <f aca="false">C17*가정!$B$24-가정!$B$7</f>
        <v>1863.16666666667</v>
      </c>
      <c r="J17" s="53" t="n">
        <f aca="false">C17*가정!$B$25-가정!$B$7</f>
        <v>2927.75</v>
      </c>
      <c r="K17" s="53" t="n">
        <f aca="false">C17*가정!$B$26-가정!$B$7</f>
        <v>3992.33333333333</v>
      </c>
      <c r="L17" s="54" t="n">
        <f aca="false">F17*가정!$B$22-가정!$B$12</f>
        <v>874.63362525</v>
      </c>
      <c r="M17" s="54" t="n">
        <f aca="false">F17*가정!$B$23-가정!$B$12</f>
        <v>988.575</v>
      </c>
      <c r="N17" s="54" t="n">
        <f aca="false">F17*가정!$B$24-가정!$B$12</f>
        <v>2432.15</v>
      </c>
      <c r="O17" s="54" t="n">
        <f aca="false">F17*가정!$B$25-가정!$B$12</f>
        <v>3875.725</v>
      </c>
      <c r="P17" s="54" t="n">
        <f aca="false">F17*가정!$B$26-가정!$B$12</f>
        <v>5319.3</v>
      </c>
    </row>
    <row r="18" customFormat="false" ht="15" hidden="false" customHeight="false" outlineLevel="0" collapsed="false">
      <c r="A18" s="51" t="n">
        <v>15</v>
      </c>
      <c r="B18" s="52" t="n">
        <f aca="false">가정!$B$8*(MIN(A18*가정!$B$4,가정!$B$9)-MIN((A18-1)*가정!$B$4,가정!$B$9))</f>
        <v>152.083333333333</v>
      </c>
      <c r="C18" s="51" t="n">
        <f aca="false">C17+B18</f>
        <v>2281.25</v>
      </c>
      <c r="D18" s="51" t="n">
        <f aca="false">MIN(10,INT((A18-1)/가정!$B$18)+1)</f>
        <v>2</v>
      </c>
      <c r="E18" s="52" t="n">
        <f aca="false">가정!$B$19*가정!$B$14^(D18-1)*가정!$B$4</f>
        <v>166.075</v>
      </c>
      <c r="F18" s="51" t="n">
        <f aca="false">F17+E18</f>
        <v>3053.225</v>
      </c>
      <c r="G18" s="53" t="n">
        <f aca="false">C18*가정!$B$22-가정!$B$7</f>
        <v>784.59546875</v>
      </c>
      <c r="H18" s="53" t="n">
        <f aca="false">C18*가정!$B$23-가정!$B$7</f>
        <v>874.625</v>
      </c>
      <c r="I18" s="53" t="n">
        <f aca="false">C18*가정!$B$24-가정!$B$7</f>
        <v>2015.25</v>
      </c>
      <c r="J18" s="53" t="n">
        <f aca="false">C18*가정!$B$25-가정!$B$7</f>
        <v>3155.875</v>
      </c>
      <c r="K18" s="53" t="n">
        <f aca="false">C18*가정!$B$26-가정!$B$7</f>
        <v>4296.5</v>
      </c>
      <c r="L18" s="54" t="n">
        <f aca="false">F18*가정!$B$22-가정!$B$12</f>
        <v>951.116975375</v>
      </c>
      <c r="M18" s="54" t="n">
        <f aca="false">F18*가정!$B$23-가정!$B$12</f>
        <v>1071.6125</v>
      </c>
      <c r="N18" s="54" t="n">
        <f aca="false">F18*가정!$B$24-가정!$B$12</f>
        <v>2598.225</v>
      </c>
      <c r="O18" s="54" t="n">
        <f aca="false">F18*가정!$B$25-가정!$B$12</f>
        <v>4124.8375</v>
      </c>
      <c r="P18" s="54" t="n">
        <f aca="false">F18*가정!$B$26-가정!$B$12</f>
        <v>5651.45</v>
      </c>
    </row>
    <row r="19" customFormat="false" ht="15" hidden="false" customHeight="false" outlineLevel="0" collapsed="false">
      <c r="A19" s="51" t="n">
        <v>16</v>
      </c>
      <c r="B19" s="52" t="n">
        <f aca="false">가정!$B$8*(MIN(A19*가정!$B$4,가정!$B$9)-MIN((A19-1)*가정!$B$4,가정!$B$9))</f>
        <v>152.083333333333</v>
      </c>
      <c r="C19" s="51" t="n">
        <f aca="false">C18+B19</f>
        <v>2433.33333333333</v>
      </c>
      <c r="D19" s="51" t="n">
        <f aca="false">MIN(10,INT((A19-1)/가정!$B$18)+1)</f>
        <v>2</v>
      </c>
      <c r="E19" s="52" t="n">
        <f aca="false">가정!$B$19*가정!$B$14^(D19-1)*가정!$B$4</f>
        <v>166.075</v>
      </c>
      <c r="F19" s="51" t="n">
        <f aca="false">F18+E19</f>
        <v>3219.3</v>
      </c>
      <c r="G19" s="53" t="n">
        <f aca="false">C19*가정!$B$22-가정!$B$7</f>
        <v>854.635166666667</v>
      </c>
      <c r="H19" s="53" t="n">
        <f aca="false">C19*가정!$B$23-가정!$B$7</f>
        <v>950.666666666667</v>
      </c>
      <c r="I19" s="53" t="n">
        <f aca="false">C19*가정!$B$24-가정!$B$7</f>
        <v>2167.33333333333</v>
      </c>
      <c r="J19" s="53" t="n">
        <f aca="false">C19*가정!$B$25-가정!$B$7</f>
        <v>3384</v>
      </c>
      <c r="K19" s="53" t="n">
        <f aca="false">C19*가정!$B$26-가정!$B$7</f>
        <v>4600.66666666667</v>
      </c>
      <c r="L19" s="54" t="n">
        <f aca="false">F19*가정!$B$22-가정!$B$12</f>
        <v>1027.6003255</v>
      </c>
      <c r="M19" s="54" t="n">
        <f aca="false">F19*가정!$B$23-가정!$B$12</f>
        <v>1154.65</v>
      </c>
      <c r="N19" s="54" t="n">
        <f aca="false">F19*가정!$B$24-가정!$B$12</f>
        <v>2764.3</v>
      </c>
      <c r="O19" s="54" t="n">
        <f aca="false">F19*가정!$B$25-가정!$B$12</f>
        <v>4373.95</v>
      </c>
      <c r="P19" s="54" t="n">
        <f aca="false">F19*가정!$B$26-가정!$B$12</f>
        <v>5983.6</v>
      </c>
    </row>
    <row r="20" customFormat="false" ht="15" hidden="false" customHeight="false" outlineLevel="0" collapsed="false">
      <c r="A20" s="51" t="n">
        <v>17</v>
      </c>
      <c r="B20" s="52" t="n">
        <f aca="false">가정!$B$8*(MIN(A20*가정!$B$4,가정!$B$9)-MIN((A20-1)*가정!$B$4,가정!$B$9))</f>
        <v>152.083333333333</v>
      </c>
      <c r="C20" s="51" t="n">
        <f aca="false">C19+B20</f>
        <v>2585.41666666667</v>
      </c>
      <c r="D20" s="51" t="n">
        <f aca="false">MIN(10,INT((A20-1)/가정!$B$18)+1)</f>
        <v>2</v>
      </c>
      <c r="E20" s="52" t="n">
        <f aca="false">가정!$B$19*가정!$B$14^(D20-1)*가정!$B$4</f>
        <v>166.075</v>
      </c>
      <c r="F20" s="51" t="n">
        <f aca="false">F19+E20</f>
        <v>3385.375</v>
      </c>
      <c r="G20" s="53" t="n">
        <f aca="false">C20*가정!$B$22-가정!$B$7</f>
        <v>924.674864583334</v>
      </c>
      <c r="H20" s="53" t="n">
        <f aca="false">C20*가정!$B$23-가정!$B$7</f>
        <v>1026.70833333333</v>
      </c>
      <c r="I20" s="53" t="n">
        <f aca="false">C20*가정!$B$24-가정!$B$7</f>
        <v>2319.41666666667</v>
      </c>
      <c r="J20" s="53" t="n">
        <f aca="false">C20*가정!$B$25-가정!$B$7</f>
        <v>3612.125</v>
      </c>
      <c r="K20" s="53" t="n">
        <f aca="false">C20*가정!$B$26-가정!$B$7</f>
        <v>4904.83333333333</v>
      </c>
      <c r="L20" s="54" t="n">
        <f aca="false">F20*가정!$B$22-가정!$B$12</f>
        <v>1104.083675625</v>
      </c>
      <c r="M20" s="54" t="n">
        <f aca="false">F20*가정!$B$23-가정!$B$12</f>
        <v>1237.6875</v>
      </c>
      <c r="N20" s="54" t="n">
        <f aca="false">F20*가정!$B$24-가정!$B$12</f>
        <v>2930.375</v>
      </c>
      <c r="O20" s="54" t="n">
        <f aca="false">F20*가정!$B$25-가정!$B$12</f>
        <v>4623.0625</v>
      </c>
      <c r="P20" s="54" t="n">
        <f aca="false">F20*가정!$B$26-가정!$B$12</f>
        <v>6315.75</v>
      </c>
    </row>
    <row r="21" customFormat="false" ht="15" hidden="false" customHeight="false" outlineLevel="0" collapsed="false">
      <c r="A21" s="51" t="n">
        <v>18</v>
      </c>
      <c r="B21" s="52" t="n">
        <f aca="false">가정!$B$8*(MIN(A21*가정!$B$4,가정!$B$9)-MIN((A21-1)*가정!$B$4,가정!$B$9))</f>
        <v>152.083333333333</v>
      </c>
      <c r="C21" s="51" t="n">
        <f aca="false">C20+B21</f>
        <v>2737.5</v>
      </c>
      <c r="D21" s="51" t="n">
        <f aca="false">MIN(10,INT((A21-1)/가정!$B$18)+1)</f>
        <v>2</v>
      </c>
      <c r="E21" s="52" t="n">
        <f aca="false">가정!$B$19*가정!$B$14^(D21-1)*가정!$B$4</f>
        <v>166.075</v>
      </c>
      <c r="F21" s="51" t="n">
        <f aca="false">F20+E21</f>
        <v>3551.45</v>
      </c>
      <c r="G21" s="53" t="n">
        <f aca="false">C21*가정!$B$22-가정!$B$7</f>
        <v>994.7145625</v>
      </c>
      <c r="H21" s="53" t="n">
        <f aca="false">C21*가정!$B$23-가정!$B$7</f>
        <v>1102.75</v>
      </c>
      <c r="I21" s="53" t="n">
        <f aca="false">C21*가정!$B$24-가정!$B$7</f>
        <v>2471.5</v>
      </c>
      <c r="J21" s="53" t="n">
        <f aca="false">C21*가정!$B$25-가정!$B$7</f>
        <v>3840.25</v>
      </c>
      <c r="K21" s="53" t="n">
        <f aca="false">C21*가정!$B$26-가정!$B$7</f>
        <v>5209</v>
      </c>
      <c r="L21" s="54" t="n">
        <f aca="false">F21*가정!$B$22-가정!$B$12</f>
        <v>1180.56702575</v>
      </c>
      <c r="M21" s="54" t="n">
        <f aca="false">F21*가정!$B$23-가정!$B$12</f>
        <v>1320.725</v>
      </c>
      <c r="N21" s="54" t="n">
        <f aca="false">F21*가정!$B$24-가정!$B$12</f>
        <v>3096.45</v>
      </c>
      <c r="O21" s="54" t="n">
        <f aca="false">F21*가정!$B$25-가정!$B$12</f>
        <v>4872.175</v>
      </c>
      <c r="P21" s="54" t="n">
        <f aca="false">F21*가정!$B$26-가정!$B$12</f>
        <v>6647.9</v>
      </c>
    </row>
    <row r="22" customFormat="false" ht="15" hidden="false" customHeight="false" outlineLevel="0" collapsed="false">
      <c r="A22" s="51" t="n">
        <v>19</v>
      </c>
      <c r="B22" s="52" t="n">
        <f aca="false">가정!$B$8*(MIN(A22*가정!$B$4,가정!$B$9)-MIN((A22-1)*가정!$B$4,가정!$B$9))</f>
        <v>152.083333333334</v>
      </c>
      <c r="C22" s="51" t="n">
        <f aca="false">C21+B22</f>
        <v>2889.58333333333</v>
      </c>
      <c r="D22" s="51" t="n">
        <f aca="false">MIN(10,INT((A22-1)/가정!$B$18)+1)</f>
        <v>2</v>
      </c>
      <c r="E22" s="52" t="n">
        <f aca="false">가정!$B$19*가정!$B$14^(D22-1)*가정!$B$4</f>
        <v>166.075</v>
      </c>
      <c r="F22" s="51" t="n">
        <f aca="false">F21+E22</f>
        <v>3717.525</v>
      </c>
      <c r="G22" s="53" t="n">
        <f aca="false">C22*가정!$B$22-가정!$B$7</f>
        <v>1064.75426041667</v>
      </c>
      <c r="H22" s="53" t="n">
        <f aca="false">C22*가정!$B$23-가정!$B$7</f>
        <v>1178.79166666667</v>
      </c>
      <c r="I22" s="53" t="n">
        <f aca="false">C22*가정!$B$24-가정!$B$7</f>
        <v>2623.58333333333</v>
      </c>
      <c r="J22" s="53" t="n">
        <f aca="false">C22*가정!$B$25-가정!$B$7</f>
        <v>4068.375</v>
      </c>
      <c r="K22" s="53" t="n">
        <f aca="false">C22*가정!$B$26-가정!$B$7</f>
        <v>5513.16666666667</v>
      </c>
      <c r="L22" s="54" t="n">
        <f aca="false">F22*가정!$B$22-가정!$B$12</f>
        <v>1257.050375875</v>
      </c>
      <c r="M22" s="54" t="n">
        <f aca="false">F22*가정!$B$23-가정!$B$12</f>
        <v>1403.7625</v>
      </c>
      <c r="N22" s="54" t="n">
        <f aca="false">F22*가정!$B$24-가정!$B$12</f>
        <v>3262.525</v>
      </c>
      <c r="O22" s="54" t="n">
        <f aca="false">F22*가정!$B$25-가정!$B$12</f>
        <v>5121.2875</v>
      </c>
      <c r="P22" s="54" t="n">
        <f aca="false">F22*가정!$B$26-가정!$B$12</f>
        <v>6980.05</v>
      </c>
    </row>
    <row r="23" customFormat="false" ht="15" hidden="false" customHeight="false" outlineLevel="0" collapsed="false">
      <c r="A23" s="51" t="n">
        <v>20</v>
      </c>
      <c r="B23" s="52" t="n">
        <f aca="false">가정!$B$8*(MIN(A23*가정!$B$4,가정!$B$9)-MIN((A23-1)*가정!$B$4,가정!$B$9))</f>
        <v>152.083333333333</v>
      </c>
      <c r="C23" s="51" t="n">
        <f aca="false">C22+B23</f>
        <v>3041.66666666667</v>
      </c>
      <c r="D23" s="51" t="n">
        <f aca="false">MIN(10,INT((A23-1)/가정!$B$18)+1)</f>
        <v>2</v>
      </c>
      <c r="E23" s="52" t="n">
        <f aca="false">가정!$B$19*가정!$B$14^(D23-1)*가정!$B$4</f>
        <v>166.075</v>
      </c>
      <c r="F23" s="51" t="n">
        <f aca="false">F22+E23</f>
        <v>3883.6</v>
      </c>
      <c r="G23" s="53" t="n">
        <f aca="false">C23*가정!$B$22-가정!$B$7</f>
        <v>1134.79395833333</v>
      </c>
      <c r="H23" s="53" t="n">
        <f aca="false">C23*가정!$B$23-가정!$B$7</f>
        <v>1254.83333333333</v>
      </c>
      <c r="I23" s="53" t="n">
        <f aca="false">C23*가정!$B$24-가정!$B$7</f>
        <v>2775.66666666667</v>
      </c>
      <c r="J23" s="53" t="n">
        <f aca="false">C23*가정!$B$25-가정!$B$7</f>
        <v>4296.5</v>
      </c>
      <c r="K23" s="53" t="n">
        <f aca="false">C23*가정!$B$26-가정!$B$7</f>
        <v>5817.33333333333</v>
      </c>
      <c r="L23" s="54" t="n">
        <f aca="false">F23*가정!$B$22-가정!$B$12</f>
        <v>1333.533726</v>
      </c>
      <c r="M23" s="54" t="n">
        <f aca="false">F23*가정!$B$23-가정!$B$12</f>
        <v>1486.8</v>
      </c>
      <c r="N23" s="54" t="n">
        <f aca="false">F23*가정!$B$24-가정!$B$12</f>
        <v>3428.6</v>
      </c>
      <c r="O23" s="54" t="n">
        <f aca="false">F23*가정!$B$25-가정!$B$12</f>
        <v>5370.4</v>
      </c>
      <c r="P23" s="54" t="n">
        <f aca="false">F23*가정!$B$26-가정!$B$12</f>
        <v>7312.2</v>
      </c>
    </row>
    <row r="24" customFormat="false" ht="15" hidden="false" customHeight="false" outlineLevel="0" collapsed="false">
      <c r="A24" s="51" t="n">
        <v>21</v>
      </c>
      <c r="B24" s="52" t="n">
        <f aca="false">가정!$B$8*(MIN(A24*가정!$B$4,가정!$B$9)-MIN((A24-1)*가정!$B$4,가정!$B$9))</f>
        <v>152.083333333333</v>
      </c>
      <c r="C24" s="51" t="n">
        <f aca="false">C23+B24</f>
        <v>3193.75</v>
      </c>
      <c r="D24" s="51" t="n">
        <f aca="false">MIN(10,INT((A24-1)/가정!$B$18)+1)</f>
        <v>2</v>
      </c>
      <c r="E24" s="52" t="n">
        <f aca="false">가정!$B$19*가정!$B$14^(D24-1)*가정!$B$4</f>
        <v>166.075</v>
      </c>
      <c r="F24" s="51" t="n">
        <f aca="false">F23+E24</f>
        <v>4049.675</v>
      </c>
      <c r="G24" s="53" t="n">
        <f aca="false">C24*가정!$B$22-가정!$B$7</f>
        <v>1204.83365625</v>
      </c>
      <c r="H24" s="53" t="n">
        <f aca="false">C24*가정!$B$23-가정!$B$7</f>
        <v>1330.875</v>
      </c>
      <c r="I24" s="53" t="n">
        <f aca="false">C24*가정!$B$24-가정!$B$7</f>
        <v>2927.75</v>
      </c>
      <c r="J24" s="53" t="n">
        <f aca="false">C24*가정!$B$25-가정!$B$7</f>
        <v>4524.625</v>
      </c>
      <c r="K24" s="53" t="n">
        <f aca="false">C24*가정!$B$26-가정!$B$7</f>
        <v>6121.5</v>
      </c>
      <c r="L24" s="54" t="n">
        <f aca="false">F24*가정!$B$22-가정!$B$12</f>
        <v>1410.017076125</v>
      </c>
      <c r="M24" s="54" t="n">
        <f aca="false">F24*가정!$B$23-가정!$B$12</f>
        <v>1569.8375</v>
      </c>
      <c r="N24" s="54" t="n">
        <f aca="false">F24*가정!$B$24-가정!$B$12</f>
        <v>3594.675</v>
      </c>
      <c r="O24" s="54" t="n">
        <f aca="false">F24*가정!$B$25-가정!$B$12</f>
        <v>5619.5125</v>
      </c>
      <c r="P24" s="54" t="n">
        <f aca="false">F24*가정!$B$26-가정!$B$12</f>
        <v>7644.35</v>
      </c>
    </row>
    <row r="25" customFormat="false" ht="15" hidden="false" customHeight="false" outlineLevel="0" collapsed="false">
      <c r="A25" s="51" t="n">
        <v>22</v>
      </c>
      <c r="B25" s="52" t="n">
        <f aca="false">가정!$B$8*(MIN(A25*가정!$B$4,가정!$B$9)-MIN((A25-1)*가정!$B$4,가정!$B$9))</f>
        <v>152.083333333334</v>
      </c>
      <c r="C25" s="51" t="n">
        <f aca="false">C24+B25</f>
        <v>3345.83333333333</v>
      </c>
      <c r="D25" s="51" t="n">
        <f aca="false">MIN(10,INT((A25-1)/가정!$B$18)+1)</f>
        <v>2</v>
      </c>
      <c r="E25" s="52" t="n">
        <f aca="false">가정!$B$19*가정!$B$14^(D25-1)*가정!$B$4</f>
        <v>166.075</v>
      </c>
      <c r="F25" s="51" t="n">
        <f aca="false">F24+E25</f>
        <v>4215.75</v>
      </c>
      <c r="G25" s="53" t="n">
        <f aca="false">C25*가정!$B$22-가정!$B$7</f>
        <v>1274.87335416667</v>
      </c>
      <c r="H25" s="53" t="n">
        <f aca="false">C25*가정!$B$23-가정!$B$7</f>
        <v>1406.91666666667</v>
      </c>
      <c r="I25" s="53" t="n">
        <f aca="false">C25*가정!$B$24-가정!$B$7</f>
        <v>3079.83333333333</v>
      </c>
      <c r="J25" s="53" t="n">
        <f aca="false">C25*가정!$B$25-가정!$B$7</f>
        <v>4752.75</v>
      </c>
      <c r="K25" s="53" t="n">
        <f aca="false">C25*가정!$B$26-가정!$B$7</f>
        <v>6425.66666666667</v>
      </c>
      <c r="L25" s="54" t="n">
        <f aca="false">F25*가정!$B$22-가정!$B$12</f>
        <v>1486.50042625</v>
      </c>
      <c r="M25" s="54" t="n">
        <f aca="false">F25*가정!$B$23-가정!$B$12</f>
        <v>1652.875</v>
      </c>
      <c r="N25" s="54" t="n">
        <f aca="false">F25*가정!$B$24-가정!$B$12</f>
        <v>3760.75</v>
      </c>
      <c r="O25" s="54" t="n">
        <f aca="false">F25*가정!$B$25-가정!$B$12</f>
        <v>5868.625</v>
      </c>
      <c r="P25" s="54" t="n">
        <f aca="false">F25*가정!$B$26-가정!$B$12</f>
        <v>7976.5</v>
      </c>
    </row>
    <row r="26" customFormat="false" ht="15" hidden="false" customHeight="false" outlineLevel="0" collapsed="false">
      <c r="A26" s="51" t="n">
        <v>23</v>
      </c>
      <c r="B26" s="52" t="n">
        <f aca="false">가정!$B$8*(MIN(A26*가정!$B$4,가정!$B$9)-MIN((A26-1)*가정!$B$4,가정!$B$9))</f>
        <v>152.083333333333</v>
      </c>
      <c r="C26" s="51" t="n">
        <f aca="false">C25+B26</f>
        <v>3497.91666666667</v>
      </c>
      <c r="D26" s="51" t="n">
        <f aca="false">MIN(10,INT((A26-1)/가정!$B$18)+1)</f>
        <v>2</v>
      </c>
      <c r="E26" s="52" t="n">
        <f aca="false">가정!$B$19*가정!$B$14^(D26-1)*가정!$B$4</f>
        <v>166.075</v>
      </c>
      <c r="F26" s="51" t="n">
        <f aca="false">F25+E26</f>
        <v>4381.825</v>
      </c>
      <c r="G26" s="53" t="n">
        <f aca="false">C26*가정!$B$22-가정!$B$7</f>
        <v>1344.91305208333</v>
      </c>
      <c r="H26" s="53" t="n">
        <f aca="false">C26*가정!$B$23-가정!$B$7</f>
        <v>1482.95833333333</v>
      </c>
      <c r="I26" s="53" t="n">
        <f aca="false">C26*가정!$B$24-가정!$B$7</f>
        <v>3231.91666666667</v>
      </c>
      <c r="J26" s="53" t="n">
        <f aca="false">C26*가정!$B$25-가정!$B$7</f>
        <v>4980.875</v>
      </c>
      <c r="K26" s="53" t="n">
        <f aca="false">C26*가정!$B$26-가정!$B$7</f>
        <v>6729.83333333333</v>
      </c>
      <c r="L26" s="54" t="n">
        <f aca="false">F26*가정!$B$22-가정!$B$12</f>
        <v>1562.983776375</v>
      </c>
      <c r="M26" s="54" t="n">
        <f aca="false">F26*가정!$B$23-가정!$B$12</f>
        <v>1735.9125</v>
      </c>
      <c r="N26" s="54" t="n">
        <f aca="false">F26*가정!$B$24-가정!$B$12</f>
        <v>3926.825</v>
      </c>
      <c r="O26" s="54" t="n">
        <f aca="false">F26*가정!$B$25-가정!$B$12</f>
        <v>6117.7375</v>
      </c>
      <c r="P26" s="54" t="n">
        <f aca="false">F26*가정!$B$26-가정!$B$12</f>
        <v>8308.65</v>
      </c>
    </row>
    <row r="27" customFormat="false" ht="15" hidden="false" customHeight="false" outlineLevel="0" collapsed="false">
      <c r="A27" s="51" t="n">
        <v>24</v>
      </c>
      <c r="B27" s="52" t="n">
        <f aca="false">가정!$B$8*(MIN(A27*가정!$B$4,가정!$B$9)-MIN((A27-1)*가정!$B$4,가정!$B$9))</f>
        <v>152.083333333333</v>
      </c>
      <c r="C27" s="51" t="n">
        <f aca="false">C26+B27</f>
        <v>3650</v>
      </c>
      <c r="D27" s="51" t="n">
        <f aca="false">MIN(10,INT((A27-1)/가정!$B$18)+1)</f>
        <v>2</v>
      </c>
      <c r="E27" s="52" t="n">
        <f aca="false">가정!$B$19*가정!$B$14^(D27-1)*가정!$B$4</f>
        <v>166.075</v>
      </c>
      <c r="F27" s="51" t="n">
        <f aca="false">F26+E27</f>
        <v>4547.9</v>
      </c>
      <c r="G27" s="53" t="n">
        <f aca="false">C27*가정!$B$22-가정!$B$7</f>
        <v>1414.95275</v>
      </c>
      <c r="H27" s="53" t="n">
        <f aca="false">C27*가정!$B$23-가정!$B$7</f>
        <v>1559</v>
      </c>
      <c r="I27" s="53" t="n">
        <f aca="false">C27*가정!$B$24-가정!$B$7</f>
        <v>3384</v>
      </c>
      <c r="J27" s="53" t="n">
        <f aca="false">C27*가정!$B$25-가정!$B$7</f>
        <v>5209</v>
      </c>
      <c r="K27" s="53" t="n">
        <f aca="false">C27*가정!$B$26-가정!$B$7</f>
        <v>7034</v>
      </c>
      <c r="L27" s="54" t="n">
        <f aca="false">F27*가정!$B$22-가정!$B$12</f>
        <v>1639.4671265</v>
      </c>
      <c r="M27" s="54" t="n">
        <f aca="false">F27*가정!$B$23-가정!$B$12</f>
        <v>1818.95</v>
      </c>
      <c r="N27" s="54" t="n">
        <f aca="false">F27*가정!$B$24-가정!$B$12</f>
        <v>4092.9</v>
      </c>
      <c r="O27" s="54" t="n">
        <f aca="false">F27*가정!$B$25-가정!$B$12</f>
        <v>6366.85</v>
      </c>
      <c r="P27" s="54" t="n">
        <f aca="false">F27*가정!$B$26-가정!$B$12</f>
        <v>8640.8</v>
      </c>
    </row>
    <row r="28" customFormat="false" ht="15" hidden="false" customHeight="false" outlineLevel="0" collapsed="false">
      <c r="A28" s="51" t="n">
        <v>25</v>
      </c>
      <c r="B28" s="52" t="n">
        <f aca="false">가정!$B$8*(MIN(A28*가정!$B$4,가정!$B$9)-MIN((A28-1)*가정!$B$4,가정!$B$9))</f>
        <v>152.083333333334</v>
      </c>
      <c r="C28" s="51" t="n">
        <f aca="false">C27+B28</f>
        <v>3802.08333333333</v>
      </c>
      <c r="D28" s="51" t="n">
        <f aca="false">MIN(10,INT((A28-1)/가정!$B$18)+1)</f>
        <v>3</v>
      </c>
      <c r="E28" s="52" t="n">
        <f aca="false">가정!$B$19*가정!$B$14^(D28-1)*가정!$B$4</f>
        <v>129.5385</v>
      </c>
      <c r="F28" s="51" t="n">
        <f aca="false">F27+E28</f>
        <v>4677.4385</v>
      </c>
      <c r="G28" s="53" t="n">
        <f aca="false">C28*가정!$B$22-가정!$B$7</f>
        <v>1484.99244791667</v>
      </c>
      <c r="H28" s="53" t="n">
        <f aca="false">C28*가정!$B$23-가정!$B$7</f>
        <v>1635.04166666667</v>
      </c>
      <c r="I28" s="53" t="n">
        <f aca="false">C28*가정!$B$24-가정!$B$7</f>
        <v>3536.08333333333</v>
      </c>
      <c r="J28" s="53" t="n">
        <f aca="false">C28*가정!$B$25-가정!$B$7</f>
        <v>5437.125</v>
      </c>
      <c r="K28" s="53" t="n">
        <f aca="false">C28*가정!$B$26-가정!$B$7</f>
        <v>7338.16666666667</v>
      </c>
      <c r="L28" s="54" t="n">
        <f aca="false">F28*가정!$B$22-가정!$B$12</f>
        <v>1699.1241395975</v>
      </c>
      <c r="M28" s="54" t="n">
        <f aca="false">F28*가정!$B$23-가정!$B$12</f>
        <v>1883.71925</v>
      </c>
      <c r="N28" s="54" t="n">
        <f aca="false">F28*가정!$B$24-가정!$B$12</f>
        <v>4222.4385</v>
      </c>
      <c r="O28" s="54" t="n">
        <f aca="false">F28*가정!$B$25-가정!$B$12</f>
        <v>6561.15775</v>
      </c>
      <c r="P28" s="54" t="n">
        <f aca="false">F28*가정!$B$26-가정!$B$12</f>
        <v>8899.877</v>
      </c>
    </row>
    <row r="29" customFormat="false" ht="15" hidden="false" customHeight="false" outlineLevel="0" collapsed="false">
      <c r="A29" s="51" t="n">
        <v>26</v>
      </c>
      <c r="B29" s="52" t="n">
        <f aca="false">가정!$B$8*(MIN(A29*가정!$B$4,가정!$B$9)-MIN((A29-1)*가정!$B$4,가정!$B$9))</f>
        <v>152.083333333333</v>
      </c>
      <c r="C29" s="51" t="n">
        <f aca="false">C28+B29</f>
        <v>3954.16666666667</v>
      </c>
      <c r="D29" s="51" t="n">
        <f aca="false">MIN(10,INT((A29-1)/가정!$B$18)+1)</f>
        <v>3</v>
      </c>
      <c r="E29" s="52" t="n">
        <f aca="false">가정!$B$19*가정!$B$14^(D29-1)*가정!$B$4</f>
        <v>129.5385</v>
      </c>
      <c r="F29" s="51" t="n">
        <f aca="false">F28+E29</f>
        <v>4806.977</v>
      </c>
      <c r="G29" s="53" t="n">
        <f aca="false">C29*가정!$B$22-가정!$B$7</f>
        <v>1555.03214583333</v>
      </c>
      <c r="H29" s="53" t="n">
        <f aca="false">C29*가정!$B$23-가정!$B$7</f>
        <v>1711.08333333333</v>
      </c>
      <c r="I29" s="53" t="n">
        <f aca="false">C29*가정!$B$24-가정!$B$7</f>
        <v>3688.16666666667</v>
      </c>
      <c r="J29" s="53" t="n">
        <f aca="false">C29*가정!$B$25-가정!$B$7</f>
        <v>5665.25</v>
      </c>
      <c r="K29" s="53" t="n">
        <f aca="false">C29*가정!$B$26-가정!$B$7</f>
        <v>7642.33333333333</v>
      </c>
      <c r="L29" s="54" t="n">
        <f aca="false">F29*가정!$B$22-가정!$B$12</f>
        <v>1758.781152695</v>
      </c>
      <c r="M29" s="54" t="n">
        <f aca="false">F29*가정!$B$23-가정!$B$12</f>
        <v>1948.4885</v>
      </c>
      <c r="N29" s="54" t="n">
        <f aca="false">F29*가정!$B$24-가정!$B$12</f>
        <v>4351.977</v>
      </c>
      <c r="O29" s="54" t="n">
        <f aca="false">F29*가정!$B$25-가정!$B$12</f>
        <v>6755.4655</v>
      </c>
      <c r="P29" s="54" t="n">
        <f aca="false">F29*가정!$B$26-가정!$B$12</f>
        <v>9158.95399999999</v>
      </c>
    </row>
    <row r="30" customFormat="false" ht="15" hidden="false" customHeight="false" outlineLevel="0" collapsed="false">
      <c r="A30" s="51" t="n">
        <v>27</v>
      </c>
      <c r="B30" s="52" t="n">
        <f aca="false">가정!$B$8*(MIN(A30*가정!$B$4,가정!$B$9)-MIN((A30-1)*가정!$B$4,가정!$B$9))</f>
        <v>152.083333333333</v>
      </c>
      <c r="C30" s="51" t="n">
        <f aca="false">C29+B30</f>
        <v>4106.25</v>
      </c>
      <c r="D30" s="51" t="n">
        <f aca="false">MIN(10,INT((A30-1)/가정!$B$18)+1)</f>
        <v>3</v>
      </c>
      <c r="E30" s="52" t="n">
        <f aca="false">가정!$B$19*가정!$B$14^(D30-1)*가정!$B$4</f>
        <v>129.5385</v>
      </c>
      <c r="F30" s="51" t="n">
        <f aca="false">F29+E30</f>
        <v>4936.5155</v>
      </c>
      <c r="G30" s="53" t="n">
        <f aca="false">C30*가정!$B$22-가정!$B$7</f>
        <v>1625.07184375</v>
      </c>
      <c r="H30" s="53" t="n">
        <f aca="false">C30*가정!$B$23-가정!$B$7</f>
        <v>1787.125</v>
      </c>
      <c r="I30" s="53" t="n">
        <f aca="false">C30*가정!$B$24-가정!$B$7</f>
        <v>3840.25</v>
      </c>
      <c r="J30" s="53" t="n">
        <f aca="false">C30*가정!$B$25-가정!$B$7</f>
        <v>5893.375</v>
      </c>
      <c r="K30" s="53" t="n">
        <f aca="false">C30*가정!$B$26-가정!$B$7</f>
        <v>7946.5</v>
      </c>
      <c r="L30" s="54" t="n">
        <f aca="false">F30*가정!$B$22-가정!$B$12</f>
        <v>1818.4381657925</v>
      </c>
      <c r="M30" s="54" t="n">
        <f aca="false">F30*가정!$B$23-가정!$B$12</f>
        <v>2013.25775</v>
      </c>
      <c r="N30" s="54" t="n">
        <f aca="false">F30*가정!$B$24-가정!$B$12</f>
        <v>4481.5155</v>
      </c>
      <c r="O30" s="54" t="n">
        <f aca="false">F30*가정!$B$25-가정!$B$12</f>
        <v>6949.77325</v>
      </c>
      <c r="P30" s="54" t="n">
        <f aca="false">F30*가정!$B$26-가정!$B$12</f>
        <v>9418.03099999999</v>
      </c>
    </row>
    <row r="31" customFormat="false" ht="15" hidden="false" customHeight="false" outlineLevel="0" collapsed="false">
      <c r="A31" s="51" t="n">
        <v>28</v>
      </c>
      <c r="B31" s="52" t="n">
        <f aca="false">가정!$B$8*(MIN(A31*가정!$B$4,가정!$B$9)-MIN((A31-1)*가정!$B$4,가정!$B$9))</f>
        <v>152.083333333334</v>
      </c>
      <c r="C31" s="51" t="n">
        <f aca="false">C30+B31</f>
        <v>4258.33333333333</v>
      </c>
      <c r="D31" s="51" t="n">
        <f aca="false">MIN(10,INT((A31-1)/가정!$B$18)+1)</f>
        <v>3</v>
      </c>
      <c r="E31" s="52" t="n">
        <f aca="false">가정!$B$19*가정!$B$14^(D31-1)*가정!$B$4</f>
        <v>129.5385</v>
      </c>
      <c r="F31" s="51" t="n">
        <f aca="false">F30+E31</f>
        <v>5066.054</v>
      </c>
      <c r="G31" s="53" t="n">
        <f aca="false">C31*가정!$B$22-가정!$B$7</f>
        <v>1695.11154166667</v>
      </c>
      <c r="H31" s="53" t="n">
        <f aca="false">C31*가정!$B$23-가정!$B$7</f>
        <v>1863.16666666667</v>
      </c>
      <c r="I31" s="53" t="n">
        <f aca="false">C31*가정!$B$24-가정!$B$7</f>
        <v>3992.33333333333</v>
      </c>
      <c r="J31" s="53" t="n">
        <f aca="false">C31*가정!$B$25-가정!$B$7</f>
        <v>6121.5</v>
      </c>
      <c r="K31" s="53" t="n">
        <f aca="false">C31*가정!$B$26-가정!$B$7</f>
        <v>8250.66666666667</v>
      </c>
      <c r="L31" s="54" t="n">
        <f aca="false">F31*가정!$B$22-가정!$B$12</f>
        <v>1878.09517889</v>
      </c>
      <c r="M31" s="54" t="n">
        <f aca="false">F31*가정!$B$23-가정!$B$12</f>
        <v>2078.027</v>
      </c>
      <c r="N31" s="54" t="n">
        <f aca="false">F31*가정!$B$24-가정!$B$12</f>
        <v>4611.054</v>
      </c>
      <c r="O31" s="54" t="n">
        <f aca="false">F31*가정!$B$25-가정!$B$12</f>
        <v>7144.081</v>
      </c>
      <c r="P31" s="54" t="n">
        <f aca="false">F31*가정!$B$26-가정!$B$12</f>
        <v>9677.10799999999</v>
      </c>
    </row>
    <row r="32" customFormat="false" ht="15" hidden="false" customHeight="false" outlineLevel="0" collapsed="false">
      <c r="A32" s="51" t="n">
        <v>29</v>
      </c>
      <c r="B32" s="52" t="n">
        <f aca="false">가정!$B$8*(MIN(A32*가정!$B$4,가정!$B$9)-MIN((A32-1)*가정!$B$4,가정!$B$9))</f>
        <v>152.083333333333</v>
      </c>
      <c r="C32" s="51" t="n">
        <f aca="false">C31+B32</f>
        <v>4410.41666666667</v>
      </c>
      <c r="D32" s="51" t="n">
        <f aca="false">MIN(10,INT((A32-1)/가정!$B$18)+1)</f>
        <v>3</v>
      </c>
      <c r="E32" s="52" t="n">
        <f aca="false">가정!$B$19*가정!$B$14^(D32-1)*가정!$B$4</f>
        <v>129.5385</v>
      </c>
      <c r="F32" s="51" t="n">
        <f aca="false">F31+E32</f>
        <v>5195.5925</v>
      </c>
      <c r="G32" s="53" t="n">
        <f aca="false">C32*가정!$B$22-가정!$B$7</f>
        <v>1765.15123958333</v>
      </c>
      <c r="H32" s="53" t="n">
        <f aca="false">C32*가정!$B$23-가정!$B$7</f>
        <v>1939.20833333333</v>
      </c>
      <c r="I32" s="53" t="n">
        <f aca="false">C32*가정!$B$24-가정!$B$7</f>
        <v>4144.41666666667</v>
      </c>
      <c r="J32" s="53" t="n">
        <f aca="false">C32*가정!$B$25-가정!$B$7</f>
        <v>6349.625</v>
      </c>
      <c r="K32" s="53" t="n">
        <f aca="false">C32*가정!$B$26-가정!$B$7</f>
        <v>8554.83333333333</v>
      </c>
      <c r="L32" s="54" t="n">
        <f aca="false">F32*가정!$B$22-가정!$B$12</f>
        <v>1937.7521919875</v>
      </c>
      <c r="M32" s="54" t="n">
        <f aca="false">F32*가정!$B$23-가정!$B$12</f>
        <v>2142.79625</v>
      </c>
      <c r="N32" s="54" t="n">
        <f aca="false">F32*가정!$B$24-가정!$B$12</f>
        <v>4740.5925</v>
      </c>
      <c r="O32" s="54" t="n">
        <f aca="false">F32*가정!$B$25-가정!$B$12</f>
        <v>7338.38875</v>
      </c>
      <c r="P32" s="54" t="n">
        <f aca="false">F32*가정!$B$26-가정!$B$12</f>
        <v>9936.18499999999</v>
      </c>
    </row>
    <row r="33" customFormat="false" ht="15" hidden="false" customHeight="false" outlineLevel="0" collapsed="false">
      <c r="A33" s="51" t="n">
        <v>30</v>
      </c>
      <c r="B33" s="52" t="n">
        <f aca="false">가정!$B$8*(MIN(A33*가정!$B$4,가정!$B$9)-MIN((A33-1)*가정!$B$4,가정!$B$9))</f>
        <v>152.083333333333</v>
      </c>
      <c r="C33" s="51" t="n">
        <f aca="false">C32+B33</f>
        <v>4562.5</v>
      </c>
      <c r="D33" s="51" t="n">
        <f aca="false">MIN(10,INT((A33-1)/가정!$B$18)+1)</f>
        <v>3</v>
      </c>
      <c r="E33" s="52" t="n">
        <f aca="false">가정!$B$19*가정!$B$14^(D33-1)*가정!$B$4</f>
        <v>129.5385</v>
      </c>
      <c r="F33" s="51" t="n">
        <f aca="false">F32+E33</f>
        <v>5325.131</v>
      </c>
      <c r="G33" s="53" t="n">
        <f aca="false">C33*가정!$B$22-가정!$B$7</f>
        <v>1835.1909375</v>
      </c>
      <c r="H33" s="53" t="n">
        <f aca="false">C33*가정!$B$23-가정!$B$7</f>
        <v>2015.25</v>
      </c>
      <c r="I33" s="53" t="n">
        <f aca="false">C33*가정!$B$24-가정!$B$7</f>
        <v>4296.5</v>
      </c>
      <c r="J33" s="53" t="n">
        <f aca="false">C33*가정!$B$25-가정!$B$7</f>
        <v>6577.75</v>
      </c>
      <c r="K33" s="53" t="n">
        <f aca="false">C33*가정!$B$26-가정!$B$7</f>
        <v>8859</v>
      </c>
      <c r="L33" s="54" t="n">
        <f aca="false">F33*가정!$B$22-가정!$B$12</f>
        <v>1997.409205085</v>
      </c>
      <c r="M33" s="54" t="n">
        <f aca="false">F33*가정!$B$23-가정!$B$12</f>
        <v>2207.5655</v>
      </c>
      <c r="N33" s="54" t="n">
        <f aca="false">F33*가정!$B$24-가정!$B$12</f>
        <v>4870.131</v>
      </c>
      <c r="O33" s="54" t="n">
        <f aca="false">F33*가정!$B$25-가정!$B$12</f>
        <v>7532.69649999999</v>
      </c>
      <c r="P33" s="54" t="n">
        <f aca="false">F33*가정!$B$26-가정!$B$12</f>
        <v>10195.262</v>
      </c>
    </row>
    <row r="34" customFormat="false" ht="15" hidden="false" customHeight="false" outlineLevel="0" collapsed="false">
      <c r="A34" s="51" t="n">
        <v>31</v>
      </c>
      <c r="B34" s="52" t="n">
        <f aca="false">가정!$B$8*(MIN(A34*가정!$B$4,가정!$B$9)-MIN((A34-1)*가정!$B$4,가정!$B$9))</f>
        <v>152.083333333334</v>
      </c>
      <c r="C34" s="51" t="n">
        <f aca="false">C33+B34</f>
        <v>4714.58333333333</v>
      </c>
      <c r="D34" s="51" t="n">
        <f aca="false">MIN(10,INT((A34-1)/가정!$B$18)+1)</f>
        <v>3</v>
      </c>
      <c r="E34" s="52" t="n">
        <f aca="false">가정!$B$19*가정!$B$14^(D34-1)*가정!$B$4</f>
        <v>129.5385</v>
      </c>
      <c r="F34" s="51" t="n">
        <f aca="false">F33+E34</f>
        <v>5454.6695</v>
      </c>
      <c r="G34" s="53" t="n">
        <f aca="false">C34*가정!$B$22-가정!$B$7</f>
        <v>1905.23063541667</v>
      </c>
      <c r="H34" s="53" t="n">
        <f aca="false">C34*가정!$B$23-가정!$B$7</f>
        <v>2091.29166666667</v>
      </c>
      <c r="I34" s="53" t="n">
        <f aca="false">C34*가정!$B$24-가정!$B$7</f>
        <v>4448.58333333333</v>
      </c>
      <c r="J34" s="53" t="n">
        <f aca="false">C34*가정!$B$25-가정!$B$7</f>
        <v>6805.875</v>
      </c>
      <c r="K34" s="53" t="n">
        <f aca="false">C34*가정!$B$26-가정!$B$7</f>
        <v>9163.16666666667</v>
      </c>
      <c r="L34" s="54" t="n">
        <f aca="false">F34*가정!$B$22-가정!$B$12</f>
        <v>2057.0662181825</v>
      </c>
      <c r="M34" s="54" t="n">
        <f aca="false">F34*가정!$B$23-가정!$B$12</f>
        <v>2272.33475</v>
      </c>
      <c r="N34" s="54" t="n">
        <f aca="false">F34*가정!$B$24-가정!$B$12</f>
        <v>4999.6695</v>
      </c>
      <c r="O34" s="54" t="n">
        <f aca="false">F34*가정!$B$25-가정!$B$12</f>
        <v>7727.00424999999</v>
      </c>
      <c r="P34" s="54" t="n">
        <f aca="false">F34*가정!$B$26-가정!$B$12</f>
        <v>10454.339</v>
      </c>
    </row>
    <row r="35" customFormat="false" ht="15" hidden="false" customHeight="false" outlineLevel="0" collapsed="false">
      <c r="A35" s="51" t="n">
        <v>32</v>
      </c>
      <c r="B35" s="52" t="n">
        <f aca="false">가정!$B$8*(MIN(A35*가정!$B$4,가정!$B$9)-MIN((A35-1)*가정!$B$4,가정!$B$9))</f>
        <v>152.083333333333</v>
      </c>
      <c r="C35" s="51" t="n">
        <f aca="false">C34+B35</f>
        <v>4866.66666666667</v>
      </c>
      <c r="D35" s="51" t="n">
        <f aca="false">MIN(10,INT((A35-1)/가정!$B$18)+1)</f>
        <v>3</v>
      </c>
      <c r="E35" s="52" t="n">
        <f aca="false">가정!$B$19*가정!$B$14^(D35-1)*가정!$B$4</f>
        <v>129.5385</v>
      </c>
      <c r="F35" s="51" t="n">
        <f aca="false">F34+E35</f>
        <v>5584.208</v>
      </c>
      <c r="G35" s="53" t="n">
        <f aca="false">C35*가정!$B$22-가정!$B$7</f>
        <v>1975.27033333333</v>
      </c>
      <c r="H35" s="53" t="n">
        <f aca="false">C35*가정!$B$23-가정!$B$7</f>
        <v>2167.33333333333</v>
      </c>
      <c r="I35" s="53" t="n">
        <f aca="false">C35*가정!$B$24-가정!$B$7</f>
        <v>4600.66666666667</v>
      </c>
      <c r="J35" s="53" t="n">
        <f aca="false">C35*가정!$B$25-가정!$B$7</f>
        <v>7034</v>
      </c>
      <c r="K35" s="53" t="n">
        <f aca="false">C35*가정!$B$26-가정!$B$7</f>
        <v>9467.33333333333</v>
      </c>
      <c r="L35" s="54" t="n">
        <f aca="false">F35*가정!$B$22-가정!$B$12</f>
        <v>2116.72323128</v>
      </c>
      <c r="M35" s="54" t="n">
        <f aca="false">F35*가정!$B$23-가정!$B$12</f>
        <v>2337.104</v>
      </c>
      <c r="N35" s="54" t="n">
        <f aca="false">F35*가정!$B$24-가정!$B$12</f>
        <v>5129.208</v>
      </c>
      <c r="O35" s="54" t="n">
        <f aca="false">F35*가정!$B$25-가정!$B$12</f>
        <v>7921.31199999999</v>
      </c>
      <c r="P35" s="54" t="n">
        <f aca="false">F35*가정!$B$26-가정!$B$12</f>
        <v>10713.416</v>
      </c>
    </row>
    <row r="36" customFormat="false" ht="15" hidden="false" customHeight="false" outlineLevel="0" collapsed="false">
      <c r="A36" s="51" t="n">
        <v>33</v>
      </c>
      <c r="B36" s="52" t="n">
        <f aca="false">가정!$B$8*(MIN(A36*가정!$B$4,가정!$B$9)-MIN((A36-1)*가정!$B$4,가정!$B$9))</f>
        <v>152.083333333333</v>
      </c>
      <c r="C36" s="51" t="n">
        <f aca="false">C35+B36</f>
        <v>5018.75</v>
      </c>
      <c r="D36" s="51" t="n">
        <f aca="false">MIN(10,INT((A36-1)/가정!$B$18)+1)</f>
        <v>3</v>
      </c>
      <c r="E36" s="52" t="n">
        <f aca="false">가정!$B$19*가정!$B$14^(D36-1)*가정!$B$4</f>
        <v>129.5385</v>
      </c>
      <c r="F36" s="51" t="n">
        <f aca="false">F35+E36</f>
        <v>5713.7465</v>
      </c>
      <c r="G36" s="53" t="n">
        <f aca="false">C36*가정!$B$22-가정!$B$7</f>
        <v>2045.31003125</v>
      </c>
      <c r="H36" s="53" t="n">
        <f aca="false">C36*가정!$B$23-가정!$B$7</f>
        <v>2243.375</v>
      </c>
      <c r="I36" s="53" t="n">
        <f aca="false">C36*가정!$B$24-가정!$B$7</f>
        <v>4752.75</v>
      </c>
      <c r="J36" s="53" t="n">
        <f aca="false">C36*가정!$B$25-가정!$B$7</f>
        <v>7262.125</v>
      </c>
      <c r="K36" s="53" t="n">
        <f aca="false">C36*가정!$B$26-가정!$B$7</f>
        <v>9771.5</v>
      </c>
      <c r="L36" s="54" t="n">
        <f aca="false">F36*가정!$B$22-가정!$B$12</f>
        <v>2176.3802443775</v>
      </c>
      <c r="M36" s="54" t="n">
        <f aca="false">F36*가정!$B$23-가정!$B$12</f>
        <v>2401.87325</v>
      </c>
      <c r="N36" s="54" t="n">
        <f aca="false">F36*가정!$B$24-가정!$B$12</f>
        <v>5258.7465</v>
      </c>
      <c r="O36" s="54" t="n">
        <f aca="false">F36*가정!$B$25-가정!$B$12</f>
        <v>8115.61974999999</v>
      </c>
      <c r="P36" s="54" t="n">
        <f aca="false">F36*가정!$B$26-가정!$B$12</f>
        <v>10972.493</v>
      </c>
    </row>
    <row r="37" customFormat="false" ht="15" hidden="false" customHeight="false" outlineLevel="0" collapsed="false">
      <c r="A37" s="51" t="n">
        <v>34</v>
      </c>
      <c r="B37" s="52" t="n">
        <f aca="false">가정!$B$8*(MIN(A37*가정!$B$4,가정!$B$9)-MIN((A37-1)*가정!$B$4,가정!$B$9))</f>
        <v>152.083333333334</v>
      </c>
      <c r="C37" s="51" t="n">
        <f aca="false">C36+B37</f>
        <v>5170.83333333333</v>
      </c>
      <c r="D37" s="51" t="n">
        <f aca="false">MIN(10,INT((A37-1)/가정!$B$18)+1)</f>
        <v>3</v>
      </c>
      <c r="E37" s="52" t="n">
        <f aca="false">가정!$B$19*가정!$B$14^(D37-1)*가정!$B$4</f>
        <v>129.5385</v>
      </c>
      <c r="F37" s="51" t="n">
        <f aca="false">F36+E37</f>
        <v>5843.28499999999</v>
      </c>
      <c r="G37" s="53" t="n">
        <f aca="false">C37*가정!$B$22-가정!$B$7</f>
        <v>2115.34972916667</v>
      </c>
      <c r="H37" s="53" t="n">
        <f aca="false">C37*가정!$B$23-가정!$B$7</f>
        <v>2319.41666666667</v>
      </c>
      <c r="I37" s="53" t="n">
        <f aca="false">C37*가정!$B$24-가정!$B$7</f>
        <v>4904.83333333333</v>
      </c>
      <c r="J37" s="53" t="n">
        <f aca="false">C37*가정!$B$25-가정!$B$7</f>
        <v>7490.25</v>
      </c>
      <c r="K37" s="53" t="n">
        <f aca="false">C37*가정!$B$26-가정!$B$7</f>
        <v>10075.6666666667</v>
      </c>
      <c r="L37" s="54" t="n">
        <f aca="false">F37*가정!$B$22-가정!$B$12</f>
        <v>2236.037257475</v>
      </c>
      <c r="M37" s="54" t="n">
        <f aca="false">F37*가정!$B$23-가정!$B$12</f>
        <v>2466.6425</v>
      </c>
      <c r="N37" s="54" t="n">
        <f aca="false">F37*가정!$B$24-가정!$B$12</f>
        <v>5388.28499999999</v>
      </c>
      <c r="O37" s="54" t="n">
        <f aca="false">F37*가정!$B$25-가정!$B$12</f>
        <v>8309.92749999999</v>
      </c>
      <c r="P37" s="54" t="n">
        <f aca="false">F37*가정!$B$26-가정!$B$12</f>
        <v>11231.57</v>
      </c>
    </row>
    <row r="38" customFormat="false" ht="15" hidden="false" customHeight="false" outlineLevel="0" collapsed="false">
      <c r="A38" s="51" t="n">
        <v>35</v>
      </c>
      <c r="B38" s="52" t="n">
        <f aca="false">가정!$B$8*(MIN(A38*가정!$B$4,가정!$B$9)-MIN((A38-1)*가정!$B$4,가정!$B$9))</f>
        <v>152.083333333334</v>
      </c>
      <c r="C38" s="51" t="n">
        <f aca="false">C37+B38</f>
        <v>5322.91666666667</v>
      </c>
      <c r="D38" s="51" t="n">
        <f aca="false">MIN(10,INT((A38-1)/가정!$B$18)+1)</f>
        <v>3</v>
      </c>
      <c r="E38" s="52" t="n">
        <f aca="false">가정!$B$19*가정!$B$14^(D38-1)*가정!$B$4</f>
        <v>129.5385</v>
      </c>
      <c r="F38" s="51" t="n">
        <f aca="false">F37+E38</f>
        <v>5972.82349999999</v>
      </c>
      <c r="G38" s="53" t="n">
        <f aca="false">C38*가정!$B$22-가정!$B$7</f>
        <v>2185.38942708333</v>
      </c>
      <c r="H38" s="53" t="n">
        <f aca="false">C38*가정!$B$23-가정!$B$7</f>
        <v>2395.45833333333</v>
      </c>
      <c r="I38" s="53" t="n">
        <f aca="false">C38*가정!$B$24-가정!$B$7</f>
        <v>5056.91666666667</v>
      </c>
      <c r="J38" s="53" t="n">
        <f aca="false">C38*가정!$B$25-가정!$B$7</f>
        <v>7718.375</v>
      </c>
      <c r="K38" s="53" t="n">
        <f aca="false">C38*가정!$B$26-가정!$B$7</f>
        <v>10379.8333333333</v>
      </c>
      <c r="L38" s="54" t="n">
        <f aca="false">F38*가정!$B$22-가정!$B$12</f>
        <v>2295.6942705725</v>
      </c>
      <c r="M38" s="54" t="n">
        <f aca="false">F38*가정!$B$23-가정!$B$12</f>
        <v>2531.41175</v>
      </c>
      <c r="N38" s="54" t="n">
        <f aca="false">F38*가정!$B$24-가정!$B$12</f>
        <v>5517.82349999999</v>
      </c>
      <c r="O38" s="54" t="n">
        <f aca="false">F38*가정!$B$25-가정!$B$12</f>
        <v>8504.23524999999</v>
      </c>
      <c r="P38" s="54" t="n">
        <f aca="false">F38*가정!$B$26-가정!$B$12</f>
        <v>11490.647</v>
      </c>
    </row>
    <row r="39" customFormat="false" ht="15" hidden="false" customHeight="false" outlineLevel="0" collapsed="false">
      <c r="A39" s="51" t="n">
        <v>36</v>
      </c>
      <c r="B39" s="52" t="n">
        <f aca="false">가정!$B$8*(MIN(A39*가정!$B$4,가정!$B$9)-MIN((A39-1)*가정!$B$4,가정!$B$9))</f>
        <v>152.083333333333</v>
      </c>
      <c r="C39" s="51" t="n">
        <f aca="false">C38+B39</f>
        <v>5475</v>
      </c>
      <c r="D39" s="51" t="n">
        <f aca="false">MIN(10,INT((A39-1)/가정!$B$18)+1)</f>
        <v>3</v>
      </c>
      <c r="E39" s="52" t="n">
        <f aca="false">가정!$B$19*가정!$B$14^(D39-1)*가정!$B$4</f>
        <v>129.5385</v>
      </c>
      <c r="F39" s="51" t="n">
        <f aca="false">F38+E39</f>
        <v>6102.36199999999</v>
      </c>
      <c r="G39" s="53" t="n">
        <f aca="false">C39*가정!$B$22-가정!$B$7</f>
        <v>2255.429125</v>
      </c>
      <c r="H39" s="53" t="n">
        <f aca="false">C39*가정!$B$23-가정!$B$7</f>
        <v>2471.5</v>
      </c>
      <c r="I39" s="53" t="n">
        <f aca="false">C39*가정!$B$24-가정!$B$7</f>
        <v>5209</v>
      </c>
      <c r="J39" s="53" t="n">
        <f aca="false">C39*가정!$B$25-가정!$B$7</f>
        <v>7946.5</v>
      </c>
      <c r="K39" s="53" t="n">
        <f aca="false">C39*가정!$B$26-가정!$B$7</f>
        <v>10684</v>
      </c>
      <c r="L39" s="54" t="n">
        <f aca="false">F39*가정!$B$22-가정!$B$12</f>
        <v>2355.35128367</v>
      </c>
      <c r="M39" s="54" t="n">
        <f aca="false">F39*가정!$B$23-가정!$B$12</f>
        <v>2596.181</v>
      </c>
      <c r="N39" s="54" t="n">
        <f aca="false">F39*가정!$B$24-가정!$B$12</f>
        <v>5647.36199999999</v>
      </c>
      <c r="O39" s="54" t="n">
        <f aca="false">F39*가정!$B$25-가정!$B$12</f>
        <v>8698.54299999999</v>
      </c>
      <c r="P39" s="54" t="n">
        <f aca="false">F39*가정!$B$26-가정!$B$12</f>
        <v>11749.724</v>
      </c>
    </row>
  </sheetData>
  <conditionalFormatting sqref="G4:G39">
    <cfRule type="expression" priority="2" aboveAverage="0" equalAverage="0" bottom="0" percent="0" rank="0" text="" dxfId="0">
      <formula>AND(G4&gt;=0,OR(ROW()=4,G3&lt;0))</formula>
    </cfRule>
  </conditionalFormatting>
  <conditionalFormatting sqref="H4:H39">
    <cfRule type="expression" priority="3" aboveAverage="0" equalAverage="0" bottom="0" percent="0" rank="0" text="" dxfId="0">
      <formula>AND(H4&gt;=0,OR(ROW()=4,H3&lt;0))</formula>
    </cfRule>
  </conditionalFormatting>
  <conditionalFormatting sqref="I4:I39">
    <cfRule type="expression" priority="4" aboveAverage="0" equalAverage="0" bottom="0" percent="0" rank="0" text="" dxfId="0">
      <formula>AND(I4&gt;=0,OR(ROW()=4,I3&lt;0))</formula>
    </cfRule>
  </conditionalFormatting>
  <conditionalFormatting sqref="J4:J39">
    <cfRule type="expression" priority="5" aboveAverage="0" equalAverage="0" bottom="0" percent="0" rank="0" text="" dxfId="0">
      <formula>AND(J4&gt;=0,OR(ROW()=4,J3&lt;0))</formula>
    </cfRule>
  </conditionalFormatting>
  <conditionalFormatting sqref="K4:K39">
    <cfRule type="expression" priority="6" aboveAverage="0" equalAverage="0" bottom="0" percent="0" rank="0" text="" dxfId="0">
      <formula>AND(K4&gt;=0,OR(ROW()=4,K3&lt;0))</formula>
    </cfRule>
  </conditionalFormatting>
  <conditionalFormatting sqref="L4:L39">
    <cfRule type="expression" priority="7" aboveAverage="0" equalAverage="0" bottom="0" percent="0" rank="0" text="" dxfId="0">
      <formula>AND(L4&gt;=0,OR(ROW()=4,L3&lt;0))</formula>
    </cfRule>
  </conditionalFormatting>
  <conditionalFormatting sqref="M4:M39">
    <cfRule type="expression" priority="8" aboveAverage="0" equalAverage="0" bottom="0" percent="0" rank="0" text="" dxfId="0">
      <formula>AND(M4&gt;=0,OR(ROW()=4,M3&lt;0))</formula>
    </cfRule>
  </conditionalFormatting>
  <conditionalFormatting sqref="N4:N39">
    <cfRule type="expression" priority="9" aboveAverage="0" equalAverage="0" bottom="0" percent="0" rank="0" text="" dxfId="0">
      <formula>AND(N4&gt;=0,OR(ROW()=4,N3&lt;0))</formula>
    </cfRule>
  </conditionalFormatting>
  <conditionalFormatting sqref="O4:O39">
    <cfRule type="expression" priority="10" aboveAverage="0" equalAverage="0" bottom="0" percent="0" rank="0" text="" dxfId="0">
      <formula>AND(O4&gt;=0,OR(ROW()=4,O3&lt;0))</formula>
    </cfRule>
  </conditionalFormatting>
  <conditionalFormatting sqref="P4:P39">
    <cfRule type="expression" priority="11" aboveAverage="0" equalAverage="0" bottom="0" percent="0" rank="0" text="" dxfId="0">
      <formula>AND(P4&gt;=0,OR(ROW()=4,P3&lt;0))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2026-10-15T06:22:03Z</dcterms:created>
  <dc:creator>openpyxl</dc:creator>
  <dc:description/>
  <dc:language>en-US</dc:language>
  <cp:lastModifiedBy/>
  <dcterms:modified xsi:type="dcterms:W3CDTF">2026-10-15T06:22:03Z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