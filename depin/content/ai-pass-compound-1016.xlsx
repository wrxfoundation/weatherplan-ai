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" sheetId="1" state="visible" r:id="rId3"/>
    <sheet name="요약" sheetId="2" state="visible" r:id="rId4"/>
    <sheet name="일별" sheetId="3" state="visible" r:id="rId5"/>
    <sheet name="월별" sheetId="4" state="visible" r:id="rId6"/>
    <sheet name="현실 점검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<sst xmlns="http://schemas.openxmlformats.org/spreadsheetml/2006/main" count="150" uniqueCount="140">
  <si>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WenQuanYi Zen Hei"/>
        <family val="2"/>
      </rPr>
      <t xml:space="preserve">이용권 재구매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복리</t>
    </r>
    <r>
      <rPr>
        <b val="true"/>
        <sz val="13"/>
        <rFont val="Arial"/>
        <family val="0"/>
        <charset val="1"/>
      </rPr>
      <t xml:space="preserve">) </t>
    </r>
    <r>
      <rPr>
        <b val="true"/>
        <sz val="13"/>
        <rFont val="WenQuanYi Zen Hei"/>
        <family val="2"/>
      </rPr>
      <t xml:space="preserve">시뮬레이션 — 가정</t>
    </r>
  </si>
  <si>
    <r>
      <rPr>
        <i val="true"/>
        <sz val="9"/>
        <color rgb="FF595959"/>
        <rFont val="WenQuanYi Zen Hei"/>
        <family val="2"/>
      </rPr>
      <t xml:space="preserve">내부 검토용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대외 배포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고객 안내 금지</t>
    </r>
    <r>
      <rPr>
        <i val="true"/>
        <sz val="9"/>
        <color rgb="FF595959"/>
        <rFont val="Arial"/>
        <family val="0"/>
        <charset val="1"/>
      </rPr>
      <t xml:space="preserve">. WLBN </t>
    </r>
    <r>
      <rPr>
        <i val="true"/>
        <sz val="9"/>
        <color rgb="FF595959"/>
        <rFont val="WenQuanYi Zen Hei"/>
        <family val="2"/>
      </rPr>
      <t xml:space="preserve">가격은 가정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전망 아님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지급 수량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가치는 사이트 약관상 비보장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파란 글씨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노란 칸만 바꾼다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</si>
  <si>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항목</t>
  </si>
  <si>
    <t xml:space="preserve">값</t>
  </si>
  <si>
    <t xml:space="preserve">근거</t>
  </si>
  <si>
    <r>
      <rPr>
        <sz val="10"/>
        <rFont val="WenQuanYi Zen Hei"/>
        <family val="2"/>
      </rPr>
      <t xml:space="preserve">정가 </t>
    </r>
    <r>
      <rPr>
        <sz val="10"/>
        <rFont val="Arial"/>
        <family val="0"/>
        <charset val="1"/>
      </rPr>
      <t xml:space="preserve">(RLUSD ≈ USD / 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</si>
  <si>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사이트 상품 페이지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정본 </t>
    </r>
    <r>
      <rPr>
        <i val="true"/>
        <sz val="9"/>
        <color rgb="FF595959"/>
        <rFont val="Arial"/>
        <family val="0"/>
        <charset val="1"/>
      </rPr>
      <t xml:space="preserve">§4-1)</t>
    </r>
  </si>
  <si>
    <t xml:space="preserve">첫 구매 할인율</t>
  </si>
  <si>
    <r>
      <rPr>
        <i val="true"/>
        <sz val="9"/>
        <color rgb="FF595959"/>
        <rFont val="WenQuanYi Zen Hei"/>
        <family val="2"/>
      </rPr>
      <t xml:space="preserve">서우 지정</t>
    </r>
    <r>
      <rPr>
        <i val="true"/>
        <sz val="9"/>
        <color rgb="FF595959"/>
        <rFont val="Arial"/>
        <family val="0"/>
        <charset val="1"/>
      </rPr>
      <t xml:space="preserve">(10/16)</t>
    </r>
  </si>
  <si>
    <r>
      <rPr>
        <sz val="10"/>
        <rFont val="WenQuanYi Zen Hei"/>
        <family val="2"/>
      </rPr>
      <t xml:space="preserve">첫 구매가 </t>
    </r>
    <r>
      <rPr>
        <sz val="10"/>
        <rFont val="Arial"/>
        <family val="0"/>
        <charset val="1"/>
      </rPr>
      <t xml:space="preserve">(USD / 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</si>
  <si>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정가 </t>
    </r>
    <r>
      <rPr>
        <i val="true"/>
        <sz val="9"/>
        <color rgb="FF595959"/>
        <rFont val="Arial"/>
        <family val="0"/>
        <charset val="1"/>
      </rPr>
      <t xml:space="preserve">× (1 − </t>
    </r>
    <r>
      <rPr>
        <i val="true"/>
        <sz val="9"/>
        <color rgb="FF595959"/>
        <rFont val="WenQuanYi Zen Hei"/>
        <family val="2"/>
      </rPr>
      <t xml:space="preserve">할인율</t>
    </r>
    <r>
      <rPr>
        <i val="true"/>
        <sz val="9"/>
        <color rgb="FF595959"/>
        <rFont val="Arial"/>
        <family val="0"/>
        <charset val="1"/>
      </rPr>
      <t xml:space="preserve">) = 266</t>
    </r>
  </si>
  <si>
    <t xml:space="preserve">첫 구매 장수</t>
  </si>
  <si>
    <r>
      <rPr>
        <sz val="10"/>
        <rFont val="WenQuanYi Zen Hei"/>
        <family val="2"/>
      </rPr>
      <t xml:space="preserve">일 지급 </t>
    </r>
    <r>
      <rPr>
        <sz val="10"/>
        <rFont val="Arial"/>
        <family val="0"/>
        <charset val="1"/>
      </rPr>
      <t xml:space="preserve">(WLBN / 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</si>
  <si>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정본 </t>
    </r>
    <r>
      <rPr>
        <i val="true"/>
        <sz val="9"/>
        <color rgb="FF595959"/>
        <rFont val="Arial"/>
        <family val="0"/>
        <charset val="1"/>
      </rPr>
      <t xml:space="preserve">§4-1</t>
    </r>
  </si>
  <si>
    <r>
      <rPr>
        <sz val="10"/>
        <rFont val="WenQuanYi Zen Hei"/>
        <family val="2"/>
      </rPr>
      <t xml:space="preserve">지급 기간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</si>
  <si>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정본 </t>
    </r>
    <r>
      <rPr>
        <i val="true"/>
        <sz val="9"/>
        <color rgb="FF595959"/>
        <rFont val="Arial"/>
        <family val="0"/>
        <charset val="1"/>
      </rPr>
      <t xml:space="preserve">§4-1 — </t>
    </r>
    <r>
      <rPr>
        <i val="true"/>
        <sz val="9"/>
        <color rgb="FF595959"/>
        <rFont val="WenQuanYi Zen Hei"/>
        <family val="2"/>
      </rPr>
      <t xml:space="preserve">발급일 기준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년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이 시트의 계산 창도 같은 </t>
    </r>
    <r>
      <rPr>
        <i val="true"/>
        <sz val="9"/>
        <color rgb="FF595959"/>
        <rFont val="Arial"/>
        <family val="0"/>
        <charset val="1"/>
      </rPr>
      <t xml:space="preserve">1,095</t>
    </r>
    <r>
      <rPr>
        <i val="true"/>
        <sz val="9"/>
        <color rgb="FF595959"/>
        <rFont val="WenQuanYi Zen Hei"/>
        <family val="2"/>
      </rPr>
      <t xml:space="preserve">일</t>
    </r>
  </si>
  <si>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가격 </t>
    </r>
    <r>
      <rPr>
        <sz val="10"/>
        <rFont val="Arial"/>
        <family val="0"/>
        <charset val="1"/>
      </rPr>
      <t xml:space="preserve">(USD / WLBN)</t>
    </r>
  </si>
  <si>
    <r>
      <rPr>
        <i val="true"/>
        <sz val="9"/>
        <color rgb="FF595959"/>
        <rFont val="WenQuanYi Zen Hei"/>
        <family val="2"/>
      </rPr>
      <t xml:space="preserve">서우 지정 가정</t>
    </r>
    <r>
      <rPr>
        <i val="true"/>
        <sz val="9"/>
        <color rgb="FF595959"/>
        <rFont val="Arial"/>
        <family val="0"/>
        <charset val="1"/>
      </rPr>
      <t xml:space="preserve">(10/16) — </t>
    </r>
    <r>
      <rPr>
        <i val="true"/>
        <sz val="9"/>
        <color rgb="FF595959"/>
        <rFont val="WenQuanYi Zen Hei"/>
        <family val="2"/>
      </rPr>
      <t xml:space="preserve">전망 아님</t>
    </r>
    <r>
      <rPr>
        <i val="true"/>
        <sz val="9"/>
        <color rgb="FF595959"/>
        <rFont val="Arial"/>
        <family val="0"/>
        <charset val="1"/>
      </rPr>
      <t xml:space="preserve">. 10/14 AMM </t>
    </r>
    <r>
      <rPr>
        <i val="true"/>
        <sz val="9"/>
        <color rgb="FF595959"/>
        <rFont val="WenQuanYi Zen Hei"/>
        <family val="2"/>
      </rPr>
      <t xml:space="preserve">풀 화면 가격은 약 </t>
    </r>
    <r>
      <rPr>
        <i val="true"/>
        <sz val="9"/>
        <color rgb="FF595959"/>
        <rFont val="Arial"/>
        <family val="0"/>
        <charset val="1"/>
      </rPr>
      <t xml:space="preserve">0.46</t>
    </r>
  </si>
  <si>
    <r>
      <rPr>
        <sz val="10"/>
        <rFont val="WenQuanYi Zen Hei"/>
        <family val="2"/>
      </rPr>
      <t xml:space="preserve">재투자 켜기 </t>
    </r>
    <r>
      <rPr>
        <sz val="10"/>
        <rFont val="Arial"/>
        <family val="0"/>
        <charset val="1"/>
      </rPr>
      <t xml:space="preserve">(1 = </t>
    </r>
    <r>
      <rPr>
        <sz val="10"/>
        <rFont val="WenQuanYi Zen Hei"/>
        <family val="2"/>
      </rPr>
      <t xml:space="preserve">켬 </t>
    </r>
    <r>
      <rPr>
        <sz val="10"/>
        <rFont val="Arial"/>
        <family val="0"/>
        <charset val="1"/>
      </rPr>
      <t xml:space="preserve">· 0 = </t>
    </r>
    <r>
      <rPr>
        <sz val="10"/>
        <rFont val="WenQuanYi Zen Hei"/>
        <family val="2"/>
      </rPr>
      <t xml:space="preserve">끔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</si>
  <si>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0 </t>
    </r>
    <r>
      <rPr>
        <i val="true"/>
        <sz val="9"/>
        <color rgb="FF595959"/>
        <rFont val="WenQuanYi Zen Hei"/>
        <family val="2"/>
      </rPr>
      <t xml:space="preserve">이면 「재구매 없이 보유」와 같아진다</t>
    </r>
  </si>
  <si>
    <t xml:space="preserve">재구매 할인율</t>
  </si>
  <si>
    <r>
      <rPr>
        <i val="true"/>
        <sz val="9"/>
        <color rgb="FF595959"/>
        <rFont val="WenQuanYi Zen Hei"/>
        <family val="2"/>
      </rPr>
      <t xml:space="preserve">가정 — 재구매에도 같은 할인이 된다고 둠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할인 코드 조건 미확인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</si>
  <si>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재구매 단가 </t>
    </r>
    <r>
      <rPr>
        <sz val="10"/>
        <rFont val="Arial"/>
        <family val="0"/>
        <charset val="1"/>
      </rPr>
      <t xml:space="preserve">(USD / 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</si>
  <si>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정가 </t>
    </r>
    <r>
      <rPr>
        <i val="true"/>
        <sz val="9"/>
        <color rgb="FF595959"/>
        <rFont val="Arial"/>
        <family val="0"/>
        <charset val="1"/>
      </rPr>
      <t xml:space="preserve">× (1 − </t>
    </r>
    <r>
      <rPr>
        <i val="true"/>
        <sz val="9"/>
        <color rgb="FF595959"/>
        <rFont val="WenQuanYi Zen Hei"/>
        <family val="2"/>
      </rPr>
      <t xml:space="preserve">재구매 할인율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</si>
  <si>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교환 수수료 </t>
    </r>
    <r>
      <rPr>
        <sz val="10"/>
        <rFont val="Arial"/>
        <family val="0"/>
        <charset val="1"/>
      </rPr>
      <t xml:space="preserve">(WLBN → RLUSD)</t>
    </r>
  </si>
  <si>
    <r>
      <rPr>
        <i val="true"/>
        <sz val="9"/>
        <color rgb="FF595959"/>
        <rFont val="Arial"/>
        <family val="0"/>
        <charset val="1"/>
      </rPr>
      <t xml:space="preserve">10/14 AMM </t>
    </r>
    <r>
      <rPr>
        <i val="true"/>
        <sz val="9"/>
        <color rgb="FF595959"/>
        <rFont val="WenQuanYi Zen Hei"/>
        <family val="2"/>
      </rPr>
      <t xml:space="preserve">풀 수수료 </t>
    </r>
    <r>
      <rPr>
        <i val="true"/>
        <sz val="9"/>
        <color rgb="FF595959"/>
        <rFont val="Arial"/>
        <family val="0"/>
        <charset val="1"/>
      </rPr>
      <t xml:space="preserve">0.5%(</t>
    </r>
    <r>
      <rPr>
        <i val="true"/>
        <sz val="9"/>
        <color rgb="FF595959"/>
        <rFont val="WenQuanYi Zen Hei"/>
        <family val="2"/>
      </rPr>
      <t xml:space="preserve">정본 </t>
    </r>
    <r>
      <rPr>
        <i val="true"/>
        <sz val="9"/>
        <color rgb="FF595959"/>
        <rFont val="Arial"/>
        <family val="0"/>
        <charset val="1"/>
      </rPr>
      <t xml:space="preserve">§8). </t>
    </r>
    <r>
      <rPr>
        <i val="true"/>
        <sz val="9"/>
        <color rgb="FF595959"/>
        <rFont val="WenQuanYi Zen Hei"/>
        <family val="2"/>
      </rPr>
      <t xml:space="preserve">이용권은 </t>
    </r>
    <r>
      <rPr>
        <i val="true"/>
        <sz val="9"/>
        <color rgb="FF595959"/>
        <rFont val="Arial"/>
        <family val="0"/>
        <charset val="1"/>
      </rPr>
      <t xml:space="preserve">RLUSD </t>
    </r>
    <r>
      <rPr>
        <i val="true"/>
        <sz val="9"/>
        <color rgb="FF595959"/>
        <rFont val="WenQuanYi Zen Hei"/>
        <family val="2"/>
      </rPr>
      <t xml:space="preserve">결제만이라 </t>
    </r>
    <r>
      <rPr>
        <i val="true"/>
        <sz val="9"/>
        <color rgb="FF595959"/>
        <rFont val="Arial"/>
        <family val="0"/>
        <charset val="1"/>
      </rPr>
      <t xml:space="preserve">WLBN </t>
    </r>
    <r>
      <rPr>
        <i val="true"/>
        <sz val="9"/>
        <color rgb="FF595959"/>
        <rFont val="WenQuanYi Zen Hei"/>
        <family val="2"/>
      </rPr>
      <t xml:space="preserve">을 바꿔야 한다</t>
    </r>
  </si>
  <si>
    <r>
      <rPr>
        <sz val="10"/>
        <rFont val="WenQuanYi Zen Hei"/>
        <family val="2"/>
      </rPr>
      <t xml:space="preserve">슬리피지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가정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</si>
  <si>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0 = </t>
    </r>
    <r>
      <rPr>
        <i val="true"/>
        <sz val="9"/>
        <color rgb="FF595959"/>
        <rFont val="WenQuanYi Zen Hei"/>
        <family val="2"/>
      </rPr>
      <t xml:space="preserve">가격 영향 없음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낙관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현실 점검 시트의 풀 깊이 계산 참고</t>
    </r>
  </si>
  <si>
    <r>
      <rPr>
        <sz val="10"/>
        <rFont val="WenQuanYi Zen Hei"/>
        <family val="2"/>
      </rPr>
      <t xml:space="preserve">계정당 보유 상한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</si>
  <si>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정본 </t>
    </r>
    <r>
      <rPr>
        <i val="true"/>
        <sz val="9"/>
        <color rgb="FF595959"/>
        <rFont val="Arial"/>
        <family val="0"/>
        <charset val="1"/>
      </rPr>
      <t xml:space="preserve">§4-1 — </t>
    </r>
    <r>
      <rPr>
        <i val="true"/>
        <sz val="9"/>
        <color rgb="FF595959"/>
        <rFont val="WenQuanYi Zen Hei"/>
        <family val="2"/>
      </rPr>
      <t xml:space="preserve">계정당 최대 </t>
    </r>
    <r>
      <rPr>
        <i val="true"/>
        <sz val="9"/>
        <color rgb="FF595959"/>
        <rFont val="Arial"/>
        <family val="0"/>
        <charset val="1"/>
      </rPr>
      <t xml:space="preserve">100</t>
    </r>
    <r>
      <rPr>
        <i val="true"/>
        <sz val="9"/>
        <color rgb="FF595959"/>
        <rFont val="WenQuanYi Zen Hei"/>
        <family val="2"/>
      </rPr>
      <t xml:space="preserve">장</t>
    </r>
  </si>
  <si>
    <r>
      <rPr>
        <sz val="10"/>
        <rFont val="WenQuanYi Zen Hei"/>
        <family val="2"/>
      </rPr>
      <t xml:space="preserve">재구매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장에 필요한 </t>
    </r>
    <r>
      <rPr>
        <sz val="10"/>
        <rFont val="Arial"/>
        <family val="0"/>
        <charset val="1"/>
      </rPr>
      <t xml:space="preserve">WLBN</t>
    </r>
  </si>
  <si>
    <r>
      <rPr>
        <i val="true"/>
        <sz val="9"/>
        <color rgb="FF595959"/>
        <rFont val="WenQuanYi Zen Hei"/>
        <family val="2"/>
      </rPr>
      <t xml:space="preserve">재구매 단가 </t>
    </r>
    <r>
      <rPr>
        <i val="true"/>
        <sz val="9"/>
        <color rgb="FF595959"/>
        <rFont val="Arial"/>
        <family val="0"/>
        <charset val="1"/>
      </rPr>
      <t xml:space="preserve">÷ (</t>
    </r>
    <r>
      <rPr>
        <i val="true"/>
        <sz val="9"/>
        <color rgb="FF595959"/>
        <rFont val="WenQuanYi Zen Hei"/>
        <family val="2"/>
      </rPr>
      <t xml:space="preserve">가격 </t>
    </r>
    <r>
      <rPr>
        <i val="true"/>
        <sz val="9"/>
        <color rgb="FF595959"/>
        <rFont val="Arial"/>
        <family val="0"/>
        <charset val="1"/>
      </rPr>
      <t xml:space="preserve">× (1 − </t>
    </r>
    <r>
      <rPr>
        <i val="true"/>
        <sz val="9"/>
        <color rgb="FF595959"/>
        <rFont val="WenQuanYi Zen Hei"/>
        <family val="2"/>
      </rPr>
      <t xml:space="preserve">수수료</t>
    </r>
    <r>
      <rPr>
        <i val="true"/>
        <sz val="9"/>
        <color rgb="FF595959"/>
        <rFont val="Arial"/>
        <family val="0"/>
        <charset val="1"/>
      </rPr>
      <t xml:space="preserve">) × (1 − </t>
    </r>
    <r>
      <rPr>
        <i val="true"/>
        <sz val="9"/>
        <color rgb="FF595959"/>
        <rFont val="WenQuanYi Zen Hei"/>
        <family val="2"/>
      </rPr>
      <t xml:space="preserve">슬리피지</t>
    </r>
    <r>
      <rPr>
        <i val="true"/>
        <sz val="9"/>
        <color rgb="FF595959"/>
        <rFont val="Arial"/>
        <family val="0"/>
        <charset val="1"/>
      </rPr>
      <t xml:space="preserve">))</t>
    </r>
  </si>
  <si>
    <r>
      <rPr>
        <sz val="10"/>
        <rFont val="WenQuanYi Zen Hei"/>
        <family val="2"/>
      </rPr>
      <t xml:space="preserve">클레임 보류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</si>
  <si>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정본 </t>
    </r>
    <r>
      <rPr>
        <i val="true"/>
        <sz val="9"/>
        <color rgb="FF595959"/>
        <rFont val="Arial"/>
        <family val="0"/>
        <charset val="1"/>
      </rPr>
      <t xml:space="preserve">§4-1 — </t>
    </r>
    <r>
      <rPr>
        <i val="true"/>
        <sz val="9"/>
        <color rgb="FF595959"/>
        <rFont val="WenQuanYi Zen Hei"/>
        <family val="2"/>
      </rPr>
      <t xml:space="preserve">적립분 </t>
    </r>
    <r>
      <rPr>
        <i val="true"/>
        <sz val="9"/>
        <color rgb="FF595959"/>
        <rFont val="Arial"/>
        <family val="0"/>
        <charset val="1"/>
      </rPr>
      <t xml:space="preserve">24</t>
    </r>
    <r>
      <rPr>
        <i val="true"/>
        <sz val="9"/>
        <color rgb="FF595959"/>
        <rFont val="WenQuanYi Zen Hei"/>
        <family val="2"/>
      </rPr>
      <t xml:space="preserve">시간 보류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일별 시트 수식에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일로 들어 있다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값만 바꿔도 반영 안 됨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</si>
  <si>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첫 구매일 </t>
    </r>
    <r>
      <rPr>
        <sz val="10"/>
        <rFont val="Arial"/>
        <family val="0"/>
        <charset val="1"/>
      </rPr>
      <t xml:space="preserve">(09:00 KST </t>
    </r>
    <r>
      <rPr>
        <sz val="10"/>
        <rFont val="WenQuanYi Zen Hei"/>
        <family val="2"/>
      </rPr>
      <t xml:space="preserve">스냅샷 뒤 구매 가정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</si>
  <si>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날짜 계산용 — </t>
    </r>
    <r>
      <rPr>
        <i val="true"/>
        <sz val="9"/>
        <color rgb="FF595959"/>
        <rFont val="Arial"/>
        <family val="0"/>
        <charset val="1"/>
      </rPr>
      <t xml:space="preserve">09:00 </t>
    </r>
    <r>
      <rPr>
        <i val="true"/>
        <sz val="9"/>
        <color rgb="FF595959"/>
        <rFont val="WenQuanYi Zen Hei"/>
        <family val="2"/>
      </rPr>
      <t xml:space="preserve">전에 사면 하루 당겨진다</t>
    </r>
  </si>
  <si>
    <t xml:space="preserve">계산 규칙</t>
  </si>
  <si>
    <r>
      <rPr>
        <sz val="10"/>
        <rFont val="WenQuanYi Zen Hei"/>
        <family val="2"/>
      </rPr>
      <t xml:space="preserve">① 첫 구매일 </t>
    </r>
    <r>
      <rPr>
        <sz val="10"/>
        <rFont val="Arial"/>
        <family val="0"/>
        <charset val="1"/>
      </rPr>
      <t xml:space="preserve">= 0</t>
    </r>
    <r>
      <rPr>
        <sz val="10"/>
        <rFont val="WenQuanYi Zen Hei"/>
        <family val="2"/>
      </rPr>
      <t xml:space="preserve">일차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매일 </t>
    </r>
    <r>
      <rPr>
        <sz val="10"/>
        <rFont val="Arial"/>
        <family val="0"/>
        <charset val="1"/>
      </rPr>
      <t xml:space="preserve">09:00 KST(00:00 UTC) </t>
    </r>
    <r>
      <rPr>
        <sz val="10"/>
        <rFont val="WenQuanYi Zen Hei"/>
        <family val="2"/>
      </rPr>
      <t xml:space="preserve">스냅샷에 보유 장수 </t>
    </r>
    <r>
      <rPr>
        <sz val="10"/>
        <rFont val="Arial"/>
        <family val="0"/>
        <charset val="1"/>
      </rPr>
      <t xml:space="preserve">× 5 WLBN </t>
    </r>
    <r>
      <rPr>
        <sz val="10"/>
        <rFont val="WenQuanYi Zen Hei"/>
        <family val="2"/>
      </rPr>
      <t xml:space="preserve">이 적립된다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첫 적립 </t>
    </r>
    <r>
      <rPr>
        <sz val="10"/>
        <rFont val="Arial"/>
        <family val="0"/>
        <charset val="1"/>
      </rPr>
      <t xml:space="preserve">= 1</t>
    </r>
    <r>
      <rPr>
        <sz val="10"/>
        <rFont val="WenQuanYi Zen Hei"/>
        <family val="2"/>
      </rPr>
      <t xml:space="preserve">일차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</si>
  <si>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② 적립분은 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시간 보류 → 다음 날부터 쓸 수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쓸 수 있는 잔고가 재구매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장 값 이상이면 그날 바로 정수 장만큼 산다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상한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장까지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</si>
  <si>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③ 새로 산 장은 다음 날 스냅샷부터 적립된다</t>
    </r>
    <r>
      <rPr>
        <sz val="10"/>
        <rFont val="Arial"/>
        <family val="0"/>
        <charset val="1"/>
      </rPr>
      <t xml:space="preserve">. 3</t>
    </r>
    <r>
      <rPr>
        <sz val="10"/>
        <rFont val="WenQuanYi Zen Hei"/>
        <family val="2"/>
      </rPr>
      <t xml:space="preserve">년 창 안에서는 어떤 장도 만료되지 않는다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첫 장이 </t>
    </r>
    <r>
      <rPr>
        <sz val="10"/>
        <rFont val="Arial"/>
        <family val="0"/>
        <charset val="1"/>
      </rPr>
      <t xml:space="preserve">1,095</t>
    </r>
    <r>
      <rPr>
        <sz val="10"/>
        <rFont val="WenQuanYi Zen Hei"/>
        <family val="2"/>
      </rPr>
      <t xml:space="preserve">일차에 끝난다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</si>
  <si>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④ 「평가액」은 손에 남은 </t>
    </r>
    <r>
      <rPr>
        <sz val="10"/>
        <rFont val="Arial"/>
        <family val="0"/>
        <charset val="1"/>
      </rPr>
      <t xml:space="preserve">WLBN(</t>
    </r>
    <r>
      <rPr>
        <sz val="10"/>
        <rFont val="WenQuanYi Zen Hei"/>
        <family val="2"/>
      </rPr>
      <t xml:space="preserve">보류분 포함</t>
    </r>
    <r>
      <rPr>
        <sz val="10"/>
        <rFont val="Arial"/>
        <family val="0"/>
        <charset val="1"/>
      </rPr>
      <t xml:space="preserve">) × </t>
    </r>
    <r>
      <rPr>
        <sz val="10"/>
        <rFont val="WenQuanYi Zen Hei"/>
        <family val="2"/>
      </rPr>
      <t xml:space="preserve">가격이다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재구매에 쓴 </t>
    </r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과 이용권 자체의 남은 가치는 넣지 않는다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</si>
  <si>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요약 — 이용권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WenQuanYi Zen Hei"/>
        <family val="2"/>
      </rPr>
      <t xml:space="preserve">장</t>
    </r>
    <r>
      <rPr>
        <b val="true"/>
        <sz val="13"/>
        <rFont val="Arial"/>
        <family val="0"/>
        <charset val="1"/>
      </rPr>
      <t xml:space="preserve">(30% </t>
    </r>
    <r>
      <rPr>
        <b val="true"/>
        <sz val="13"/>
        <rFont val="WenQuanYi Zen Hei"/>
        <family val="2"/>
      </rPr>
      <t xml:space="preserve">할인</t>
    </r>
    <r>
      <rPr>
        <b val="true"/>
        <sz val="13"/>
        <rFont val="Arial"/>
        <family val="0"/>
        <charset val="1"/>
      </rPr>
      <t xml:space="preserve">) · WLBN $1.0 </t>
    </r>
    <r>
      <rPr>
        <b val="true"/>
        <sz val="13"/>
        <rFont val="WenQuanYi Zen Hei"/>
        <family val="2"/>
      </rPr>
      <t xml:space="preserve">가정 </t>
    </r>
    <r>
      <rPr>
        <b val="true"/>
        <sz val="13"/>
        <rFont val="Arial"/>
        <family val="0"/>
        <charset val="1"/>
      </rPr>
      <t xml:space="preserve">· 3</t>
    </r>
    <r>
      <rPr>
        <b val="true"/>
        <sz val="13"/>
        <rFont val="WenQuanYi Zen Hei"/>
        <family val="2"/>
      </rPr>
      <t xml:space="preserve">년</t>
    </r>
  </si>
  <si>
    <r>
      <rPr>
        <i val="true"/>
        <sz val="9"/>
        <color rgb="FF595959"/>
        <rFont val="WenQuanYi Zen Hei"/>
        <family val="2"/>
      </rPr>
      <t xml:space="preserve">내부 검토용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대외 배포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고객 안내 금지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「복리」는 적립분을 팔아 이용권을 더 사는 경우의 계산일 뿐 약속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전망이 아니다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</si>
  <si>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재구매 없이 보유</t>
  </si>
  <si>
    <r>
      <rPr>
        <b val="true"/>
        <sz val="10"/>
        <rFont val="WenQuanYi Zen Hei"/>
        <family val="2"/>
      </rPr>
      <t xml:space="preserve">재구매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복리</t>
    </r>
    <r>
      <rPr>
        <b val="true"/>
        <sz val="10"/>
        <rFont val="Arial"/>
        <family val="0"/>
        <charset val="1"/>
      </rPr>
      <t xml:space="preserve">)</t>
    </r>
  </si>
  <si>
    <t xml:space="preserve">메모</t>
  </si>
  <si>
    <r>
      <rPr>
        <sz val="10"/>
        <rFont val="WenQuanYi Zen Hei"/>
        <family val="2"/>
      </rPr>
      <t xml:space="preserve">첫 구매 원금 </t>
    </r>
    <r>
      <rPr>
        <sz val="10"/>
        <rFont val="Arial"/>
        <family val="0"/>
        <charset val="1"/>
      </rPr>
      <t xml:space="preserve">(USD)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</si>
  <si>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누적 적립 </t>
    </r>
    <r>
      <rPr>
        <sz val="10"/>
        <rFont val="Arial"/>
        <family val="0"/>
        <charset val="1"/>
      </rPr>
      <t xml:space="preserve">(WLBN)</t>
    </r>
  </si>
  <si>
    <r>
      <rPr>
        <i val="true"/>
        <sz val="9"/>
        <color rgb="FF595959"/>
        <rFont val="WenQuanYi Zen Hei"/>
        <family val="2"/>
      </rPr>
      <t xml:space="preserve">재구매 없이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장당 </t>
    </r>
    <r>
      <rPr>
        <i val="true"/>
        <sz val="9"/>
        <color rgb="FF595959"/>
        <rFont val="Arial"/>
        <family val="0"/>
        <charset val="1"/>
      </rPr>
      <t xml:space="preserve">5,475</t>
    </r>
  </si>
  <si>
    <r>
      <rPr>
        <sz val="10"/>
        <rFont val="WenQuanYi Zen Hei"/>
        <family val="2"/>
      </rPr>
      <t xml:space="preserve">재구매에 쓴 </t>
    </r>
    <r>
      <rPr>
        <sz val="10"/>
        <rFont val="Arial"/>
        <family val="0"/>
        <charset val="1"/>
      </rPr>
      <t xml:space="preserve">WLBN</t>
    </r>
  </si>
  <si>
    <r>
      <rPr>
        <i val="true"/>
        <sz val="9"/>
        <color rgb="FF595959"/>
        <rFont val="Arial"/>
        <family val="0"/>
        <charset val="1"/>
      </rPr>
      <t xml:space="preserve">WLBN </t>
    </r>
    <r>
      <rPr>
        <i val="true"/>
        <sz val="9"/>
        <color rgb="FF595959"/>
        <rFont val="WenQuanYi Zen Hei"/>
        <family val="2"/>
      </rPr>
      <t xml:space="preserve">을 팔아 </t>
    </r>
    <r>
      <rPr>
        <i val="true"/>
        <sz val="9"/>
        <color rgb="FF595959"/>
        <rFont val="Arial"/>
        <family val="0"/>
        <charset val="1"/>
      </rPr>
      <t xml:space="preserve">RLUSD </t>
    </r>
    <r>
      <rPr>
        <i val="true"/>
        <sz val="9"/>
        <color rgb="FF595959"/>
        <rFont val="WenQuanYi Zen Hei"/>
        <family val="2"/>
      </rPr>
      <t xml:space="preserve">로 산 몫</t>
    </r>
  </si>
  <si>
    <r>
      <rPr>
        <sz val="10"/>
        <rFont val="WenQuanYi Zen Hei"/>
        <family val="2"/>
      </rPr>
      <t xml:space="preserve">재구매 장수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합계</t>
    </r>
    <r>
      <rPr>
        <sz val="10"/>
        <rFont val="Arial"/>
        <family val="0"/>
        <charset val="1"/>
      </rPr>
      <t xml:space="preserve">)</t>
    </r>
  </si>
  <si>
    <t xml:space="preserve">첫 구매 제외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</si>
  <si>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끝 보유 이용권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</si>
  <si>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끝 손에 남은 </t>
    </r>
    <r>
      <rPr>
        <sz val="10"/>
        <rFont val="Arial"/>
        <family val="0"/>
        <charset val="1"/>
      </rPr>
      <t xml:space="preserve">WLBN</t>
    </r>
  </si>
  <si>
    <r>
      <rPr>
        <i val="true"/>
        <sz val="9"/>
        <color rgb="FF595959"/>
        <rFont val="WenQuanYi Zen Hei"/>
        <family val="2"/>
      </rPr>
      <t xml:space="preserve">보류분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마지막 날 적립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포함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</si>
  <si>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년 끝 평가액 </t>
    </r>
    <r>
      <rPr>
        <b val="true"/>
        <sz val="10"/>
        <rFont val="Arial"/>
        <family val="0"/>
        <charset val="1"/>
      </rPr>
      <t xml:space="preserve">(USD)</t>
    </r>
  </si>
  <si>
    <r>
      <rPr>
        <i val="true"/>
        <sz val="9"/>
        <color rgb="FF595959"/>
        <rFont val="WenQuanYi Zen Hei"/>
        <family val="2"/>
      </rPr>
      <t xml:space="preserve">손에 남은 </t>
    </r>
    <r>
      <rPr>
        <i val="true"/>
        <sz val="9"/>
        <color rgb="FF595959"/>
        <rFont val="Arial"/>
        <family val="0"/>
        <charset val="1"/>
      </rPr>
      <t xml:space="preserve">WLBN × </t>
    </r>
    <r>
      <rPr>
        <i val="true"/>
        <sz val="9"/>
        <color rgb="FF595959"/>
        <rFont val="WenQuanYi Zen Hei"/>
        <family val="2"/>
      </rPr>
      <t xml:space="preserve">가정 가격</t>
    </r>
  </si>
  <si>
    <t xml:space="preserve">원금 대비 배수</t>
  </si>
  <si>
    <r>
      <rPr>
        <sz val="10"/>
        <rFont val="WenQuanYi Zen Hei"/>
        <family val="2"/>
      </rPr>
      <t xml:space="preserve">상한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계정당 장수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도달 일차</t>
    </r>
  </si>
  <si>
    <t xml:space="preserve">-</t>
  </si>
  <si>
    <t xml:space="preserve">도달 뒤엔 더 살 수 없어 복리가 멈춘다</t>
  </si>
  <si>
    <r>
      <rPr>
        <sz val="10"/>
        <rFont val="WenQuanYi Zen Hei"/>
        <family val="2"/>
      </rPr>
      <t xml:space="preserve">상한 도달 뒤 하루 적립 </t>
    </r>
    <r>
      <rPr>
        <sz val="10"/>
        <rFont val="Arial"/>
        <family val="0"/>
        <charset val="1"/>
      </rPr>
      <t xml:space="preserve">(WLBN)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</si>
  <si>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 뒤에도 남는 적립 권리 </t>
    </r>
    <r>
      <rPr>
        <sz val="10"/>
        <rFont val="Arial"/>
        <family val="0"/>
        <charset val="1"/>
      </rPr>
      <t xml:space="preserve">(WLBN)</t>
    </r>
  </si>
  <si>
    <r>
      <rPr>
        <i val="true"/>
        <sz val="9"/>
        <color rgb="FF595959"/>
        <rFont val="WenQuanYi Zen Hei"/>
        <family val="2"/>
      </rPr>
      <t xml:space="preserve">재구매분은 산 날부터 </t>
    </r>
    <r>
      <rPr>
        <i val="true"/>
        <sz val="9"/>
        <color rgb="FF595959"/>
        <rFont val="Arial"/>
        <family val="0"/>
        <charset val="1"/>
      </rPr>
      <t xml:space="preserve">1,095</t>
    </r>
    <r>
      <rPr>
        <i val="true"/>
        <sz val="9"/>
        <color rgb="FF595959"/>
        <rFont val="WenQuanYi Zen Hei"/>
        <family val="2"/>
      </rPr>
      <t xml:space="preserve">일이라 </t>
    </r>
    <r>
      <rPr>
        <i val="true"/>
        <sz val="9"/>
        <color rgb="FF595959"/>
        <rFont val="Arial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년 창 밖으로 이어진다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평가액에 넣지 않음</t>
    </r>
    <r>
      <rPr>
        <i val="true"/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</si>
  <si>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재구매에 필요한 </t>
    </r>
    <r>
      <rPr>
        <sz val="10"/>
        <rFont val="Arial"/>
        <family val="0"/>
        <charset val="1"/>
      </rPr>
      <t xml:space="preserve">RLUSD (</t>
    </r>
    <r>
      <rPr>
        <sz val="10"/>
        <rFont val="WenQuanYi Zen Hei"/>
        <family val="2"/>
      </rPr>
      <t xml:space="preserve">합계</t>
    </r>
    <r>
      <rPr>
        <sz val="10"/>
        <rFont val="Arial"/>
        <family val="0"/>
        <charset val="1"/>
      </rPr>
      <t xml:space="preserve">)</t>
    </r>
  </si>
  <si>
    <t xml:space="preserve">현실 점검 시트의 풀 깊이와 비교</t>
  </si>
  <si>
    <t xml:space="preserve">첫 재구매 일차</t>
  </si>
  <si>
    <r>
      <rPr>
        <i val="true"/>
        <sz val="9"/>
        <color rgb="FF595959"/>
        <rFont val="WenQuanYi Zen Hei"/>
        <family val="2"/>
      </rPr>
      <t xml:space="preserve">적립분이 재구매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장 값에 닿고 </t>
    </r>
    <r>
      <rPr>
        <i val="true"/>
        <sz val="9"/>
        <color rgb="FF595959"/>
        <rFont val="Arial"/>
        <family val="0"/>
        <charset val="1"/>
      </rPr>
      <t xml:space="preserve">24</t>
    </r>
    <r>
      <rPr>
        <i val="true"/>
        <sz val="9"/>
        <color rgb="FF595959"/>
        <rFont val="WenQuanYi Zen Hei"/>
        <family val="2"/>
      </rPr>
      <t xml:space="preserve">시간 보류가 풀린 날</t>
    </r>
  </si>
  <si>
    <t xml:space="preserve">첫 재구매 날짜</t>
  </si>
  <si>
    <t xml:space="preserve">가정 시트 첫 구매일 기준</t>
  </si>
  <si>
    <t xml:space="preserve">연도별</t>
  </si>
  <si>
    <t xml:space="preserve">연차</t>
  </si>
  <si>
    <r>
      <rPr>
        <b val="true"/>
        <sz val="10"/>
        <rFont val="WenQuanYi Zen Hei"/>
        <family val="2"/>
      </rPr>
      <t xml:space="preserve">재구매 없이 누적 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</si>
  <si>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재구매 누적 적립 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</si>
  <si>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재구매 연말 손에 남은 </t>
    </r>
    <r>
      <rPr>
        <b val="true"/>
        <sz val="10"/>
        <rFont val="Arial"/>
        <family val="0"/>
        <charset val="1"/>
      </rPr>
      <t xml:space="preserve">WLBN</t>
    </r>
  </si>
  <si>
    <t xml:space="preserve">재구매 연말 보유 장수</t>
  </si>
  <si>
    <r>
      <rPr>
        <b val="true"/>
        <sz val="10"/>
        <rFont val="WenQuanYi Zen Hei"/>
        <family val="2"/>
      </rPr>
      <t xml:space="preserve">재구매 연말 평가액 </t>
    </r>
    <r>
      <rPr>
        <b val="true"/>
        <sz val="10"/>
        <rFont val="Arial"/>
        <family val="0"/>
        <charset val="1"/>
      </rPr>
      <t xml:space="preserve">USD</t>
    </r>
  </si>
  <si>
    <r>
      <rPr>
        <b val="true"/>
        <sz val="10"/>
        <rFont val="WenQuanYi Zen Hei"/>
        <family val="2"/>
      </rPr>
      <t xml:space="preserve">재구매 없이 평가액 </t>
    </r>
    <r>
      <rPr>
        <b val="true"/>
        <sz val="10"/>
        <rFont val="Arial"/>
        <family val="0"/>
        <charset val="1"/>
      </rPr>
      <t xml:space="preserve">USD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</si>
  <si>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년차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</si>
  <si>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년차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</si>
  <si>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년차</t>
    </r>
  </si>
  <si>
    <r>
      <rPr>
        <b val="true"/>
        <sz val="13"/>
        <rFont val="WenQuanYi Zen Hei"/>
        <family val="2"/>
      </rPr>
      <t xml:space="preserve">일별 계산 </t>
    </r>
    <r>
      <rPr>
        <b val="true"/>
        <sz val="13"/>
        <rFont val="Arial"/>
        <family val="0"/>
        <charset val="1"/>
      </rPr>
      <t xml:space="preserve">(1~1,095</t>
    </r>
    <r>
      <rPr>
        <b val="true"/>
        <sz val="13"/>
        <rFont val="WenQuanYi Zen Hei"/>
        <family val="2"/>
      </rPr>
      <t xml:space="preserve">일차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</si>
  <si>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모든 칸은 수식</t>
    </r>
    <r>
      <rPr>
        <i val="true"/>
        <sz val="9"/>
        <color rgb="FF595959"/>
        <rFont val="Arial"/>
        <family val="0"/>
        <charset val="1"/>
      </rPr>
      <t xml:space="preserve">. 0</t>
    </r>
    <r>
      <rPr>
        <i val="true"/>
        <sz val="9"/>
        <color rgb="FF595959"/>
        <rFont val="WenQuanYi Zen Hei"/>
        <family val="2"/>
      </rPr>
      <t xml:space="preserve">일차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첫 구매일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</si>
  <si>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일차</t>
  </si>
  <si>
    <t xml:space="preserve">월</t>
  </si>
  <si>
    <r>
      <rPr>
        <b val="true"/>
        <sz val="10"/>
        <rFont val="WenQuanYi Zen Hei"/>
        <family val="2"/>
      </rPr>
      <t xml:space="preserve">보유 이용권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그날 적립 대상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</si>
  <si>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그날 적립
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</si>
  <si>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쓸 수 있는 잔고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재구매 전</t>
    </r>
    <r>
      <rPr>
        <b val="true"/>
        <sz val="10"/>
        <rFont val="Arial"/>
        <family val="0"/>
        <charset val="1"/>
      </rPr>
      <t xml:space="preserve">)</t>
    </r>
  </si>
  <si>
    <t xml:space="preserve">재구매 장수</t>
  </si>
  <si>
    <r>
      <rPr>
        <b val="true"/>
        <sz val="10"/>
        <rFont val="WenQuanYi Zen Hei"/>
        <family val="2"/>
      </rPr>
      <t xml:space="preserve">재구매에 쓴
</t>
    </r>
    <r>
      <rPr>
        <b val="true"/>
        <sz val="10"/>
        <rFont val="Arial"/>
        <family val="0"/>
        <charset val="1"/>
      </rPr>
      <t xml:space="preserve">WLBN</t>
    </r>
  </si>
  <si>
    <t xml:space="preserve">그날 끝
미사용 잔고</t>
  </si>
  <si>
    <r>
      <rPr>
        <b val="true"/>
        <sz val="10"/>
        <rFont val="WenQuanYi Zen Hei"/>
        <family val="2"/>
      </rPr>
      <t xml:space="preserve">누적 적립
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</si>
  <si>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평가액 </t>
    </r>
    <r>
      <rPr>
        <b val="true"/>
        <sz val="10"/>
        <rFont val="Arial"/>
        <family val="0"/>
        <charset val="1"/>
      </rPr>
      <t xml:space="preserve">USD
(</t>
    </r>
    <r>
      <rPr>
        <b val="true"/>
        <sz val="10"/>
        <rFont val="WenQuanYi Zen Hei"/>
        <family val="2"/>
      </rPr>
      <t xml:space="preserve">잔고</t>
    </r>
    <r>
      <rPr>
        <b val="true"/>
        <sz val="10"/>
        <rFont val="Arial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보류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</si>
  <si>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재구매 없이
누적 </t>
    </r>
    <r>
      <rPr>
        <b val="true"/>
        <sz val="10"/>
        <rFont val="Arial"/>
        <family val="0"/>
        <charset val="1"/>
      </rPr>
      <t xml:space="preserve">WLBN</t>
    </r>
  </si>
  <si>
    <t xml:space="preserve">재구매 뒤
보유 장수</t>
  </si>
  <si>
    <r>
      <rPr>
        <b val="true"/>
        <sz val="13"/>
        <rFont val="WenQuanYi Zen Hei"/>
        <family val="2"/>
      </rPr>
      <t xml:space="preserve">월별 표 </t>
    </r>
    <r>
      <rPr>
        <b val="true"/>
        <sz val="13"/>
        <rFont val="Arial"/>
        <family val="0"/>
        <charset val="1"/>
      </rPr>
      <t xml:space="preserve">(36</t>
    </r>
    <r>
      <rPr>
        <b val="true"/>
        <sz val="13"/>
        <rFont val="WenQuanYi Zen Hei"/>
        <family val="2"/>
      </rPr>
      <t xml:space="preserve">개월 </t>
    </r>
    <r>
      <rPr>
        <b val="true"/>
        <sz val="13"/>
        <rFont val="Arial"/>
        <family val="0"/>
        <charset val="1"/>
      </rPr>
      <t xml:space="preserve">· 1,095</t>
    </r>
    <r>
      <rPr>
        <b val="true"/>
        <sz val="13"/>
        <rFont val="WenQuanYi Zen Hei"/>
        <family val="2"/>
      </rPr>
      <t xml:space="preserve">일을 </t>
    </r>
    <r>
      <rPr>
        <b val="true"/>
        <sz val="13"/>
        <rFont val="Arial"/>
        <family val="0"/>
        <charset val="1"/>
      </rPr>
      <t xml:space="preserve">36</t>
    </r>
    <r>
      <rPr>
        <b val="true"/>
        <sz val="13"/>
        <rFont val="WenQuanYi Zen Hei"/>
        <family val="2"/>
      </rPr>
      <t xml:space="preserve">등분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</si>
  <si>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WLBN </t>
    </r>
    <r>
      <rPr>
        <i val="true"/>
        <sz val="9"/>
        <color rgb="FF595959"/>
        <rFont val="WenQuanYi Zen Hei"/>
        <family val="2"/>
      </rPr>
      <t xml:space="preserve">가격은 가정 시트 </t>
    </r>
    <r>
      <rPr>
        <i val="true"/>
        <sz val="9"/>
        <color rgb="FF595959"/>
        <rFont val="Arial"/>
        <family val="0"/>
        <charset val="1"/>
      </rPr>
      <t xml:space="preserve">B10. </t>
    </r>
    <r>
      <rPr>
        <i val="true"/>
        <sz val="9"/>
        <color rgb="FF595959"/>
        <rFont val="WenQuanYi Zen Hei"/>
        <family val="2"/>
      </rPr>
      <t xml:space="preserve">「평가액」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손에 남은 </t>
    </r>
    <r>
      <rPr>
        <i val="true"/>
        <sz val="9"/>
        <color rgb="FF595959"/>
        <rFont val="Arial"/>
        <family val="0"/>
        <charset val="1"/>
      </rPr>
      <t xml:space="preserve">WLBN × </t>
    </r>
    <r>
      <rPr>
        <i val="true"/>
        <sz val="9"/>
        <color rgb="FF595959"/>
        <rFont val="WenQuanYi Zen Hei"/>
        <family val="2"/>
      </rPr>
      <t xml:space="preserve">가격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재구매에 쓴 몫 </t>
    </r>
    <r>
      <rPr>
        <i val="true"/>
        <sz val="9"/>
        <color rgb="FF595959"/>
        <rFont val="Arial"/>
        <family val="0"/>
        <charset val="1"/>
      </rPr>
      <t xml:space="preserve">· </t>
    </r>
    <r>
      <rPr>
        <i val="true"/>
        <sz val="9"/>
        <color rgb="FF595959"/>
        <rFont val="WenQuanYi Zen Hei"/>
        <family val="2"/>
      </rPr>
      <t xml:space="preserve">이용권 자체 가치 제외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</si>
  <si>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끝 일차</t>
  </si>
  <si>
    <t xml:space="preserve">시작 일차</t>
  </si>
  <si>
    <r>
      <rPr>
        <b val="true"/>
        <sz val="10"/>
        <rFont val="WenQuanYi Zen Hei"/>
        <family val="2"/>
      </rPr>
      <t xml:space="preserve">월말 보유
이용권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장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</si>
  <si>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그 달 적립
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</si>
  <si>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그 달
재구매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장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</si>
  <si>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월말 손에 남은
</t>
    </r>
    <r>
      <rPr>
        <b val="true"/>
        <sz val="10"/>
        <rFont val="Arial"/>
        <family val="0"/>
        <charset val="1"/>
      </rPr>
      <t xml:space="preserve">WLBN</t>
    </r>
  </si>
  <si>
    <r>
      <rPr>
        <b val="true"/>
        <sz val="10"/>
        <rFont val="WenQuanYi Zen Hei"/>
        <family val="2"/>
      </rPr>
      <t xml:space="preserve">월말 평가액
</t>
    </r>
    <r>
      <rPr>
        <b val="true"/>
        <sz val="10"/>
        <rFont val="Arial"/>
        <family val="0"/>
        <charset val="1"/>
      </rPr>
      <t xml:space="preserve">USD</t>
    </r>
  </si>
  <si>
    <r>
      <rPr>
        <b val="true"/>
        <sz val="10"/>
        <rFont val="WenQuanYi Zen Hei"/>
        <family val="2"/>
      </rPr>
      <t xml:space="preserve">재구매 없이
평가액 </t>
    </r>
    <r>
      <rPr>
        <b val="true"/>
        <sz val="10"/>
        <rFont val="Arial"/>
        <family val="0"/>
        <charset val="1"/>
      </rPr>
      <t xml:space="preserve">USD</t>
    </r>
  </si>
  <si>
    <r>
      <rPr>
        <b val="true"/>
        <sz val="10"/>
        <rFont val="WenQuanYi Zen Hei"/>
        <family val="2"/>
      </rPr>
      <t xml:space="preserve">원금 대비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재구매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</si>
  <si>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원금 대비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재구매 없이</t>
    </r>
    <r>
      <rPr>
        <b val="true"/>
        <sz val="10"/>
        <rFont val="Arial"/>
        <family val="0"/>
        <charset val="1"/>
      </rPr>
      <t xml:space="preserve">)</t>
    </r>
  </si>
  <si>
    <t xml:space="preserve">현실 점검 — 이 계산이 실제로 성립하려면</t>
  </si>
  <si>
    <r>
      <rPr>
        <i val="true"/>
        <sz val="9"/>
        <color rgb="FF595959"/>
        <rFont val="WenQuanYi Zen Hei"/>
        <family val="2"/>
      </rPr>
      <t xml:space="preserve">계산은 「재구매가 언제든 같은 조건으로 된다」고 둔 것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아래가 하나라도 막히면 복리는 그만큼 줄거나 멈춘다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</si>
  <si>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설명</t>
  </si>
  <si>
    <r>
      <rPr>
        <sz val="10"/>
        <rFont val="Arial"/>
        <family val="0"/>
        <charset val="1"/>
      </rPr>
      <t xml:space="preserve">10/14 AMM </t>
    </r>
    <r>
      <rPr>
        <sz val="10"/>
        <rFont val="WenQuanYi Zen Hei"/>
        <family val="2"/>
      </rPr>
      <t xml:space="preserve">풀 </t>
    </r>
    <r>
      <rPr>
        <sz val="10"/>
        <rFont val="Arial"/>
        <family val="0"/>
        <charset val="1"/>
      </rPr>
      <t xml:space="preserve">RLUSD </t>
    </r>
    <r>
      <rPr>
        <sz val="10"/>
        <rFont val="WenQuanYi Zen Hei"/>
        <family val="2"/>
      </rPr>
      <t xml:space="preserve">잔고</t>
    </r>
  </si>
  <si>
    <r>
      <rPr>
        <i val="true"/>
        <sz val="9"/>
        <color rgb="FF595959"/>
        <rFont val="Arial"/>
        <family val="0"/>
        <charset val="1"/>
      </rPr>
      <t xml:space="preserve">XRPL </t>
    </r>
    <r>
      <rPr>
        <i val="true"/>
        <sz val="9"/>
        <color rgb="FF595959"/>
        <rFont val="WenQuanYi Zen Hei"/>
        <family val="2"/>
      </rPr>
      <t xml:space="preserve">탐색기 화면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정본 </t>
    </r>
    <r>
      <rPr>
        <i val="true"/>
        <sz val="9"/>
        <color rgb="FF595959"/>
        <rFont val="Arial"/>
        <family val="0"/>
        <charset val="1"/>
      </rPr>
      <t xml:space="preserve">§8) — </t>
    </r>
    <r>
      <rPr>
        <i val="true"/>
        <sz val="9"/>
        <color rgb="FF595959"/>
        <rFont val="WenQuanYi Zen Hei"/>
        <family val="2"/>
      </rPr>
      <t xml:space="preserve">가정 아닌 그날 값</t>
    </r>
  </si>
  <si>
    <r>
      <rPr>
        <sz val="10"/>
        <rFont val="Arial"/>
        <family val="0"/>
        <charset val="1"/>
      </rPr>
      <t xml:space="preserve">10/14 AMM </t>
    </r>
    <r>
      <rPr>
        <sz val="10"/>
        <rFont val="WenQuanYi Zen Hei"/>
        <family val="2"/>
      </rPr>
      <t xml:space="preserve">풀 </t>
    </r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잔고</t>
    </r>
  </si>
  <si>
    <t xml:space="preserve">같은 화면</t>
  </si>
  <si>
    <r>
      <rPr>
        <sz val="10"/>
        <rFont val="WenQuanYi Zen Hei"/>
        <family val="2"/>
      </rPr>
      <t xml:space="preserve">풀 화면 가격 </t>
    </r>
    <r>
      <rPr>
        <sz val="10"/>
        <rFont val="Arial"/>
        <family val="0"/>
        <charset val="1"/>
      </rPr>
      <t xml:space="preserve">(RLUSD / WLBN)</t>
    </r>
  </si>
  <si>
    <r>
      <rPr>
        <i val="true"/>
        <sz val="9"/>
        <color rgb="FF595959"/>
        <rFont val="WenQuanYi Zen Hei"/>
        <family val="2"/>
      </rPr>
      <t xml:space="preserve">시트 가정</t>
    </r>
    <r>
      <rPr>
        <i val="true"/>
        <sz val="9"/>
        <color rgb="FF595959"/>
        <rFont val="Arial"/>
        <family val="0"/>
        <charset val="1"/>
      </rPr>
      <t xml:space="preserve">($1.0)</t>
    </r>
    <r>
      <rPr>
        <i val="true"/>
        <sz val="9"/>
        <color rgb="FF595959"/>
        <rFont val="WenQuanYi Zen Hei"/>
        <family val="2"/>
      </rPr>
      <t xml:space="preserve">의 절반 아래</t>
    </r>
  </si>
  <si>
    <r>
      <rPr>
        <sz val="10"/>
        <rFont val="WenQuanYi Zen Hei"/>
        <family val="2"/>
      </rPr>
      <t xml:space="preserve">재구매에 필요한 </t>
    </r>
    <r>
      <rPr>
        <sz val="10"/>
        <rFont val="Arial"/>
        <family val="0"/>
        <charset val="1"/>
      </rPr>
      <t xml:space="preserve">RLUSD (</t>
    </r>
    <r>
      <rPr>
        <sz val="10"/>
        <rFont val="WenQuanYi Zen Hei"/>
        <family val="2"/>
      </rPr>
      <t xml:space="preserve">요약</t>
    </r>
    <r>
      <rPr>
        <sz val="10"/>
        <rFont val="Arial"/>
        <family val="0"/>
        <charset val="1"/>
      </rPr>
      <t xml:space="preserve">)</t>
    </r>
  </si>
  <si>
    <t xml:space="preserve">요약 시트에서</t>
  </si>
  <si>
    <r>
      <rPr>
        <sz val="10"/>
        <rFont val="WenQuanYi Zen Hei"/>
        <family val="2"/>
      </rPr>
      <t xml:space="preserve">그 </t>
    </r>
    <r>
      <rPr>
        <sz val="10"/>
        <rFont val="Arial"/>
        <family val="0"/>
        <charset val="1"/>
      </rPr>
      <t xml:space="preserve">RLUSD </t>
    </r>
    <r>
      <rPr>
        <sz val="10"/>
        <rFont val="WenQuanYi Zen Hei"/>
        <family val="2"/>
      </rPr>
      <t xml:space="preserve">가 풀 </t>
    </r>
    <r>
      <rPr>
        <sz val="10"/>
        <rFont val="Arial"/>
        <family val="0"/>
        <charset val="1"/>
      </rPr>
      <t xml:space="preserve">RLUSD </t>
    </r>
    <r>
      <rPr>
        <sz val="10"/>
        <rFont val="WenQuanYi Zen Hei"/>
        <family val="2"/>
      </rPr>
      <t xml:space="preserve">에서 차지하는 비율</t>
    </r>
  </si>
  <si>
    <t xml:space="preserve">한 번에 빼면 가격이 크게 밀린다</t>
  </si>
  <si>
    <r>
      <rPr>
        <sz val="10"/>
        <rFont val="WenQuanYi Zen Hei"/>
        <family val="2"/>
      </rPr>
      <t xml:space="preserve">한 번에 바꾼다면 필요한 </t>
    </r>
    <r>
      <rPr>
        <sz val="10"/>
        <rFont val="Arial"/>
        <family val="0"/>
        <charset val="1"/>
      </rPr>
      <t xml:space="preserve">WLBN (</t>
    </r>
    <r>
      <rPr>
        <sz val="10"/>
        <rFont val="WenQuanYi Zen Hei"/>
        <family val="2"/>
      </rPr>
      <t xml:space="preserve">상수곱 풀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</si>
  <si>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y = R_r · x(1−f) / (R_w + x(1−f)) </t>
    </r>
    <r>
      <rPr>
        <i val="true"/>
        <sz val="9"/>
        <color rgb="FF595959"/>
        <rFont val="WenQuanYi Zen Hei"/>
        <family val="2"/>
      </rPr>
      <t xml:space="preserve">를 </t>
    </r>
    <r>
      <rPr>
        <i val="true"/>
        <sz val="9"/>
        <color rgb="FF595959"/>
        <rFont val="Arial"/>
        <family val="0"/>
        <charset val="1"/>
      </rPr>
      <t xml:space="preserve">x </t>
    </r>
    <r>
      <rPr>
        <i val="true"/>
        <sz val="9"/>
        <color rgb="FF595959"/>
        <rFont val="WenQuanYi Zen Hei"/>
        <family val="2"/>
      </rPr>
      <t xml:space="preserve">로 푼 값</t>
    </r>
  </si>
  <si>
    <r>
      <rPr>
        <sz val="10"/>
        <rFont val="WenQuanYi Zen Hei"/>
        <family val="2"/>
      </rPr>
      <t xml:space="preserve">그때 평균 교환가 </t>
    </r>
    <r>
      <rPr>
        <sz val="10"/>
        <rFont val="Arial"/>
        <family val="0"/>
        <charset val="1"/>
      </rPr>
      <t xml:space="preserve">(RLUSD / WLBN)</t>
    </r>
  </si>
  <si>
    <t xml:space="preserve">화면 가격 대비 얼마나 손해인지</t>
  </si>
  <si>
    <r>
      <rPr>
        <sz val="10"/>
        <rFont val="WenQuanYi Zen Hei"/>
        <family val="2"/>
      </rPr>
      <t xml:space="preserve">평균 교환가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화면 가격</t>
    </r>
  </si>
  <si>
    <r>
      <rPr>
        <i val="true"/>
        <sz val="9"/>
        <color rgb="FF595959"/>
        <rFont val="Arial"/>
        <family val="0"/>
        <charset val="1"/>
      </rPr>
      <t xml:space="preserve">100% </t>
    </r>
    <r>
      <rPr>
        <i val="true"/>
        <sz val="9"/>
        <color rgb="FF595959"/>
        <rFont val="WenQuanYi Zen Hei"/>
        <family val="2"/>
      </rPr>
      <t xml:space="preserve">보다 낮을수록 가격 영향이 크다</t>
    </r>
  </si>
  <si>
    <r>
      <rPr>
        <sz val="10"/>
        <rFont val="WenQuanYi Zen Hei"/>
        <family val="2"/>
      </rPr>
      <t xml:space="preserve">발행 총량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</si>
  <si>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정본 </t>
    </r>
    <r>
      <rPr>
        <i val="true"/>
        <sz val="9"/>
        <color rgb="FF595959"/>
        <rFont val="Arial"/>
        <family val="0"/>
        <charset val="1"/>
      </rPr>
      <t xml:space="preserve">§4-1 — </t>
    </r>
    <r>
      <rPr>
        <i val="true"/>
        <sz val="9"/>
        <color rgb="FF595959"/>
        <rFont val="WenQuanYi Zen Hei"/>
        <family val="2"/>
      </rPr>
      <t xml:space="preserve">완판 시 재구매 불가</t>
    </r>
  </si>
  <si>
    <r>
      <rPr>
        <sz val="10"/>
        <rFont val="Arial"/>
        <family val="0"/>
        <charset val="1"/>
      </rPr>
      <t xml:space="preserve">10/12 </t>
    </r>
    <r>
      <rPr>
        <sz val="10"/>
        <rFont val="WenQuanYi Zen Hei"/>
        <family val="2"/>
      </rPr>
      <t xml:space="preserve">화면 판매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</si>
  <si>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t xml:space="preserve">한 계정이 상한까지 사면 총량 대비</t>
  </si>
  <si>
    <r>
      <rPr>
        <i val="true"/>
        <sz val="9"/>
        <color rgb="FF595959"/>
        <rFont val="WenQuanYi Zen Hei"/>
        <family val="2"/>
      </rPr>
      <t xml:space="preserve">한 사람이 전체의 </t>
    </r>
    <r>
      <rPr>
        <i val="true"/>
        <sz val="9"/>
        <color rgb="FF595959"/>
        <rFont val="Arial"/>
        <family val="0"/>
        <charset val="1"/>
      </rPr>
      <t xml:space="preserve">2.5%</t>
    </r>
  </si>
  <si>
    <t xml:space="preserve">막히는 지점</t>
  </si>
  <si>
    <r>
      <rPr>
        <sz val="10"/>
        <rFont val="WenQuanYi Zen Hei"/>
        <family val="2"/>
      </rPr>
      <t xml:space="preserve">① 교환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이용권은 </t>
    </r>
    <r>
      <rPr>
        <sz val="10"/>
        <rFont val="Arial"/>
        <family val="0"/>
        <charset val="1"/>
      </rPr>
      <t xml:space="preserve">RLUSD </t>
    </r>
    <r>
      <rPr>
        <sz val="10"/>
        <rFont val="WenQuanYi Zen Hei"/>
        <family val="2"/>
      </rPr>
      <t xml:space="preserve">결제만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정본 </t>
    </r>
    <r>
      <rPr>
        <sz val="10"/>
        <rFont val="Arial"/>
        <family val="0"/>
        <charset val="1"/>
      </rPr>
      <t xml:space="preserve">§4-1) → </t>
    </r>
    <r>
      <rPr>
        <sz val="10"/>
        <rFont val="WenQuanYi Zen Hei"/>
        <family val="2"/>
      </rPr>
      <t xml:space="preserve">재구매하려면 </t>
    </r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을 </t>
    </r>
    <r>
      <rPr>
        <sz val="10"/>
        <rFont val="Arial"/>
        <family val="0"/>
        <charset val="1"/>
      </rPr>
      <t xml:space="preserve">RLUSD </t>
    </r>
    <r>
      <rPr>
        <sz val="10"/>
        <rFont val="WenQuanYi Zen Hei"/>
        <family val="2"/>
      </rPr>
      <t xml:space="preserve">로 바꿔야 한다</t>
    </r>
    <r>
      <rPr>
        <sz val="10"/>
        <rFont val="Arial"/>
        <family val="0"/>
        <charset val="1"/>
      </rPr>
      <t xml:space="preserve">. 10/16 </t>
    </r>
    <r>
      <rPr>
        <sz val="10"/>
        <rFont val="WenQuanYi Zen Hei"/>
        <family val="2"/>
      </rPr>
      <t xml:space="preserve">서우 확인 — 교환 정상 작동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재구매는 보유자 선택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남은 것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사이트 문구</t>
    </r>
    <r>
      <rPr>
        <sz val="10"/>
        <rFont val="Arial"/>
        <family val="0"/>
        <charset val="1"/>
      </rPr>
      <t xml:space="preserve">(G4 </t>
    </r>
    <r>
      <rPr>
        <sz val="10"/>
        <rFont val="WenQuanYi Zen Hei"/>
        <family val="2"/>
      </rPr>
      <t xml:space="preserve">전 거래 금지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라이브 풀의 정리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정본 </t>
    </r>
    <r>
      <rPr>
        <sz val="10"/>
        <rFont val="Arial"/>
        <family val="0"/>
        <charset val="1"/>
      </rPr>
      <t xml:space="preserve">§8).</t>
    </r>
  </si>
  <si>
    <r>
      <rPr>
        <sz val="10"/>
        <rFont val="WenQuanYi Zen Hei"/>
        <family val="2"/>
      </rPr>
      <t xml:space="preserve">② 출금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클레임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적립분이 계정 포인트로만 쌓이는 단계면</t>
    </r>
    <r>
      <rPr>
        <sz val="10"/>
        <rFont val="Arial"/>
        <family val="0"/>
        <charset val="1"/>
      </rPr>
      <t xml:space="preserve">(FAQ </t>
    </r>
    <r>
      <rPr>
        <sz val="10"/>
        <rFont val="WenQuanYi Zen Hei"/>
        <family val="2"/>
      </rPr>
      <t xml:space="preserve">「출금 개시 전 계정 포인트」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지갑으로 꺼내 팔 수 없다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정본 </t>
    </r>
    <r>
      <rPr>
        <sz val="10"/>
        <rFont val="Arial"/>
        <family val="0"/>
        <charset val="1"/>
      </rPr>
      <t xml:space="preserve">§4-1 </t>
    </r>
    <r>
      <rPr>
        <sz val="10"/>
        <rFont val="WenQuanYi Zen Hei"/>
        <family val="2"/>
      </rPr>
      <t xml:space="preserve">확인 필요 ②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</si>
  <si>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③ 가격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시트는 </t>
    </r>
    <r>
      <rPr>
        <sz val="10"/>
        <rFont val="Arial"/>
        <family val="0"/>
        <charset val="1"/>
      </rPr>
      <t xml:space="preserve">WLBN $1.0 </t>
    </r>
    <r>
      <rPr>
        <sz val="10"/>
        <rFont val="WenQuanYi Zen Hei"/>
        <family val="2"/>
      </rPr>
      <t xml:space="preserve">을 고정으로 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재구매가 늘수록 같은 사람이 계속 파는 쪽이라 가격을 누른다 — 고정 가격은 낙관 쪽 가정이다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</si>
  <si>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④ 할인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첫 구매 </t>
    </r>
    <r>
      <rPr>
        <sz val="10"/>
        <rFont val="Arial"/>
        <family val="0"/>
        <charset val="1"/>
      </rPr>
      <t xml:space="preserve">30% </t>
    </r>
    <r>
      <rPr>
        <sz val="10"/>
        <rFont val="WenQuanYi Zen Hei"/>
        <family val="2"/>
      </rPr>
      <t xml:space="preserve">할인이 재구매에도 된다고 뒀다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할인 코드 조건이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· 1</t>
    </r>
    <r>
      <rPr>
        <sz val="10"/>
        <rFont val="WenQuanYi Zen Hei"/>
        <family val="2"/>
      </rPr>
      <t xml:space="preserve">인이면 재구매 단가는 </t>
    </r>
    <r>
      <rPr>
        <sz val="10"/>
        <rFont val="Arial"/>
        <family val="0"/>
        <charset val="1"/>
      </rPr>
      <t xml:space="preserve">380 → </t>
    </r>
    <r>
      <rPr>
        <sz val="10"/>
        <rFont val="WenQuanYi Zen Hei"/>
        <family val="2"/>
      </rPr>
      <t xml:space="preserve">필요한 </t>
    </r>
    <r>
      <rPr>
        <sz val="10"/>
        <rFont val="Arial"/>
        <family val="0"/>
        <charset val="1"/>
      </rPr>
      <t xml:space="preserve">WLBN </t>
    </r>
    <r>
      <rPr>
        <sz val="10"/>
        <rFont val="WenQuanYi Zen Hei"/>
        <family val="2"/>
      </rPr>
      <t xml:space="preserve">이 약 </t>
    </r>
    <r>
      <rPr>
        <sz val="10"/>
        <rFont val="Arial"/>
        <family val="0"/>
        <charset val="1"/>
      </rPr>
      <t xml:space="preserve">1.4</t>
    </r>
    <r>
      <rPr>
        <sz val="10"/>
        <rFont val="WenQuanYi Zen Hei"/>
        <family val="2"/>
      </rPr>
      <t xml:space="preserve">배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</si>
  <si>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⑤ 수량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발행 </t>
    </r>
    <r>
      <rPr>
        <sz val="10"/>
        <rFont val="Arial"/>
        <family val="0"/>
        <charset val="1"/>
      </rPr>
      <t xml:space="preserve">4,000</t>
    </r>
    <r>
      <rPr>
        <sz val="10"/>
        <rFont val="WenQuanYi Zen Hei"/>
        <family val="2"/>
      </rPr>
      <t xml:space="preserve">장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계정당 </t>
    </r>
    <r>
      <rPr>
        <sz val="10"/>
        <rFont val="Arial"/>
        <family val="0"/>
        <charset val="1"/>
      </rPr>
      <t xml:space="preserve">100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매진되면 재구매 불가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상한 도달 뒤엔 복리가 멈추고 하루 </t>
    </r>
    <r>
      <rPr>
        <sz val="10"/>
        <rFont val="Arial"/>
        <family val="0"/>
        <charset val="1"/>
      </rPr>
      <t xml:space="preserve">500 WLBN </t>
    </r>
    <r>
      <rPr>
        <sz val="10"/>
        <rFont val="WenQuanYi Zen Hei"/>
        <family val="2"/>
      </rPr>
      <t xml:space="preserve">고정 적립만 남는다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</si>
  <si>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⑥ 용도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이용권은 </t>
    </r>
    <r>
      <rPr>
        <sz val="10"/>
        <rFont val="Arial"/>
        <family val="0"/>
        <charset val="1"/>
      </rPr>
      <t xml:space="preserve">AI </t>
    </r>
    <r>
      <rPr>
        <sz val="10"/>
        <rFont val="WenQuanYi Zen Hei"/>
        <family val="2"/>
      </rPr>
      <t xml:space="preserve">팩토리 콘텐츠 결제용이고 결제에 쓴 토큰은 소각된다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「적립분 팔아 이용권 더 사기」는 상품 설계 의도 밖의 사용이다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</si>
  <si>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⑦ 세금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규제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적립 시점 소득 과세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투자 권유 해당 여부는 세무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카운슬 확인 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「복리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수익률 </t>
    </r>
    <r>
      <rPr>
        <sz val="10"/>
        <rFont val="Arial"/>
        <family val="0"/>
        <charset val="1"/>
      </rPr>
      <t xml:space="preserve">· </t>
    </r>
    <r>
      <rPr>
        <sz val="10"/>
        <rFont val="WenQuanYi Zen Hei"/>
        <family val="2"/>
      </rPr>
      <t xml:space="preserve">월 ○달러」 표현은 대외 금지</t>
    </r>
    <r>
      <rPr>
        <sz val="10"/>
        <rFont val="Arial"/>
        <family val="0"/>
        <charset val="1"/>
      </rPr>
      <t xml:space="preserve">(playbook).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</si>
</sst>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;\(0.0%\);\-"/>
    <numFmt numFmtId="167" formatCode="#,##0.00;\(#,##0.00\);\-"/>
    <numFmt numFmtId="168" formatCode="\$#,##0.00;&quot;($&quot;#,##0.00\);\-"/>
    <numFmt numFmtId="169" formatCode="yyyy\-mm\-dd"/>
    <numFmt numFmtId="170" formatCode="\$#,##0;&quot;($&quot;#,##0\);\-"/>
    <numFmt numFmtId="171" formatCode="0.0\x;\(0.0&quot;x)&quot;;\-"/>
    <numFmt numFmtId="172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380</v>
      </c>
      <c r="C4" s="2" t="s">
        <v>6</v>
      </c>
    </row>
    <row r="5" customFormat="false" ht="15" hidden="false" customHeight="false" outlineLevel="0" collapsed="false">
      <c r="A5" s="4" t="s">
        <v>7</v>
      </c>
      <c r="B5" s="6" t="n">
        <v>0.3</v>
      </c>
      <c r="C5" s="2" t="s">
        <v>8</v>
      </c>
    </row>
    <row r="6" customFormat="false" ht="15" hidden="false" customHeight="false" outlineLevel="0" collapsed="false">
      <c r="A6" s="4" t="s">
        <v>9</v>
      </c>
      <c r="B6" s="7" t="n">
        <f aca="false">B4*(1-B5)</f>
        <v>266</v>
      </c>
      <c r="C6" s="2" t="s">
        <v>10</v>
      </c>
    </row>
    <row r="7" customFormat="false" ht="15" hidden="false" customHeight="false" outlineLevel="0" collapsed="false">
      <c r="A7" s="4" t="s">
        <v>11</v>
      </c>
      <c r="B7" s="5" t="n">
        <v>1</v>
      </c>
      <c r="C7" s="2" t="s">
        <v>8</v>
      </c>
    </row>
    <row r="8" customFormat="false" ht="15" hidden="false" customHeight="false" outlineLevel="0" collapsed="false">
      <c r="A8" s="4" t="s">
        <v>12</v>
      </c>
      <c r="B8" s="5" t="n">
        <v>5</v>
      </c>
      <c r="C8" s="2" t="s">
        <v>13</v>
      </c>
    </row>
    <row r="9" customFormat="false" ht="15" hidden="false" customHeight="false" outlineLevel="0" collapsed="false">
      <c r="A9" s="4" t="s">
        <v>14</v>
      </c>
      <c r="B9" s="5" t="n">
        <v>1095</v>
      </c>
      <c r="C9" s="2" t="s">
        <v>15</v>
      </c>
    </row>
    <row r="10" customFormat="false" ht="15" hidden="false" customHeight="false" outlineLevel="0" collapsed="false">
      <c r="A10" s="8" t="s">
        <v>16</v>
      </c>
      <c r="B10" s="9" t="n">
        <v>1</v>
      </c>
      <c r="C10" s="2" t="s">
        <v>17</v>
      </c>
    </row>
    <row r="11" customFormat="false" ht="15" hidden="false" customHeight="false" outlineLevel="0" collapsed="false">
      <c r="A11" s="4" t="s">
        <v>18</v>
      </c>
      <c r="B11" s="5" t="n">
        <v>1</v>
      </c>
      <c r="C11" s="10" t="s">
        <v>19</v>
      </c>
    </row>
    <row r="12" customFormat="false" ht="15" hidden="false" customHeight="false" outlineLevel="0" collapsed="false">
      <c r="A12" s="4" t="s">
        <v>20</v>
      </c>
      <c r="B12" s="6" t="n">
        <v>0.3</v>
      </c>
      <c r="C12" s="2" t="s">
        <v>21</v>
      </c>
    </row>
    <row r="13" customFormat="false" ht="15" hidden="false" customHeight="false" outlineLevel="0" collapsed="false">
      <c r="A13" s="4" t="s">
        <v>22</v>
      </c>
      <c r="B13" s="7" t="n">
        <f aca="false">B4*(1-B12)</f>
        <v>266</v>
      </c>
      <c r="C13" s="2" t="s">
        <v>23</v>
      </c>
    </row>
    <row r="14" customFormat="false" ht="15" hidden="false" customHeight="false" outlineLevel="0" collapsed="false">
      <c r="A14" s="4" t="s">
        <v>24</v>
      </c>
      <c r="B14" s="6" t="n">
        <v>0.005</v>
      </c>
      <c r="C14" s="10" t="s">
        <v>25</v>
      </c>
    </row>
    <row r="15" customFormat="false" ht="15" hidden="false" customHeight="false" outlineLevel="0" collapsed="false">
      <c r="A15" s="4" t="s">
        <v>26</v>
      </c>
      <c r="B15" s="6" t="n">
        <v>0</v>
      </c>
      <c r="C15" s="10" t="s">
        <v>27</v>
      </c>
    </row>
    <row r="16" customFormat="false" ht="15" hidden="false" customHeight="false" outlineLevel="0" collapsed="false">
      <c r="A16" s="4" t="s">
        <v>28</v>
      </c>
      <c r="B16" s="5" t="n">
        <v>100</v>
      </c>
      <c r="C16" s="2" t="s">
        <v>29</v>
      </c>
    </row>
    <row r="17" customFormat="false" ht="15" hidden="false" customHeight="false" outlineLevel="0" collapsed="false">
      <c r="A17" s="4" t="s">
        <v>30</v>
      </c>
      <c r="B17" s="7" t="n">
        <f aca="false">B13/(B10*(1-B14)*(1-B15))</f>
        <v>267.336683417085</v>
      </c>
      <c r="C17" s="2" t="s">
        <v>31</v>
      </c>
    </row>
    <row r="18" customFormat="false" ht="15" hidden="false" customHeight="false" outlineLevel="0" collapsed="false">
      <c r="A18" s="4" t="s">
        <v>32</v>
      </c>
      <c r="B18" s="11" t="n">
        <v>1</v>
      </c>
      <c r="C18" s="2" t="s">
        <v>33</v>
      </c>
    </row>
    <row r="19" customFormat="false" ht="15" hidden="false" customHeight="false" outlineLevel="0" collapsed="false">
      <c r="A19" s="4" t="s">
        <v>34</v>
      </c>
      <c r="B19" s="12" t="n">
        <v>46311</v>
      </c>
      <c r="C19" s="2" t="s">
        <v>35</v>
      </c>
    </row>
    <row r="21" customFormat="false" ht="15" hidden="false" customHeight="false" outlineLevel="0" collapsed="false">
      <c r="A21" s="13" t="s">
        <v>36</v>
      </c>
    </row>
    <row r="22" customFormat="false" ht="27.75" hidden="false" customHeight="true" outlineLevel="0" collapsed="false">
      <c r="A22" s="14" t="s">
        <v>37</v>
      </c>
      <c r="B22" s="14"/>
      <c r="C22" s="14"/>
    </row>
    <row r="23" customFormat="false" ht="27.75" hidden="false" customHeight="true" outlineLevel="0" collapsed="false">
      <c r="A23" s="14" t="s">
        <v>38</v>
      </c>
      <c r="B23" s="14"/>
      <c r="C23" s="14"/>
    </row>
    <row r="24" customFormat="false" ht="27.75" hidden="false" customHeight="true" outlineLevel="0" collapsed="false">
      <c r="A24" s="14" t="s">
        <v>39</v>
      </c>
      <c r="B24" s="14"/>
      <c r="C24" s="14"/>
    </row>
    <row r="25" customFormat="false" ht="27.75" hidden="false" customHeight="true" outlineLevel="0" collapsed="false">
      <c r="A25" s="14" t="s">
        <v>40</v>
      </c>
      <c r="B25" s="14"/>
      <c r="C25" s="14"/>
    </row>
  </sheetData>
  <mergeCells count="4">
    <mergeCell ref="A22:C22"/>
    <mergeCell ref="A23:C23"/>
    <mergeCell ref="A24:C24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8"/>
    <col collapsed="false" customWidth="true" hidden="false" outlineLevel="0" max="4" min="4" style="0" width="48"/>
    <col collapsed="false" customWidth="true" hidden="false" outlineLevel="0" max="5" min="5" style="0" width="18"/>
    <col collapsed="false" customWidth="true" hidden="false" outlineLevel="0" max="7" min="6" style="0" width="20"/>
  </cols>
  <sheetData>
    <row r="1" customFormat="false" ht="17.15" hidden="false" customHeight="false" outlineLevel="0" collapsed="false">
      <c r="A1" s="15" t="s">
        <v>41</v>
      </c>
    </row>
    <row r="2" customFormat="false" ht="15" hidden="false" customHeight="false" outlineLevel="0" collapsed="false">
      <c r="A2" s="2" t="s">
        <v>42</v>
      </c>
    </row>
    <row r="4" customFormat="false" ht="15" hidden="false" customHeight="false" outlineLevel="0" collapsed="false">
      <c r="A4" s="3" t="s">
        <v>2</v>
      </c>
      <c r="B4" s="3" t="s">
        <v>43</v>
      </c>
      <c r="C4" s="3" t="s">
        <v>44</v>
      </c>
      <c r="D4" s="3" t="s">
        <v>45</v>
      </c>
    </row>
    <row r="5" customFormat="false" ht="15" hidden="false" customHeight="false" outlineLevel="0" collapsed="false">
      <c r="A5" s="4" t="s">
        <v>46</v>
      </c>
      <c r="B5" s="16" t="n">
        <f aca="false">가정!B6*가정!B7</f>
        <v>266</v>
      </c>
      <c r="C5" s="16" t="n">
        <f aca="false">가정!B6*가정!B7</f>
        <v>266</v>
      </c>
      <c r="D5" s="2"/>
    </row>
    <row r="6" customFormat="false" ht="15" hidden="false" customHeight="false" outlineLevel="0" collapsed="false">
      <c r="A6" s="8" t="s">
        <v>47</v>
      </c>
      <c r="B6" s="11" t="n">
        <f aca="false">일별!K1099</f>
        <v>5475</v>
      </c>
      <c r="C6" s="11" t="n">
        <f aca="false">일별!I1099</f>
        <v>432520</v>
      </c>
      <c r="D6" s="2" t="s">
        <v>48</v>
      </c>
    </row>
    <row r="7" customFormat="false" ht="15" hidden="false" customHeight="false" outlineLevel="0" collapsed="false">
      <c r="A7" s="4" t="s">
        <v>49</v>
      </c>
      <c r="B7" s="11" t="n">
        <v>0</v>
      </c>
      <c r="C7" s="11" t="n">
        <f aca="false">SUM(일별!G5:G1099)</f>
        <v>26466.3316582915</v>
      </c>
      <c r="D7" s="10" t="s">
        <v>50</v>
      </c>
    </row>
    <row r="8" customFormat="false" ht="15" hidden="false" customHeight="false" outlineLevel="0" collapsed="false">
      <c r="A8" s="4" t="s">
        <v>51</v>
      </c>
      <c r="B8" s="11" t="n">
        <v>0</v>
      </c>
      <c r="C8" s="11" t="n">
        <f aca="false">SUM(일별!F5:F1099)</f>
        <v>99</v>
      </c>
      <c r="D8" s="2" t="s">
        <v>52</v>
      </c>
    </row>
    <row r="9" customFormat="false" ht="15" hidden="false" customHeight="false" outlineLevel="0" collapsed="false">
      <c r="A9" s="8" t="s">
        <v>53</v>
      </c>
      <c r="B9" s="11" t="n">
        <f aca="false">가정!B7</f>
        <v>1</v>
      </c>
      <c r="C9" s="11" t="n">
        <f aca="false">일별!L1099</f>
        <v>100</v>
      </c>
      <c r="D9" s="2"/>
    </row>
    <row r="10" customFormat="false" ht="15" hidden="false" customHeight="false" outlineLevel="0" collapsed="false">
      <c r="A10" s="8" t="s">
        <v>54</v>
      </c>
      <c r="B10" s="11" t="n">
        <f aca="false">일별!K1099</f>
        <v>5475</v>
      </c>
      <c r="C10" s="11" t="n">
        <f aca="false">일별!H1099+일별!D1099</f>
        <v>406053.668341709</v>
      </c>
      <c r="D10" s="2" t="s">
        <v>55</v>
      </c>
    </row>
    <row r="11" customFormat="false" ht="15" hidden="false" customHeight="false" outlineLevel="0" collapsed="false">
      <c r="A11" s="17" t="s">
        <v>56</v>
      </c>
      <c r="B11" s="18" t="n">
        <f aca="false">B10*가정!B10</f>
        <v>5475</v>
      </c>
      <c r="C11" s="18" t="n">
        <f aca="false">C10*가정!B10</f>
        <v>406053.668341709</v>
      </c>
      <c r="D11" s="2" t="s">
        <v>57</v>
      </c>
    </row>
    <row r="12" customFormat="false" ht="15" hidden="false" customHeight="false" outlineLevel="0" collapsed="false">
      <c r="A12" s="13" t="s">
        <v>58</v>
      </c>
      <c r="B12" s="19" t="n">
        <f aca="false">IF(B5=0,0,B11/B5)</f>
        <v>20.5827067669173</v>
      </c>
      <c r="C12" s="19" t="n">
        <f aca="false">IF(C5=0,0,C11/C5)</f>
        <v>1526.5175501568</v>
      </c>
      <c r="D12" s="2"/>
    </row>
    <row r="13" customFormat="false" ht="15" hidden="false" customHeight="false" outlineLevel="0" collapsed="false">
      <c r="A13" s="4" t="s">
        <v>59</v>
      </c>
      <c r="B13" s="11" t="s">
        <v>60</v>
      </c>
      <c r="C13" s="11" t="n">
        <f aca="false">IFERROR(INDEX(일별!A5:A1099,MATCH(가정!B16,일별!L5:L1099,0)),"미도달")</f>
        <v>284</v>
      </c>
      <c r="D13" s="2" t="s">
        <v>61</v>
      </c>
    </row>
    <row r="14" customFormat="false" ht="15" hidden="false" customHeight="false" outlineLevel="0" collapsed="false">
      <c r="A14" s="4" t="s">
        <v>62</v>
      </c>
      <c r="B14" s="11" t="n">
        <f aca="false">가정!B7*가정!B8</f>
        <v>5</v>
      </c>
      <c r="C14" s="11" t="n">
        <f aca="false">가정!B16*가정!B8</f>
        <v>500</v>
      </c>
      <c r="D14" s="2"/>
    </row>
    <row r="15" customFormat="false" ht="15" hidden="false" customHeight="false" outlineLevel="0" collapsed="false">
      <c r="A15" s="8" t="s">
        <v>63</v>
      </c>
      <c r="B15" s="11" t="n">
        <v>0</v>
      </c>
      <c r="C15" s="11" t="n">
        <f aca="false">SUMPRODUCT(일별!F5:F1099,일별!A5:A1099)*가정!B8</f>
        <v>114980</v>
      </c>
      <c r="D15" s="2" t="s">
        <v>64</v>
      </c>
    </row>
    <row r="16" customFormat="false" ht="15" hidden="false" customHeight="false" outlineLevel="0" collapsed="false">
      <c r="A16" s="4" t="s">
        <v>65</v>
      </c>
      <c r="B16" s="16" t="n">
        <v>0</v>
      </c>
      <c r="C16" s="16" t="n">
        <f aca="false">C8*가정!B13</f>
        <v>26334</v>
      </c>
      <c r="D16" s="2" t="s">
        <v>66</v>
      </c>
    </row>
    <row r="17" customFormat="false" ht="15" hidden="false" customHeight="false" outlineLevel="0" collapsed="false">
      <c r="A17" s="13" t="s">
        <v>67</v>
      </c>
      <c r="B17" s="20" t="s">
        <v>60</v>
      </c>
      <c r="C17" s="20" t="n">
        <f aca="false">IFERROR(INDEX(일별!A5:A1099,MATCH(TRUE(),INDEX(일별!F5:F1099&gt;0,0),0)),"없음")</f>
        <v>55</v>
      </c>
      <c r="D17" s="2" t="s">
        <v>68</v>
      </c>
    </row>
    <row r="18" customFormat="false" ht="15" hidden="false" customHeight="false" outlineLevel="0" collapsed="false">
      <c r="A18" s="13" t="s">
        <v>69</v>
      </c>
      <c r="B18" s="21" t="s">
        <v>60</v>
      </c>
      <c r="C18" s="21" t="n">
        <f aca="false">IF(ISNUMBER(C17),가정!B19+C17,"-")</f>
        <v>46366</v>
      </c>
      <c r="D18" s="2" t="s">
        <v>70</v>
      </c>
    </row>
    <row r="20" customFormat="false" ht="15" hidden="false" customHeight="false" outlineLevel="0" collapsed="false">
      <c r="A20" s="13" t="s">
        <v>71</v>
      </c>
    </row>
    <row r="21" customFormat="false" ht="26.85" hidden="false" customHeight="false" outlineLevel="0" collapsed="false">
      <c r="A21" s="3" t="s">
        <v>72</v>
      </c>
      <c r="B21" s="3" t="s">
        <v>73</v>
      </c>
      <c r="C21" s="3" t="s">
        <v>74</v>
      </c>
      <c r="D21" s="3" t="s">
        <v>75</v>
      </c>
      <c r="E21" s="3" t="s">
        <v>76</v>
      </c>
      <c r="F21" s="3" t="s">
        <v>77</v>
      </c>
      <c r="G21" s="3" t="s">
        <v>78</v>
      </c>
    </row>
    <row r="22" customFormat="false" ht="15" hidden="false" customHeight="false" outlineLevel="0" collapsed="false">
      <c r="A22" s="8" t="s">
        <v>79</v>
      </c>
      <c r="B22" s="22" t="n">
        <f aca="false">월별!J17</f>
        <v>1825</v>
      </c>
      <c r="C22" s="22" t="n">
        <f aca="false">월별!G17</f>
        <v>67520</v>
      </c>
      <c r="D22" s="22" t="n">
        <f aca="false">월별!H17</f>
        <v>41053.6683417085</v>
      </c>
      <c r="E22" s="22" t="n">
        <f aca="false">월별!D17</f>
        <v>100</v>
      </c>
      <c r="F22" s="23" t="n">
        <f aca="false">월별!I17</f>
        <v>41053.6683417085</v>
      </c>
      <c r="G22" s="23" t="n">
        <f aca="false">월별!K17</f>
        <v>1825</v>
      </c>
    </row>
    <row r="23" customFormat="false" ht="15" hidden="false" customHeight="false" outlineLevel="0" collapsed="false">
      <c r="A23" s="8" t="s">
        <v>80</v>
      </c>
      <c r="B23" s="22" t="n">
        <f aca="false">월별!J29</f>
        <v>3650</v>
      </c>
      <c r="C23" s="22" t="n">
        <f aca="false">월별!G29</f>
        <v>250020</v>
      </c>
      <c r="D23" s="22" t="n">
        <f aca="false">월별!H29</f>
        <v>223553.668341709</v>
      </c>
      <c r="E23" s="22" t="n">
        <f aca="false">월별!D29</f>
        <v>100</v>
      </c>
      <c r="F23" s="23" t="n">
        <f aca="false">월별!I29</f>
        <v>223553.668341709</v>
      </c>
      <c r="G23" s="23" t="n">
        <f aca="false">월별!K29</f>
        <v>3650</v>
      </c>
    </row>
    <row r="24" customFormat="false" ht="15" hidden="false" customHeight="false" outlineLevel="0" collapsed="false">
      <c r="A24" s="8" t="s">
        <v>81</v>
      </c>
      <c r="B24" s="22" t="n">
        <f aca="false">월별!J41</f>
        <v>5475</v>
      </c>
      <c r="C24" s="22" t="n">
        <f aca="false">월별!G41</f>
        <v>432520</v>
      </c>
      <c r="D24" s="22" t="n">
        <f aca="false">월별!H41</f>
        <v>406053.668341709</v>
      </c>
      <c r="E24" s="22" t="n">
        <f aca="false">월별!D41</f>
        <v>100</v>
      </c>
      <c r="F24" s="23" t="n">
        <f aca="false">월별!I41</f>
        <v>406053.668341709</v>
      </c>
      <c r="G24" s="23" t="n">
        <f aca="false">월별!K41</f>
        <v>5475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3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1"/>
  </cols>
  <sheetData>
    <row r="1" customFormat="false" ht="17.15" hidden="false" customHeight="false" outlineLevel="0" collapsed="false">
      <c r="A1" s="15" t="s">
        <v>82</v>
      </c>
    </row>
    <row r="2" customFormat="false" ht="15" hidden="false" customHeight="false" outlineLevel="0" collapsed="false">
      <c r="A2" s="2" t="s">
        <v>83</v>
      </c>
    </row>
    <row r="4" customFormat="false" ht="42" hidden="false" customHeight="true" outlineLevel="0" collapsed="false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93</v>
      </c>
      <c r="K4" s="3" t="s">
        <v>94</v>
      </c>
      <c r="L4" s="3" t="s">
        <v>95</v>
      </c>
    </row>
    <row r="5" customFormat="false" ht="15" hidden="false" customHeight="false" outlineLevel="0" collapsed="false">
      <c r="A5" s="11" t="n">
        <v>1</v>
      </c>
      <c r="B5" s="11" t="n">
        <f aca="false">MATCH(A5,월별!$C$6:$C$41,1)</f>
        <v>1</v>
      </c>
      <c r="C5" s="11" t="n">
        <f aca="false">가정!$B$7</f>
        <v>1</v>
      </c>
      <c r="D5" s="24" t="n">
        <f aca="false">C5*가정!$B$8</f>
        <v>5</v>
      </c>
      <c r="E5" s="24" t="n">
        <v>0</v>
      </c>
      <c r="F5" s="11" t="n">
        <f aca="false">IF(가정!$B$11=1,MAX(0,MIN(가정!$B$16-C5,INT(E5/가정!$B$17))),0)</f>
        <v>0</v>
      </c>
      <c r="G5" s="24" t="n">
        <f aca="false">F5*가정!$B$17</f>
        <v>0</v>
      </c>
      <c r="H5" s="24" t="n">
        <f aca="false">E5-G5</f>
        <v>0</v>
      </c>
      <c r="I5" s="24" t="n">
        <f aca="false">D5</f>
        <v>5</v>
      </c>
      <c r="J5" s="16" t="n">
        <f aca="false">(H5+D5)*가정!$B$10</f>
        <v>5</v>
      </c>
      <c r="K5" s="24" t="n">
        <f aca="false">A5*가정!$B$8*가정!$B$7</f>
        <v>5</v>
      </c>
      <c r="L5" s="11" t="n">
        <f aca="false">C5+F5</f>
        <v>1</v>
      </c>
    </row>
    <row r="6" customFormat="false" ht="15" hidden="false" customHeight="false" outlineLevel="0" collapsed="false">
      <c r="A6" s="11" t="n">
        <v>2</v>
      </c>
      <c r="B6" s="11" t="n">
        <f aca="false">MATCH(A6,월별!$C$6:$C$41,1)</f>
        <v>1</v>
      </c>
      <c r="C6" s="11" t="n">
        <f aca="false">L5</f>
        <v>1</v>
      </c>
      <c r="D6" s="24" t="n">
        <f aca="false">C6*가정!$B$8</f>
        <v>5</v>
      </c>
      <c r="E6" s="24" t="n">
        <f aca="false">H5+D5</f>
        <v>5</v>
      </c>
      <c r="F6" s="11" t="n">
        <f aca="false">IF(가정!$B$11=1,MAX(0,MIN(가정!$B$16-C6,INT(E6/가정!$B$17))),0)</f>
        <v>0</v>
      </c>
      <c r="G6" s="24" t="n">
        <f aca="false">F6*가정!$B$17</f>
        <v>0</v>
      </c>
      <c r="H6" s="24" t="n">
        <f aca="false">E6-G6</f>
        <v>5</v>
      </c>
      <c r="I6" s="24" t="n">
        <f aca="false">I5+D6</f>
        <v>10</v>
      </c>
      <c r="J6" s="16" t="n">
        <f aca="false">(H6+D6)*가정!$B$10</f>
        <v>10</v>
      </c>
      <c r="K6" s="24" t="n">
        <f aca="false">A6*가정!$B$8*가정!$B$7</f>
        <v>10</v>
      </c>
      <c r="L6" s="11" t="n">
        <f aca="false">C6+F6</f>
        <v>1</v>
      </c>
    </row>
    <row r="7" customFormat="false" ht="15" hidden="false" customHeight="false" outlineLevel="0" collapsed="false">
      <c r="A7" s="11" t="n">
        <v>3</v>
      </c>
      <c r="B7" s="11" t="n">
        <f aca="false">MATCH(A7,월별!$C$6:$C$41,1)</f>
        <v>1</v>
      </c>
      <c r="C7" s="11" t="n">
        <f aca="false">L6</f>
        <v>1</v>
      </c>
      <c r="D7" s="24" t="n">
        <f aca="false">C7*가정!$B$8</f>
        <v>5</v>
      </c>
      <c r="E7" s="24" t="n">
        <f aca="false">H6+D6</f>
        <v>10</v>
      </c>
      <c r="F7" s="11" t="n">
        <f aca="false">IF(가정!$B$11=1,MAX(0,MIN(가정!$B$16-C7,INT(E7/가정!$B$17))),0)</f>
        <v>0</v>
      </c>
      <c r="G7" s="24" t="n">
        <f aca="false">F7*가정!$B$17</f>
        <v>0</v>
      </c>
      <c r="H7" s="24" t="n">
        <f aca="false">E7-G7</f>
        <v>10</v>
      </c>
      <c r="I7" s="24" t="n">
        <f aca="false">I6+D7</f>
        <v>15</v>
      </c>
      <c r="J7" s="16" t="n">
        <f aca="false">(H7+D7)*가정!$B$10</f>
        <v>15</v>
      </c>
      <c r="K7" s="24" t="n">
        <f aca="false">A7*가정!$B$8*가정!$B$7</f>
        <v>15</v>
      </c>
      <c r="L7" s="11" t="n">
        <f aca="false">C7+F7</f>
        <v>1</v>
      </c>
    </row>
    <row r="8" customFormat="false" ht="15" hidden="false" customHeight="false" outlineLevel="0" collapsed="false">
      <c r="A8" s="11" t="n">
        <v>4</v>
      </c>
      <c r="B8" s="11" t="n">
        <f aca="false">MATCH(A8,월별!$C$6:$C$41,1)</f>
        <v>1</v>
      </c>
      <c r="C8" s="11" t="n">
        <f aca="false">L7</f>
        <v>1</v>
      </c>
      <c r="D8" s="24" t="n">
        <f aca="false">C8*가정!$B$8</f>
        <v>5</v>
      </c>
      <c r="E8" s="24" t="n">
        <f aca="false">H7+D7</f>
        <v>15</v>
      </c>
      <c r="F8" s="11" t="n">
        <f aca="false">IF(가정!$B$11=1,MAX(0,MIN(가정!$B$16-C8,INT(E8/가정!$B$17))),0)</f>
        <v>0</v>
      </c>
      <c r="G8" s="24" t="n">
        <f aca="false">F8*가정!$B$17</f>
        <v>0</v>
      </c>
      <c r="H8" s="24" t="n">
        <f aca="false">E8-G8</f>
        <v>15</v>
      </c>
      <c r="I8" s="24" t="n">
        <f aca="false">I7+D8</f>
        <v>20</v>
      </c>
      <c r="J8" s="16" t="n">
        <f aca="false">(H8+D8)*가정!$B$10</f>
        <v>20</v>
      </c>
      <c r="K8" s="24" t="n">
        <f aca="false">A8*가정!$B$8*가정!$B$7</f>
        <v>20</v>
      </c>
      <c r="L8" s="11" t="n">
        <f aca="false">C8+F8</f>
        <v>1</v>
      </c>
    </row>
    <row r="9" customFormat="false" ht="15" hidden="false" customHeight="false" outlineLevel="0" collapsed="false">
      <c r="A9" s="11" t="n">
        <v>5</v>
      </c>
      <c r="B9" s="11" t="n">
        <f aca="false">MATCH(A9,월별!$C$6:$C$41,1)</f>
        <v>1</v>
      </c>
      <c r="C9" s="11" t="n">
        <f aca="false">L8</f>
        <v>1</v>
      </c>
      <c r="D9" s="24" t="n">
        <f aca="false">C9*가정!$B$8</f>
        <v>5</v>
      </c>
      <c r="E9" s="24" t="n">
        <f aca="false">H8+D8</f>
        <v>20</v>
      </c>
      <c r="F9" s="11" t="n">
        <f aca="false">IF(가정!$B$11=1,MAX(0,MIN(가정!$B$16-C9,INT(E9/가정!$B$17))),0)</f>
        <v>0</v>
      </c>
      <c r="G9" s="24" t="n">
        <f aca="false">F9*가정!$B$17</f>
        <v>0</v>
      </c>
      <c r="H9" s="24" t="n">
        <f aca="false">E9-G9</f>
        <v>20</v>
      </c>
      <c r="I9" s="24" t="n">
        <f aca="false">I8+D9</f>
        <v>25</v>
      </c>
      <c r="J9" s="16" t="n">
        <f aca="false">(H9+D9)*가정!$B$10</f>
        <v>25</v>
      </c>
      <c r="K9" s="24" t="n">
        <f aca="false">A9*가정!$B$8*가정!$B$7</f>
        <v>25</v>
      </c>
      <c r="L9" s="11" t="n">
        <f aca="false">C9+F9</f>
        <v>1</v>
      </c>
    </row>
    <row r="10" customFormat="false" ht="15" hidden="false" customHeight="false" outlineLevel="0" collapsed="false">
      <c r="A10" s="11" t="n">
        <v>6</v>
      </c>
      <c r="B10" s="11" t="n">
        <f aca="false">MATCH(A10,월별!$C$6:$C$41,1)</f>
        <v>1</v>
      </c>
      <c r="C10" s="11" t="n">
        <f aca="false">L9</f>
        <v>1</v>
      </c>
      <c r="D10" s="24" t="n">
        <f aca="false">C10*가정!$B$8</f>
        <v>5</v>
      </c>
      <c r="E10" s="24" t="n">
        <f aca="false">H9+D9</f>
        <v>25</v>
      </c>
      <c r="F10" s="11" t="n">
        <f aca="false">IF(가정!$B$11=1,MAX(0,MIN(가정!$B$16-C10,INT(E10/가정!$B$17))),0)</f>
        <v>0</v>
      </c>
      <c r="G10" s="24" t="n">
        <f aca="false">F10*가정!$B$17</f>
        <v>0</v>
      </c>
      <c r="H10" s="24" t="n">
        <f aca="false">E10-G10</f>
        <v>25</v>
      </c>
      <c r="I10" s="24" t="n">
        <f aca="false">I9+D10</f>
        <v>30</v>
      </c>
      <c r="J10" s="16" t="n">
        <f aca="false">(H10+D10)*가정!$B$10</f>
        <v>30</v>
      </c>
      <c r="K10" s="24" t="n">
        <f aca="false">A10*가정!$B$8*가정!$B$7</f>
        <v>30</v>
      </c>
      <c r="L10" s="11" t="n">
        <f aca="false">C10+F10</f>
        <v>1</v>
      </c>
    </row>
    <row r="11" customFormat="false" ht="15" hidden="false" customHeight="false" outlineLevel="0" collapsed="false">
      <c r="A11" s="11" t="n">
        <v>7</v>
      </c>
      <c r="B11" s="11" t="n">
        <f aca="false">MATCH(A11,월별!$C$6:$C$41,1)</f>
        <v>1</v>
      </c>
      <c r="C11" s="11" t="n">
        <f aca="false">L10</f>
        <v>1</v>
      </c>
      <c r="D11" s="24" t="n">
        <f aca="false">C11*가정!$B$8</f>
        <v>5</v>
      </c>
      <c r="E11" s="24" t="n">
        <f aca="false">H10+D10</f>
        <v>30</v>
      </c>
      <c r="F11" s="11" t="n">
        <f aca="false">IF(가정!$B$11=1,MAX(0,MIN(가정!$B$16-C11,INT(E11/가정!$B$17))),0)</f>
        <v>0</v>
      </c>
      <c r="G11" s="24" t="n">
        <f aca="false">F11*가정!$B$17</f>
        <v>0</v>
      </c>
      <c r="H11" s="24" t="n">
        <f aca="false">E11-G11</f>
        <v>30</v>
      </c>
      <c r="I11" s="24" t="n">
        <f aca="false">I10+D11</f>
        <v>35</v>
      </c>
      <c r="J11" s="16" t="n">
        <f aca="false">(H11+D11)*가정!$B$10</f>
        <v>35</v>
      </c>
      <c r="K11" s="24" t="n">
        <f aca="false">A11*가정!$B$8*가정!$B$7</f>
        <v>35</v>
      </c>
      <c r="L11" s="11" t="n">
        <f aca="false">C11+F11</f>
        <v>1</v>
      </c>
    </row>
    <row r="12" customFormat="false" ht="15" hidden="false" customHeight="false" outlineLevel="0" collapsed="false">
      <c r="A12" s="11" t="n">
        <v>8</v>
      </c>
      <c r="B12" s="11" t="n">
        <f aca="false">MATCH(A12,월별!$C$6:$C$41,1)</f>
        <v>1</v>
      </c>
      <c r="C12" s="11" t="n">
        <f aca="false">L11</f>
        <v>1</v>
      </c>
      <c r="D12" s="24" t="n">
        <f aca="false">C12*가정!$B$8</f>
        <v>5</v>
      </c>
      <c r="E12" s="24" t="n">
        <f aca="false">H11+D11</f>
        <v>35</v>
      </c>
      <c r="F12" s="11" t="n">
        <f aca="false">IF(가정!$B$11=1,MAX(0,MIN(가정!$B$16-C12,INT(E12/가정!$B$17))),0)</f>
        <v>0</v>
      </c>
      <c r="G12" s="24" t="n">
        <f aca="false">F12*가정!$B$17</f>
        <v>0</v>
      </c>
      <c r="H12" s="24" t="n">
        <f aca="false">E12-G12</f>
        <v>35</v>
      </c>
      <c r="I12" s="24" t="n">
        <f aca="false">I11+D12</f>
        <v>40</v>
      </c>
      <c r="J12" s="16" t="n">
        <f aca="false">(H12+D12)*가정!$B$10</f>
        <v>40</v>
      </c>
      <c r="K12" s="24" t="n">
        <f aca="false">A12*가정!$B$8*가정!$B$7</f>
        <v>40</v>
      </c>
      <c r="L12" s="11" t="n">
        <f aca="false">C12+F12</f>
        <v>1</v>
      </c>
    </row>
    <row r="13" customFormat="false" ht="15" hidden="false" customHeight="false" outlineLevel="0" collapsed="false">
      <c r="A13" s="11" t="n">
        <v>9</v>
      </c>
      <c r="B13" s="11" t="n">
        <f aca="false">MATCH(A13,월별!$C$6:$C$41,1)</f>
        <v>1</v>
      </c>
      <c r="C13" s="11" t="n">
        <f aca="false">L12</f>
        <v>1</v>
      </c>
      <c r="D13" s="24" t="n">
        <f aca="false">C13*가정!$B$8</f>
        <v>5</v>
      </c>
      <c r="E13" s="24" t="n">
        <f aca="false">H12+D12</f>
        <v>40</v>
      </c>
      <c r="F13" s="11" t="n">
        <f aca="false">IF(가정!$B$11=1,MAX(0,MIN(가정!$B$16-C13,INT(E13/가정!$B$17))),0)</f>
        <v>0</v>
      </c>
      <c r="G13" s="24" t="n">
        <f aca="false">F13*가정!$B$17</f>
        <v>0</v>
      </c>
      <c r="H13" s="24" t="n">
        <f aca="false">E13-G13</f>
        <v>40</v>
      </c>
      <c r="I13" s="24" t="n">
        <f aca="false">I12+D13</f>
        <v>45</v>
      </c>
      <c r="J13" s="16" t="n">
        <f aca="false">(H13+D13)*가정!$B$10</f>
        <v>45</v>
      </c>
      <c r="K13" s="24" t="n">
        <f aca="false">A13*가정!$B$8*가정!$B$7</f>
        <v>45</v>
      </c>
      <c r="L13" s="11" t="n">
        <f aca="false">C13+F13</f>
        <v>1</v>
      </c>
    </row>
    <row r="14" customFormat="false" ht="15" hidden="false" customHeight="false" outlineLevel="0" collapsed="false">
      <c r="A14" s="11" t="n">
        <v>10</v>
      </c>
      <c r="B14" s="11" t="n">
        <f aca="false">MATCH(A14,월별!$C$6:$C$41,1)</f>
        <v>1</v>
      </c>
      <c r="C14" s="11" t="n">
        <f aca="false">L13</f>
        <v>1</v>
      </c>
      <c r="D14" s="24" t="n">
        <f aca="false">C14*가정!$B$8</f>
        <v>5</v>
      </c>
      <c r="E14" s="24" t="n">
        <f aca="false">H13+D13</f>
        <v>45</v>
      </c>
      <c r="F14" s="11" t="n">
        <f aca="false">IF(가정!$B$11=1,MAX(0,MIN(가정!$B$16-C14,INT(E14/가정!$B$17))),0)</f>
        <v>0</v>
      </c>
      <c r="G14" s="24" t="n">
        <f aca="false">F14*가정!$B$17</f>
        <v>0</v>
      </c>
      <c r="H14" s="24" t="n">
        <f aca="false">E14-G14</f>
        <v>45</v>
      </c>
      <c r="I14" s="24" t="n">
        <f aca="false">I13+D14</f>
        <v>50</v>
      </c>
      <c r="J14" s="16" t="n">
        <f aca="false">(H14+D14)*가정!$B$10</f>
        <v>50</v>
      </c>
      <c r="K14" s="24" t="n">
        <f aca="false">A14*가정!$B$8*가정!$B$7</f>
        <v>50</v>
      </c>
      <c r="L14" s="11" t="n">
        <f aca="false">C14+F14</f>
        <v>1</v>
      </c>
    </row>
    <row r="15" customFormat="false" ht="15" hidden="false" customHeight="false" outlineLevel="0" collapsed="false">
      <c r="A15" s="11" t="n">
        <v>11</v>
      </c>
      <c r="B15" s="11" t="n">
        <f aca="false">MATCH(A15,월별!$C$6:$C$41,1)</f>
        <v>1</v>
      </c>
      <c r="C15" s="11" t="n">
        <f aca="false">L14</f>
        <v>1</v>
      </c>
      <c r="D15" s="24" t="n">
        <f aca="false">C15*가정!$B$8</f>
        <v>5</v>
      </c>
      <c r="E15" s="24" t="n">
        <f aca="false">H14+D14</f>
        <v>50</v>
      </c>
      <c r="F15" s="11" t="n">
        <f aca="false">IF(가정!$B$11=1,MAX(0,MIN(가정!$B$16-C15,INT(E15/가정!$B$17))),0)</f>
        <v>0</v>
      </c>
      <c r="G15" s="24" t="n">
        <f aca="false">F15*가정!$B$17</f>
        <v>0</v>
      </c>
      <c r="H15" s="24" t="n">
        <f aca="false">E15-G15</f>
        <v>50</v>
      </c>
      <c r="I15" s="24" t="n">
        <f aca="false">I14+D15</f>
        <v>55</v>
      </c>
      <c r="J15" s="16" t="n">
        <f aca="false">(H15+D15)*가정!$B$10</f>
        <v>55</v>
      </c>
      <c r="K15" s="24" t="n">
        <f aca="false">A15*가정!$B$8*가정!$B$7</f>
        <v>55</v>
      </c>
      <c r="L15" s="11" t="n">
        <f aca="false">C15+F15</f>
        <v>1</v>
      </c>
    </row>
    <row r="16" customFormat="false" ht="15" hidden="false" customHeight="false" outlineLevel="0" collapsed="false">
      <c r="A16" s="11" t="n">
        <v>12</v>
      </c>
      <c r="B16" s="11" t="n">
        <f aca="false">MATCH(A16,월별!$C$6:$C$41,1)</f>
        <v>1</v>
      </c>
      <c r="C16" s="11" t="n">
        <f aca="false">L15</f>
        <v>1</v>
      </c>
      <c r="D16" s="24" t="n">
        <f aca="false">C16*가정!$B$8</f>
        <v>5</v>
      </c>
      <c r="E16" s="24" t="n">
        <f aca="false">H15+D15</f>
        <v>55</v>
      </c>
      <c r="F16" s="11" t="n">
        <f aca="false">IF(가정!$B$11=1,MAX(0,MIN(가정!$B$16-C16,INT(E16/가정!$B$17))),0)</f>
        <v>0</v>
      </c>
      <c r="G16" s="24" t="n">
        <f aca="false">F16*가정!$B$17</f>
        <v>0</v>
      </c>
      <c r="H16" s="24" t="n">
        <f aca="false">E16-G16</f>
        <v>55</v>
      </c>
      <c r="I16" s="24" t="n">
        <f aca="false">I15+D16</f>
        <v>60</v>
      </c>
      <c r="J16" s="16" t="n">
        <f aca="false">(H16+D16)*가정!$B$10</f>
        <v>60</v>
      </c>
      <c r="K16" s="24" t="n">
        <f aca="false">A16*가정!$B$8*가정!$B$7</f>
        <v>60</v>
      </c>
      <c r="L16" s="11" t="n">
        <f aca="false">C16+F16</f>
        <v>1</v>
      </c>
    </row>
    <row r="17" customFormat="false" ht="15" hidden="false" customHeight="false" outlineLevel="0" collapsed="false">
      <c r="A17" s="11" t="n">
        <v>13</v>
      </c>
      <c r="B17" s="11" t="n">
        <f aca="false">MATCH(A17,월별!$C$6:$C$41,1)</f>
        <v>1</v>
      </c>
      <c r="C17" s="11" t="n">
        <f aca="false">L16</f>
        <v>1</v>
      </c>
      <c r="D17" s="24" t="n">
        <f aca="false">C17*가정!$B$8</f>
        <v>5</v>
      </c>
      <c r="E17" s="24" t="n">
        <f aca="false">H16+D16</f>
        <v>60</v>
      </c>
      <c r="F17" s="11" t="n">
        <f aca="false">IF(가정!$B$11=1,MAX(0,MIN(가정!$B$16-C17,INT(E17/가정!$B$17))),0)</f>
        <v>0</v>
      </c>
      <c r="G17" s="24" t="n">
        <f aca="false">F17*가정!$B$17</f>
        <v>0</v>
      </c>
      <c r="H17" s="24" t="n">
        <f aca="false">E17-G17</f>
        <v>60</v>
      </c>
      <c r="I17" s="24" t="n">
        <f aca="false">I16+D17</f>
        <v>65</v>
      </c>
      <c r="J17" s="16" t="n">
        <f aca="false">(H17+D17)*가정!$B$10</f>
        <v>65</v>
      </c>
      <c r="K17" s="24" t="n">
        <f aca="false">A17*가정!$B$8*가정!$B$7</f>
        <v>65</v>
      </c>
      <c r="L17" s="11" t="n">
        <f aca="false">C17+F17</f>
        <v>1</v>
      </c>
    </row>
    <row r="18" customFormat="false" ht="15" hidden="false" customHeight="false" outlineLevel="0" collapsed="false">
      <c r="A18" s="11" t="n">
        <v>14</v>
      </c>
      <c r="B18" s="11" t="n">
        <f aca="false">MATCH(A18,월별!$C$6:$C$41,1)</f>
        <v>1</v>
      </c>
      <c r="C18" s="11" t="n">
        <f aca="false">L17</f>
        <v>1</v>
      </c>
      <c r="D18" s="24" t="n">
        <f aca="false">C18*가정!$B$8</f>
        <v>5</v>
      </c>
      <c r="E18" s="24" t="n">
        <f aca="false">H17+D17</f>
        <v>65</v>
      </c>
      <c r="F18" s="11" t="n">
        <f aca="false">IF(가정!$B$11=1,MAX(0,MIN(가정!$B$16-C18,INT(E18/가정!$B$17))),0)</f>
        <v>0</v>
      </c>
      <c r="G18" s="24" t="n">
        <f aca="false">F18*가정!$B$17</f>
        <v>0</v>
      </c>
      <c r="H18" s="24" t="n">
        <f aca="false">E18-G18</f>
        <v>65</v>
      </c>
      <c r="I18" s="24" t="n">
        <f aca="false">I17+D18</f>
        <v>70</v>
      </c>
      <c r="J18" s="16" t="n">
        <f aca="false">(H18+D18)*가정!$B$10</f>
        <v>70</v>
      </c>
      <c r="K18" s="24" t="n">
        <f aca="false">A18*가정!$B$8*가정!$B$7</f>
        <v>70</v>
      </c>
      <c r="L18" s="11" t="n">
        <f aca="false">C18+F18</f>
        <v>1</v>
      </c>
    </row>
    <row r="19" customFormat="false" ht="15" hidden="false" customHeight="false" outlineLevel="0" collapsed="false">
      <c r="A19" s="11" t="n">
        <v>15</v>
      </c>
      <c r="B19" s="11" t="n">
        <f aca="false">MATCH(A19,월별!$C$6:$C$41,1)</f>
        <v>1</v>
      </c>
      <c r="C19" s="11" t="n">
        <f aca="false">L18</f>
        <v>1</v>
      </c>
      <c r="D19" s="24" t="n">
        <f aca="false">C19*가정!$B$8</f>
        <v>5</v>
      </c>
      <c r="E19" s="24" t="n">
        <f aca="false">H18+D18</f>
        <v>70</v>
      </c>
      <c r="F19" s="11" t="n">
        <f aca="false">IF(가정!$B$11=1,MAX(0,MIN(가정!$B$16-C19,INT(E19/가정!$B$17))),0)</f>
        <v>0</v>
      </c>
      <c r="G19" s="24" t="n">
        <f aca="false">F19*가정!$B$17</f>
        <v>0</v>
      </c>
      <c r="H19" s="24" t="n">
        <f aca="false">E19-G19</f>
        <v>70</v>
      </c>
      <c r="I19" s="24" t="n">
        <f aca="false">I18+D19</f>
        <v>75</v>
      </c>
      <c r="J19" s="16" t="n">
        <f aca="false">(H19+D19)*가정!$B$10</f>
        <v>75</v>
      </c>
      <c r="K19" s="24" t="n">
        <f aca="false">A19*가정!$B$8*가정!$B$7</f>
        <v>75</v>
      </c>
      <c r="L19" s="11" t="n">
        <f aca="false">C19+F19</f>
        <v>1</v>
      </c>
    </row>
    <row r="20" customFormat="false" ht="15" hidden="false" customHeight="false" outlineLevel="0" collapsed="false">
      <c r="A20" s="11" t="n">
        <v>16</v>
      </c>
      <c r="B20" s="11" t="n">
        <f aca="false">MATCH(A20,월별!$C$6:$C$41,1)</f>
        <v>1</v>
      </c>
      <c r="C20" s="11" t="n">
        <f aca="false">L19</f>
        <v>1</v>
      </c>
      <c r="D20" s="24" t="n">
        <f aca="false">C20*가정!$B$8</f>
        <v>5</v>
      </c>
      <c r="E20" s="24" t="n">
        <f aca="false">H19+D19</f>
        <v>75</v>
      </c>
      <c r="F20" s="11" t="n">
        <f aca="false">IF(가정!$B$11=1,MAX(0,MIN(가정!$B$16-C20,INT(E20/가정!$B$17))),0)</f>
        <v>0</v>
      </c>
      <c r="G20" s="24" t="n">
        <f aca="false">F20*가정!$B$17</f>
        <v>0</v>
      </c>
      <c r="H20" s="24" t="n">
        <f aca="false">E20-G20</f>
        <v>75</v>
      </c>
      <c r="I20" s="24" t="n">
        <f aca="false">I19+D20</f>
        <v>80</v>
      </c>
      <c r="J20" s="16" t="n">
        <f aca="false">(H20+D20)*가정!$B$10</f>
        <v>80</v>
      </c>
      <c r="K20" s="24" t="n">
        <f aca="false">A20*가정!$B$8*가정!$B$7</f>
        <v>80</v>
      </c>
      <c r="L20" s="11" t="n">
        <f aca="false">C20+F20</f>
        <v>1</v>
      </c>
    </row>
    <row r="21" customFormat="false" ht="15" hidden="false" customHeight="false" outlineLevel="0" collapsed="false">
      <c r="A21" s="11" t="n">
        <v>17</v>
      </c>
      <c r="B21" s="11" t="n">
        <f aca="false">MATCH(A21,월별!$C$6:$C$41,1)</f>
        <v>1</v>
      </c>
      <c r="C21" s="11" t="n">
        <f aca="false">L20</f>
        <v>1</v>
      </c>
      <c r="D21" s="24" t="n">
        <f aca="false">C21*가정!$B$8</f>
        <v>5</v>
      </c>
      <c r="E21" s="24" t="n">
        <f aca="false">H20+D20</f>
        <v>80</v>
      </c>
      <c r="F21" s="11" t="n">
        <f aca="false">IF(가정!$B$11=1,MAX(0,MIN(가정!$B$16-C21,INT(E21/가정!$B$17))),0)</f>
        <v>0</v>
      </c>
      <c r="G21" s="24" t="n">
        <f aca="false">F21*가정!$B$17</f>
        <v>0</v>
      </c>
      <c r="H21" s="24" t="n">
        <f aca="false">E21-G21</f>
        <v>80</v>
      </c>
      <c r="I21" s="24" t="n">
        <f aca="false">I20+D21</f>
        <v>85</v>
      </c>
      <c r="J21" s="16" t="n">
        <f aca="false">(H21+D21)*가정!$B$10</f>
        <v>85</v>
      </c>
      <c r="K21" s="24" t="n">
        <f aca="false">A21*가정!$B$8*가정!$B$7</f>
        <v>85</v>
      </c>
      <c r="L21" s="11" t="n">
        <f aca="false">C21+F21</f>
        <v>1</v>
      </c>
    </row>
    <row r="22" customFormat="false" ht="15" hidden="false" customHeight="false" outlineLevel="0" collapsed="false">
      <c r="A22" s="11" t="n">
        <v>18</v>
      </c>
      <c r="B22" s="11" t="n">
        <f aca="false">MATCH(A22,월별!$C$6:$C$41,1)</f>
        <v>1</v>
      </c>
      <c r="C22" s="11" t="n">
        <f aca="false">L21</f>
        <v>1</v>
      </c>
      <c r="D22" s="24" t="n">
        <f aca="false">C22*가정!$B$8</f>
        <v>5</v>
      </c>
      <c r="E22" s="24" t="n">
        <f aca="false">H21+D21</f>
        <v>85</v>
      </c>
      <c r="F22" s="11" t="n">
        <f aca="false">IF(가정!$B$11=1,MAX(0,MIN(가정!$B$16-C22,INT(E22/가정!$B$17))),0)</f>
        <v>0</v>
      </c>
      <c r="G22" s="24" t="n">
        <f aca="false">F22*가정!$B$17</f>
        <v>0</v>
      </c>
      <c r="H22" s="24" t="n">
        <f aca="false">E22-G22</f>
        <v>85</v>
      </c>
      <c r="I22" s="24" t="n">
        <f aca="false">I21+D22</f>
        <v>90</v>
      </c>
      <c r="J22" s="16" t="n">
        <f aca="false">(H22+D22)*가정!$B$10</f>
        <v>90</v>
      </c>
      <c r="K22" s="24" t="n">
        <f aca="false">A22*가정!$B$8*가정!$B$7</f>
        <v>90</v>
      </c>
      <c r="L22" s="11" t="n">
        <f aca="false">C22+F22</f>
        <v>1</v>
      </c>
    </row>
    <row r="23" customFormat="false" ht="15" hidden="false" customHeight="false" outlineLevel="0" collapsed="false">
      <c r="A23" s="11" t="n">
        <v>19</v>
      </c>
      <c r="B23" s="11" t="n">
        <f aca="false">MATCH(A23,월별!$C$6:$C$41,1)</f>
        <v>1</v>
      </c>
      <c r="C23" s="11" t="n">
        <f aca="false">L22</f>
        <v>1</v>
      </c>
      <c r="D23" s="24" t="n">
        <f aca="false">C23*가정!$B$8</f>
        <v>5</v>
      </c>
      <c r="E23" s="24" t="n">
        <f aca="false">H22+D22</f>
        <v>90</v>
      </c>
      <c r="F23" s="11" t="n">
        <f aca="false">IF(가정!$B$11=1,MAX(0,MIN(가정!$B$16-C23,INT(E23/가정!$B$17))),0)</f>
        <v>0</v>
      </c>
      <c r="G23" s="24" t="n">
        <f aca="false">F23*가정!$B$17</f>
        <v>0</v>
      </c>
      <c r="H23" s="24" t="n">
        <f aca="false">E23-G23</f>
        <v>90</v>
      </c>
      <c r="I23" s="24" t="n">
        <f aca="false">I22+D23</f>
        <v>95</v>
      </c>
      <c r="J23" s="16" t="n">
        <f aca="false">(H23+D23)*가정!$B$10</f>
        <v>95</v>
      </c>
      <c r="K23" s="24" t="n">
        <f aca="false">A23*가정!$B$8*가정!$B$7</f>
        <v>95</v>
      </c>
      <c r="L23" s="11" t="n">
        <f aca="false">C23+F23</f>
        <v>1</v>
      </c>
    </row>
    <row r="24" customFormat="false" ht="15" hidden="false" customHeight="false" outlineLevel="0" collapsed="false">
      <c r="A24" s="11" t="n">
        <v>20</v>
      </c>
      <c r="B24" s="11" t="n">
        <f aca="false">MATCH(A24,월별!$C$6:$C$41,1)</f>
        <v>1</v>
      </c>
      <c r="C24" s="11" t="n">
        <f aca="false">L23</f>
        <v>1</v>
      </c>
      <c r="D24" s="24" t="n">
        <f aca="false">C24*가정!$B$8</f>
        <v>5</v>
      </c>
      <c r="E24" s="24" t="n">
        <f aca="false">H23+D23</f>
        <v>95</v>
      </c>
      <c r="F24" s="11" t="n">
        <f aca="false">IF(가정!$B$11=1,MAX(0,MIN(가정!$B$16-C24,INT(E24/가정!$B$17))),0)</f>
        <v>0</v>
      </c>
      <c r="G24" s="24" t="n">
        <f aca="false">F24*가정!$B$17</f>
        <v>0</v>
      </c>
      <c r="H24" s="24" t="n">
        <f aca="false">E24-G24</f>
        <v>95</v>
      </c>
      <c r="I24" s="24" t="n">
        <f aca="false">I23+D24</f>
        <v>100</v>
      </c>
      <c r="J24" s="16" t="n">
        <f aca="false">(H24+D24)*가정!$B$10</f>
        <v>100</v>
      </c>
      <c r="K24" s="24" t="n">
        <f aca="false">A24*가정!$B$8*가정!$B$7</f>
        <v>100</v>
      </c>
      <c r="L24" s="11" t="n">
        <f aca="false">C24+F24</f>
        <v>1</v>
      </c>
    </row>
    <row r="25" customFormat="false" ht="15" hidden="false" customHeight="false" outlineLevel="0" collapsed="false">
      <c r="A25" s="11" t="n">
        <v>21</v>
      </c>
      <c r="B25" s="11" t="n">
        <f aca="false">MATCH(A25,월별!$C$6:$C$41,1)</f>
        <v>1</v>
      </c>
      <c r="C25" s="11" t="n">
        <f aca="false">L24</f>
        <v>1</v>
      </c>
      <c r="D25" s="24" t="n">
        <f aca="false">C25*가정!$B$8</f>
        <v>5</v>
      </c>
      <c r="E25" s="24" t="n">
        <f aca="false">H24+D24</f>
        <v>100</v>
      </c>
      <c r="F25" s="11" t="n">
        <f aca="false">IF(가정!$B$11=1,MAX(0,MIN(가정!$B$16-C25,INT(E25/가정!$B$17))),0)</f>
        <v>0</v>
      </c>
      <c r="G25" s="24" t="n">
        <f aca="false">F25*가정!$B$17</f>
        <v>0</v>
      </c>
      <c r="H25" s="24" t="n">
        <f aca="false">E25-G25</f>
        <v>100</v>
      </c>
      <c r="I25" s="24" t="n">
        <f aca="false">I24+D25</f>
        <v>105</v>
      </c>
      <c r="J25" s="16" t="n">
        <f aca="false">(H25+D25)*가정!$B$10</f>
        <v>105</v>
      </c>
      <c r="K25" s="24" t="n">
        <f aca="false">A25*가정!$B$8*가정!$B$7</f>
        <v>105</v>
      </c>
      <c r="L25" s="11" t="n">
        <f aca="false">C25+F25</f>
        <v>1</v>
      </c>
    </row>
    <row r="26" customFormat="false" ht="15" hidden="false" customHeight="false" outlineLevel="0" collapsed="false">
      <c r="A26" s="11" t="n">
        <v>22</v>
      </c>
      <c r="B26" s="11" t="n">
        <f aca="false">MATCH(A26,월별!$C$6:$C$41,1)</f>
        <v>1</v>
      </c>
      <c r="C26" s="11" t="n">
        <f aca="false">L25</f>
        <v>1</v>
      </c>
      <c r="D26" s="24" t="n">
        <f aca="false">C26*가정!$B$8</f>
        <v>5</v>
      </c>
      <c r="E26" s="24" t="n">
        <f aca="false">H25+D25</f>
        <v>105</v>
      </c>
      <c r="F26" s="11" t="n">
        <f aca="false">IF(가정!$B$11=1,MAX(0,MIN(가정!$B$16-C26,INT(E26/가정!$B$17))),0)</f>
        <v>0</v>
      </c>
      <c r="G26" s="24" t="n">
        <f aca="false">F26*가정!$B$17</f>
        <v>0</v>
      </c>
      <c r="H26" s="24" t="n">
        <f aca="false">E26-G26</f>
        <v>105</v>
      </c>
      <c r="I26" s="24" t="n">
        <f aca="false">I25+D26</f>
        <v>110</v>
      </c>
      <c r="J26" s="16" t="n">
        <f aca="false">(H26+D26)*가정!$B$10</f>
        <v>110</v>
      </c>
      <c r="K26" s="24" t="n">
        <f aca="false">A26*가정!$B$8*가정!$B$7</f>
        <v>110</v>
      </c>
      <c r="L26" s="11" t="n">
        <f aca="false">C26+F26</f>
        <v>1</v>
      </c>
    </row>
    <row r="27" customFormat="false" ht="15" hidden="false" customHeight="false" outlineLevel="0" collapsed="false">
      <c r="A27" s="11" t="n">
        <v>23</v>
      </c>
      <c r="B27" s="11" t="n">
        <f aca="false">MATCH(A27,월별!$C$6:$C$41,1)</f>
        <v>1</v>
      </c>
      <c r="C27" s="11" t="n">
        <f aca="false">L26</f>
        <v>1</v>
      </c>
      <c r="D27" s="24" t="n">
        <f aca="false">C27*가정!$B$8</f>
        <v>5</v>
      </c>
      <c r="E27" s="24" t="n">
        <f aca="false">H26+D26</f>
        <v>110</v>
      </c>
      <c r="F27" s="11" t="n">
        <f aca="false">IF(가정!$B$11=1,MAX(0,MIN(가정!$B$16-C27,INT(E27/가정!$B$17))),0)</f>
        <v>0</v>
      </c>
      <c r="G27" s="24" t="n">
        <f aca="false">F27*가정!$B$17</f>
        <v>0</v>
      </c>
      <c r="H27" s="24" t="n">
        <f aca="false">E27-G27</f>
        <v>110</v>
      </c>
      <c r="I27" s="24" t="n">
        <f aca="false">I26+D27</f>
        <v>115</v>
      </c>
      <c r="J27" s="16" t="n">
        <f aca="false">(H27+D27)*가정!$B$10</f>
        <v>115</v>
      </c>
      <c r="K27" s="24" t="n">
        <f aca="false">A27*가정!$B$8*가정!$B$7</f>
        <v>115</v>
      </c>
      <c r="L27" s="11" t="n">
        <f aca="false">C27+F27</f>
        <v>1</v>
      </c>
    </row>
    <row r="28" customFormat="false" ht="15" hidden="false" customHeight="false" outlineLevel="0" collapsed="false">
      <c r="A28" s="11" t="n">
        <v>24</v>
      </c>
      <c r="B28" s="11" t="n">
        <f aca="false">MATCH(A28,월별!$C$6:$C$41,1)</f>
        <v>1</v>
      </c>
      <c r="C28" s="11" t="n">
        <f aca="false">L27</f>
        <v>1</v>
      </c>
      <c r="D28" s="24" t="n">
        <f aca="false">C28*가정!$B$8</f>
        <v>5</v>
      </c>
      <c r="E28" s="24" t="n">
        <f aca="false">H27+D27</f>
        <v>115</v>
      </c>
      <c r="F28" s="11" t="n">
        <f aca="false">IF(가정!$B$11=1,MAX(0,MIN(가정!$B$16-C28,INT(E28/가정!$B$17))),0)</f>
        <v>0</v>
      </c>
      <c r="G28" s="24" t="n">
        <f aca="false">F28*가정!$B$17</f>
        <v>0</v>
      </c>
      <c r="H28" s="24" t="n">
        <f aca="false">E28-G28</f>
        <v>115</v>
      </c>
      <c r="I28" s="24" t="n">
        <f aca="false">I27+D28</f>
        <v>120</v>
      </c>
      <c r="J28" s="16" t="n">
        <f aca="false">(H28+D28)*가정!$B$10</f>
        <v>120</v>
      </c>
      <c r="K28" s="24" t="n">
        <f aca="false">A28*가정!$B$8*가정!$B$7</f>
        <v>120</v>
      </c>
      <c r="L28" s="11" t="n">
        <f aca="false">C28+F28</f>
        <v>1</v>
      </c>
    </row>
    <row r="29" customFormat="false" ht="15" hidden="false" customHeight="false" outlineLevel="0" collapsed="false">
      <c r="A29" s="11" t="n">
        <v>25</v>
      </c>
      <c r="B29" s="11" t="n">
        <f aca="false">MATCH(A29,월별!$C$6:$C$41,1)</f>
        <v>1</v>
      </c>
      <c r="C29" s="11" t="n">
        <f aca="false">L28</f>
        <v>1</v>
      </c>
      <c r="D29" s="24" t="n">
        <f aca="false">C29*가정!$B$8</f>
        <v>5</v>
      </c>
      <c r="E29" s="24" t="n">
        <f aca="false">H28+D28</f>
        <v>120</v>
      </c>
      <c r="F29" s="11" t="n">
        <f aca="false">IF(가정!$B$11=1,MAX(0,MIN(가정!$B$16-C29,INT(E29/가정!$B$17))),0)</f>
        <v>0</v>
      </c>
      <c r="G29" s="24" t="n">
        <f aca="false">F29*가정!$B$17</f>
        <v>0</v>
      </c>
      <c r="H29" s="24" t="n">
        <f aca="false">E29-G29</f>
        <v>120</v>
      </c>
      <c r="I29" s="24" t="n">
        <f aca="false">I28+D29</f>
        <v>125</v>
      </c>
      <c r="J29" s="16" t="n">
        <f aca="false">(H29+D29)*가정!$B$10</f>
        <v>125</v>
      </c>
      <c r="K29" s="24" t="n">
        <f aca="false">A29*가정!$B$8*가정!$B$7</f>
        <v>125</v>
      </c>
      <c r="L29" s="11" t="n">
        <f aca="false">C29+F29</f>
        <v>1</v>
      </c>
    </row>
    <row r="30" customFormat="false" ht="15" hidden="false" customHeight="false" outlineLevel="0" collapsed="false">
      <c r="A30" s="11" t="n">
        <v>26</v>
      </c>
      <c r="B30" s="11" t="n">
        <f aca="false">MATCH(A30,월별!$C$6:$C$41,1)</f>
        <v>1</v>
      </c>
      <c r="C30" s="11" t="n">
        <f aca="false">L29</f>
        <v>1</v>
      </c>
      <c r="D30" s="24" t="n">
        <f aca="false">C30*가정!$B$8</f>
        <v>5</v>
      </c>
      <c r="E30" s="24" t="n">
        <f aca="false">H29+D29</f>
        <v>125</v>
      </c>
      <c r="F30" s="11" t="n">
        <f aca="false">IF(가정!$B$11=1,MAX(0,MIN(가정!$B$16-C30,INT(E30/가정!$B$17))),0)</f>
        <v>0</v>
      </c>
      <c r="G30" s="24" t="n">
        <f aca="false">F30*가정!$B$17</f>
        <v>0</v>
      </c>
      <c r="H30" s="24" t="n">
        <f aca="false">E30-G30</f>
        <v>125</v>
      </c>
      <c r="I30" s="24" t="n">
        <f aca="false">I29+D30</f>
        <v>130</v>
      </c>
      <c r="J30" s="16" t="n">
        <f aca="false">(H30+D30)*가정!$B$10</f>
        <v>130</v>
      </c>
      <c r="K30" s="24" t="n">
        <f aca="false">A30*가정!$B$8*가정!$B$7</f>
        <v>130</v>
      </c>
      <c r="L30" s="11" t="n">
        <f aca="false">C30+F30</f>
        <v>1</v>
      </c>
    </row>
    <row r="31" customFormat="false" ht="15" hidden="false" customHeight="false" outlineLevel="0" collapsed="false">
      <c r="A31" s="11" t="n">
        <v>27</v>
      </c>
      <c r="B31" s="11" t="n">
        <f aca="false">MATCH(A31,월별!$C$6:$C$41,1)</f>
        <v>1</v>
      </c>
      <c r="C31" s="11" t="n">
        <f aca="false">L30</f>
        <v>1</v>
      </c>
      <c r="D31" s="24" t="n">
        <f aca="false">C31*가정!$B$8</f>
        <v>5</v>
      </c>
      <c r="E31" s="24" t="n">
        <f aca="false">H30+D30</f>
        <v>130</v>
      </c>
      <c r="F31" s="11" t="n">
        <f aca="false">IF(가정!$B$11=1,MAX(0,MIN(가정!$B$16-C31,INT(E31/가정!$B$17))),0)</f>
        <v>0</v>
      </c>
      <c r="G31" s="24" t="n">
        <f aca="false">F31*가정!$B$17</f>
        <v>0</v>
      </c>
      <c r="H31" s="24" t="n">
        <f aca="false">E31-G31</f>
        <v>130</v>
      </c>
      <c r="I31" s="24" t="n">
        <f aca="false">I30+D31</f>
        <v>135</v>
      </c>
      <c r="J31" s="16" t="n">
        <f aca="false">(H31+D31)*가정!$B$10</f>
        <v>135</v>
      </c>
      <c r="K31" s="24" t="n">
        <f aca="false">A31*가정!$B$8*가정!$B$7</f>
        <v>135</v>
      </c>
      <c r="L31" s="11" t="n">
        <f aca="false">C31+F31</f>
        <v>1</v>
      </c>
    </row>
    <row r="32" customFormat="false" ht="15" hidden="false" customHeight="false" outlineLevel="0" collapsed="false">
      <c r="A32" s="11" t="n">
        <v>28</v>
      </c>
      <c r="B32" s="11" t="n">
        <f aca="false">MATCH(A32,월별!$C$6:$C$41,1)</f>
        <v>1</v>
      </c>
      <c r="C32" s="11" t="n">
        <f aca="false">L31</f>
        <v>1</v>
      </c>
      <c r="D32" s="24" t="n">
        <f aca="false">C32*가정!$B$8</f>
        <v>5</v>
      </c>
      <c r="E32" s="24" t="n">
        <f aca="false">H31+D31</f>
        <v>135</v>
      </c>
      <c r="F32" s="11" t="n">
        <f aca="false">IF(가정!$B$11=1,MAX(0,MIN(가정!$B$16-C32,INT(E32/가정!$B$17))),0)</f>
        <v>0</v>
      </c>
      <c r="G32" s="24" t="n">
        <f aca="false">F32*가정!$B$17</f>
        <v>0</v>
      </c>
      <c r="H32" s="24" t="n">
        <f aca="false">E32-G32</f>
        <v>135</v>
      </c>
      <c r="I32" s="24" t="n">
        <f aca="false">I31+D32</f>
        <v>140</v>
      </c>
      <c r="J32" s="16" t="n">
        <f aca="false">(H32+D32)*가정!$B$10</f>
        <v>140</v>
      </c>
      <c r="K32" s="24" t="n">
        <f aca="false">A32*가정!$B$8*가정!$B$7</f>
        <v>140</v>
      </c>
      <c r="L32" s="11" t="n">
        <f aca="false">C32+F32</f>
        <v>1</v>
      </c>
    </row>
    <row r="33" customFormat="false" ht="15" hidden="false" customHeight="false" outlineLevel="0" collapsed="false">
      <c r="A33" s="11" t="n">
        <v>29</v>
      </c>
      <c r="B33" s="11" t="n">
        <f aca="false">MATCH(A33,월별!$C$6:$C$41,1)</f>
        <v>1</v>
      </c>
      <c r="C33" s="11" t="n">
        <f aca="false">L32</f>
        <v>1</v>
      </c>
      <c r="D33" s="24" t="n">
        <f aca="false">C33*가정!$B$8</f>
        <v>5</v>
      </c>
      <c r="E33" s="24" t="n">
        <f aca="false">H32+D32</f>
        <v>140</v>
      </c>
      <c r="F33" s="11" t="n">
        <f aca="false">IF(가정!$B$11=1,MAX(0,MIN(가정!$B$16-C33,INT(E33/가정!$B$17))),0)</f>
        <v>0</v>
      </c>
      <c r="G33" s="24" t="n">
        <f aca="false">F33*가정!$B$17</f>
        <v>0</v>
      </c>
      <c r="H33" s="24" t="n">
        <f aca="false">E33-G33</f>
        <v>140</v>
      </c>
      <c r="I33" s="24" t="n">
        <f aca="false">I32+D33</f>
        <v>145</v>
      </c>
      <c r="J33" s="16" t="n">
        <f aca="false">(H33+D33)*가정!$B$10</f>
        <v>145</v>
      </c>
      <c r="K33" s="24" t="n">
        <f aca="false">A33*가정!$B$8*가정!$B$7</f>
        <v>145</v>
      </c>
      <c r="L33" s="11" t="n">
        <f aca="false">C33+F33</f>
        <v>1</v>
      </c>
    </row>
    <row r="34" customFormat="false" ht="15" hidden="false" customHeight="false" outlineLevel="0" collapsed="false">
      <c r="A34" s="11" t="n">
        <v>30</v>
      </c>
      <c r="B34" s="11" t="n">
        <f aca="false">MATCH(A34,월별!$C$6:$C$41,1)</f>
        <v>1</v>
      </c>
      <c r="C34" s="11" t="n">
        <f aca="false">L33</f>
        <v>1</v>
      </c>
      <c r="D34" s="24" t="n">
        <f aca="false">C34*가정!$B$8</f>
        <v>5</v>
      </c>
      <c r="E34" s="24" t="n">
        <f aca="false">H33+D33</f>
        <v>145</v>
      </c>
      <c r="F34" s="11" t="n">
        <f aca="false">IF(가정!$B$11=1,MAX(0,MIN(가정!$B$16-C34,INT(E34/가정!$B$17))),0)</f>
        <v>0</v>
      </c>
      <c r="G34" s="24" t="n">
        <f aca="false">F34*가정!$B$17</f>
        <v>0</v>
      </c>
      <c r="H34" s="24" t="n">
        <f aca="false">E34-G34</f>
        <v>145</v>
      </c>
      <c r="I34" s="24" t="n">
        <f aca="false">I33+D34</f>
        <v>150</v>
      </c>
      <c r="J34" s="16" t="n">
        <f aca="false">(H34+D34)*가정!$B$10</f>
        <v>150</v>
      </c>
      <c r="K34" s="24" t="n">
        <f aca="false">A34*가정!$B$8*가정!$B$7</f>
        <v>150</v>
      </c>
      <c r="L34" s="11" t="n">
        <f aca="false">C34+F34</f>
        <v>1</v>
      </c>
    </row>
    <row r="35" customFormat="false" ht="15" hidden="false" customHeight="false" outlineLevel="0" collapsed="false">
      <c r="A35" s="11" t="n">
        <v>31</v>
      </c>
      <c r="B35" s="11" t="n">
        <f aca="false">MATCH(A35,월별!$C$6:$C$41,1)</f>
        <v>2</v>
      </c>
      <c r="C35" s="11" t="n">
        <f aca="false">L34</f>
        <v>1</v>
      </c>
      <c r="D35" s="24" t="n">
        <f aca="false">C35*가정!$B$8</f>
        <v>5</v>
      </c>
      <c r="E35" s="24" t="n">
        <f aca="false">H34+D34</f>
        <v>150</v>
      </c>
      <c r="F35" s="11" t="n">
        <f aca="false">IF(가정!$B$11=1,MAX(0,MIN(가정!$B$16-C35,INT(E35/가정!$B$17))),0)</f>
        <v>0</v>
      </c>
      <c r="G35" s="24" t="n">
        <f aca="false">F35*가정!$B$17</f>
        <v>0</v>
      </c>
      <c r="H35" s="24" t="n">
        <f aca="false">E35-G35</f>
        <v>150</v>
      </c>
      <c r="I35" s="24" t="n">
        <f aca="false">I34+D35</f>
        <v>155</v>
      </c>
      <c r="J35" s="16" t="n">
        <f aca="false">(H35+D35)*가정!$B$10</f>
        <v>155</v>
      </c>
      <c r="K35" s="24" t="n">
        <f aca="false">A35*가정!$B$8*가정!$B$7</f>
        <v>155</v>
      </c>
      <c r="L35" s="11" t="n">
        <f aca="false">C35+F35</f>
        <v>1</v>
      </c>
    </row>
    <row r="36" customFormat="false" ht="15" hidden="false" customHeight="false" outlineLevel="0" collapsed="false">
      <c r="A36" s="11" t="n">
        <v>32</v>
      </c>
      <c r="B36" s="11" t="n">
        <f aca="false">MATCH(A36,월별!$C$6:$C$41,1)</f>
        <v>2</v>
      </c>
      <c r="C36" s="11" t="n">
        <f aca="false">L35</f>
        <v>1</v>
      </c>
      <c r="D36" s="24" t="n">
        <f aca="false">C36*가정!$B$8</f>
        <v>5</v>
      </c>
      <c r="E36" s="24" t="n">
        <f aca="false">H35+D35</f>
        <v>155</v>
      </c>
      <c r="F36" s="11" t="n">
        <f aca="false">IF(가정!$B$11=1,MAX(0,MIN(가정!$B$16-C36,INT(E36/가정!$B$17))),0)</f>
        <v>0</v>
      </c>
      <c r="G36" s="24" t="n">
        <f aca="false">F36*가정!$B$17</f>
        <v>0</v>
      </c>
      <c r="H36" s="24" t="n">
        <f aca="false">E36-G36</f>
        <v>155</v>
      </c>
      <c r="I36" s="24" t="n">
        <f aca="false">I35+D36</f>
        <v>160</v>
      </c>
      <c r="J36" s="16" t="n">
        <f aca="false">(H36+D36)*가정!$B$10</f>
        <v>160</v>
      </c>
      <c r="K36" s="24" t="n">
        <f aca="false">A36*가정!$B$8*가정!$B$7</f>
        <v>160</v>
      </c>
      <c r="L36" s="11" t="n">
        <f aca="false">C36+F36</f>
        <v>1</v>
      </c>
    </row>
    <row r="37" customFormat="false" ht="15" hidden="false" customHeight="false" outlineLevel="0" collapsed="false">
      <c r="A37" s="11" t="n">
        <v>33</v>
      </c>
      <c r="B37" s="11" t="n">
        <f aca="false">MATCH(A37,월별!$C$6:$C$41,1)</f>
        <v>2</v>
      </c>
      <c r="C37" s="11" t="n">
        <f aca="false">L36</f>
        <v>1</v>
      </c>
      <c r="D37" s="24" t="n">
        <f aca="false">C37*가정!$B$8</f>
        <v>5</v>
      </c>
      <c r="E37" s="24" t="n">
        <f aca="false">H36+D36</f>
        <v>160</v>
      </c>
      <c r="F37" s="11" t="n">
        <f aca="false">IF(가정!$B$11=1,MAX(0,MIN(가정!$B$16-C37,INT(E37/가정!$B$17))),0)</f>
        <v>0</v>
      </c>
      <c r="G37" s="24" t="n">
        <f aca="false">F37*가정!$B$17</f>
        <v>0</v>
      </c>
      <c r="H37" s="24" t="n">
        <f aca="false">E37-G37</f>
        <v>160</v>
      </c>
      <c r="I37" s="24" t="n">
        <f aca="false">I36+D37</f>
        <v>165</v>
      </c>
      <c r="J37" s="16" t="n">
        <f aca="false">(H37+D37)*가정!$B$10</f>
        <v>165</v>
      </c>
      <c r="K37" s="24" t="n">
        <f aca="false">A37*가정!$B$8*가정!$B$7</f>
        <v>165</v>
      </c>
      <c r="L37" s="11" t="n">
        <f aca="false">C37+F37</f>
        <v>1</v>
      </c>
    </row>
    <row r="38" customFormat="false" ht="15" hidden="false" customHeight="false" outlineLevel="0" collapsed="false">
      <c r="A38" s="11" t="n">
        <v>34</v>
      </c>
      <c r="B38" s="11" t="n">
        <f aca="false">MATCH(A38,월별!$C$6:$C$41,1)</f>
        <v>2</v>
      </c>
      <c r="C38" s="11" t="n">
        <f aca="false">L37</f>
        <v>1</v>
      </c>
      <c r="D38" s="24" t="n">
        <f aca="false">C38*가정!$B$8</f>
        <v>5</v>
      </c>
      <c r="E38" s="24" t="n">
        <f aca="false">H37+D37</f>
        <v>165</v>
      </c>
      <c r="F38" s="11" t="n">
        <f aca="false">IF(가정!$B$11=1,MAX(0,MIN(가정!$B$16-C38,INT(E38/가정!$B$17))),0)</f>
        <v>0</v>
      </c>
      <c r="G38" s="24" t="n">
        <f aca="false">F38*가정!$B$17</f>
        <v>0</v>
      </c>
      <c r="H38" s="24" t="n">
        <f aca="false">E38-G38</f>
        <v>165</v>
      </c>
      <c r="I38" s="24" t="n">
        <f aca="false">I37+D38</f>
        <v>170</v>
      </c>
      <c r="J38" s="16" t="n">
        <f aca="false">(H38+D38)*가정!$B$10</f>
        <v>170</v>
      </c>
      <c r="K38" s="24" t="n">
        <f aca="false">A38*가정!$B$8*가정!$B$7</f>
        <v>170</v>
      </c>
      <c r="L38" s="11" t="n">
        <f aca="false">C38+F38</f>
        <v>1</v>
      </c>
    </row>
    <row r="39" customFormat="false" ht="15" hidden="false" customHeight="false" outlineLevel="0" collapsed="false">
      <c r="A39" s="11" t="n">
        <v>35</v>
      </c>
      <c r="B39" s="11" t="n">
        <f aca="false">MATCH(A39,월별!$C$6:$C$41,1)</f>
        <v>2</v>
      </c>
      <c r="C39" s="11" t="n">
        <f aca="false">L38</f>
        <v>1</v>
      </c>
      <c r="D39" s="24" t="n">
        <f aca="false">C39*가정!$B$8</f>
        <v>5</v>
      </c>
      <c r="E39" s="24" t="n">
        <f aca="false">H38+D38</f>
        <v>170</v>
      </c>
      <c r="F39" s="11" t="n">
        <f aca="false">IF(가정!$B$11=1,MAX(0,MIN(가정!$B$16-C39,INT(E39/가정!$B$17))),0)</f>
        <v>0</v>
      </c>
      <c r="G39" s="24" t="n">
        <f aca="false">F39*가정!$B$17</f>
        <v>0</v>
      </c>
      <c r="H39" s="24" t="n">
        <f aca="false">E39-G39</f>
        <v>170</v>
      </c>
      <c r="I39" s="24" t="n">
        <f aca="false">I38+D39</f>
        <v>175</v>
      </c>
      <c r="J39" s="16" t="n">
        <f aca="false">(H39+D39)*가정!$B$10</f>
        <v>175</v>
      </c>
      <c r="K39" s="24" t="n">
        <f aca="false">A39*가정!$B$8*가정!$B$7</f>
        <v>175</v>
      </c>
      <c r="L39" s="11" t="n">
        <f aca="false">C39+F39</f>
        <v>1</v>
      </c>
    </row>
    <row r="40" customFormat="false" ht="15" hidden="false" customHeight="false" outlineLevel="0" collapsed="false">
      <c r="A40" s="11" t="n">
        <v>36</v>
      </c>
      <c r="B40" s="11" t="n">
        <f aca="false">MATCH(A40,월별!$C$6:$C$41,1)</f>
        <v>2</v>
      </c>
      <c r="C40" s="11" t="n">
        <f aca="false">L39</f>
        <v>1</v>
      </c>
      <c r="D40" s="24" t="n">
        <f aca="false">C40*가정!$B$8</f>
        <v>5</v>
      </c>
      <c r="E40" s="24" t="n">
        <f aca="false">H39+D39</f>
        <v>175</v>
      </c>
      <c r="F40" s="11" t="n">
        <f aca="false">IF(가정!$B$11=1,MAX(0,MIN(가정!$B$16-C40,INT(E40/가정!$B$17))),0)</f>
        <v>0</v>
      </c>
      <c r="G40" s="24" t="n">
        <f aca="false">F40*가정!$B$17</f>
        <v>0</v>
      </c>
      <c r="H40" s="24" t="n">
        <f aca="false">E40-G40</f>
        <v>175</v>
      </c>
      <c r="I40" s="24" t="n">
        <f aca="false">I39+D40</f>
        <v>180</v>
      </c>
      <c r="J40" s="16" t="n">
        <f aca="false">(H40+D40)*가정!$B$10</f>
        <v>180</v>
      </c>
      <c r="K40" s="24" t="n">
        <f aca="false">A40*가정!$B$8*가정!$B$7</f>
        <v>180</v>
      </c>
      <c r="L40" s="11" t="n">
        <f aca="false">C40+F40</f>
        <v>1</v>
      </c>
    </row>
    <row r="41" customFormat="false" ht="15" hidden="false" customHeight="false" outlineLevel="0" collapsed="false">
      <c r="A41" s="11" t="n">
        <v>37</v>
      </c>
      <c r="B41" s="11" t="n">
        <f aca="false">MATCH(A41,월별!$C$6:$C$41,1)</f>
        <v>2</v>
      </c>
      <c r="C41" s="11" t="n">
        <f aca="false">L40</f>
        <v>1</v>
      </c>
      <c r="D41" s="24" t="n">
        <f aca="false">C41*가정!$B$8</f>
        <v>5</v>
      </c>
      <c r="E41" s="24" t="n">
        <f aca="false">H40+D40</f>
        <v>180</v>
      </c>
      <c r="F41" s="11" t="n">
        <f aca="false">IF(가정!$B$11=1,MAX(0,MIN(가정!$B$16-C41,INT(E41/가정!$B$17))),0)</f>
        <v>0</v>
      </c>
      <c r="G41" s="24" t="n">
        <f aca="false">F41*가정!$B$17</f>
        <v>0</v>
      </c>
      <c r="H41" s="24" t="n">
        <f aca="false">E41-G41</f>
        <v>180</v>
      </c>
      <c r="I41" s="24" t="n">
        <f aca="false">I40+D41</f>
        <v>185</v>
      </c>
      <c r="J41" s="16" t="n">
        <f aca="false">(H41+D41)*가정!$B$10</f>
        <v>185</v>
      </c>
      <c r="K41" s="24" t="n">
        <f aca="false">A41*가정!$B$8*가정!$B$7</f>
        <v>185</v>
      </c>
      <c r="L41" s="11" t="n">
        <f aca="false">C41+F41</f>
        <v>1</v>
      </c>
    </row>
    <row r="42" customFormat="false" ht="15" hidden="false" customHeight="false" outlineLevel="0" collapsed="false">
      <c r="A42" s="11" t="n">
        <v>38</v>
      </c>
      <c r="B42" s="11" t="n">
        <f aca="false">MATCH(A42,월별!$C$6:$C$41,1)</f>
        <v>2</v>
      </c>
      <c r="C42" s="11" t="n">
        <f aca="false">L41</f>
        <v>1</v>
      </c>
      <c r="D42" s="24" t="n">
        <f aca="false">C42*가정!$B$8</f>
        <v>5</v>
      </c>
      <c r="E42" s="24" t="n">
        <f aca="false">H41+D41</f>
        <v>185</v>
      </c>
      <c r="F42" s="11" t="n">
        <f aca="false">IF(가정!$B$11=1,MAX(0,MIN(가정!$B$16-C42,INT(E42/가정!$B$17))),0)</f>
        <v>0</v>
      </c>
      <c r="G42" s="24" t="n">
        <f aca="false">F42*가정!$B$17</f>
        <v>0</v>
      </c>
      <c r="H42" s="24" t="n">
        <f aca="false">E42-G42</f>
        <v>185</v>
      </c>
      <c r="I42" s="24" t="n">
        <f aca="false">I41+D42</f>
        <v>190</v>
      </c>
      <c r="J42" s="16" t="n">
        <f aca="false">(H42+D42)*가정!$B$10</f>
        <v>190</v>
      </c>
      <c r="K42" s="24" t="n">
        <f aca="false">A42*가정!$B$8*가정!$B$7</f>
        <v>190</v>
      </c>
      <c r="L42" s="11" t="n">
        <f aca="false">C42+F42</f>
        <v>1</v>
      </c>
    </row>
    <row r="43" customFormat="false" ht="15" hidden="false" customHeight="false" outlineLevel="0" collapsed="false">
      <c r="A43" s="11" t="n">
        <v>39</v>
      </c>
      <c r="B43" s="11" t="n">
        <f aca="false">MATCH(A43,월별!$C$6:$C$41,1)</f>
        <v>2</v>
      </c>
      <c r="C43" s="11" t="n">
        <f aca="false">L42</f>
        <v>1</v>
      </c>
      <c r="D43" s="24" t="n">
        <f aca="false">C43*가정!$B$8</f>
        <v>5</v>
      </c>
      <c r="E43" s="24" t="n">
        <f aca="false">H42+D42</f>
        <v>190</v>
      </c>
      <c r="F43" s="11" t="n">
        <f aca="false">IF(가정!$B$11=1,MAX(0,MIN(가정!$B$16-C43,INT(E43/가정!$B$17))),0)</f>
        <v>0</v>
      </c>
      <c r="G43" s="24" t="n">
        <f aca="false">F43*가정!$B$17</f>
        <v>0</v>
      </c>
      <c r="H43" s="24" t="n">
        <f aca="false">E43-G43</f>
        <v>190</v>
      </c>
      <c r="I43" s="24" t="n">
        <f aca="false">I42+D43</f>
        <v>195</v>
      </c>
      <c r="J43" s="16" t="n">
        <f aca="false">(H43+D43)*가정!$B$10</f>
        <v>195</v>
      </c>
      <c r="K43" s="24" t="n">
        <f aca="false">A43*가정!$B$8*가정!$B$7</f>
        <v>195</v>
      </c>
      <c r="L43" s="11" t="n">
        <f aca="false">C43+F43</f>
        <v>1</v>
      </c>
    </row>
    <row r="44" customFormat="false" ht="15" hidden="false" customHeight="false" outlineLevel="0" collapsed="false">
      <c r="A44" s="11" t="n">
        <v>40</v>
      </c>
      <c r="B44" s="11" t="n">
        <f aca="false">MATCH(A44,월별!$C$6:$C$41,1)</f>
        <v>2</v>
      </c>
      <c r="C44" s="11" t="n">
        <f aca="false">L43</f>
        <v>1</v>
      </c>
      <c r="D44" s="24" t="n">
        <f aca="false">C44*가정!$B$8</f>
        <v>5</v>
      </c>
      <c r="E44" s="24" t="n">
        <f aca="false">H43+D43</f>
        <v>195</v>
      </c>
      <c r="F44" s="11" t="n">
        <f aca="false">IF(가정!$B$11=1,MAX(0,MIN(가정!$B$16-C44,INT(E44/가정!$B$17))),0)</f>
        <v>0</v>
      </c>
      <c r="G44" s="24" t="n">
        <f aca="false">F44*가정!$B$17</f>
        <v>0</v>
      </c>
      <c r="H44" s="24" t="n">
        <f aca="false">E44-G44</f>
        <v>195</v>
      </c>
      <c r="I44" s="24" t="n">
        <f aca="false">I43+D44</f>
        <v>200</v>
      </c>
      <c r="J44" s="16" t="n">
        <f aca="false">(H44+D44)*가정!$B$10</f>
        <v>200</v>
      </c>
      <c r="K44" s="24" t="n">
        <f aca="false">A44*가정!$B$8*가정!$B$7</f>
        <v>200</v>
      </c>
      <c r="L44" s="11" t="n">
        <f aca="false">C44+F44</f>
        <v>1</v>
      </c>
    </row>
    <row r="45" customFormat="false" ht="15" hidden="false" customHeight="false" outlineLevel="0" collapsed="false">
      <c r="A45" s="11" t="n">
        <v>41</v>
      </c>
      <c r="B45" s="11" t="n">
        <f aca="false">MATCH(A45,월별!$C$6:$C$41,1)</f>
        <v>2</v>
      </c>
      <c r="C45" s="11" t="n">
        <f aca="false">L44</f>
        <v>1</v>
      </c>
      <c r="D45" s="24" t="n">
        <f aca="false">C45*가정!$B$8</f>
        <v>5</v>
      </c>
      <c r="E45" s="24" t="n">
        <f aca="false">H44+D44</f>
        <v>200</v>
      </c>
      <c r="F45" s="11" t="n">
        <f aca="false">IF(가정!$B$11=1,MAX(0,MIN(가정!$B$16-C45,INT(E45/가정!$B$17))),0)</f>
        <v>0</v>
      </c>
      <c r="G45" s="24" t="n">
        <f aca="false">F45*가정!$B$17</f>
        <v>0</v>
      </c>
      <c r="H45" s="24" t="n">
        <f aca="false">E45-G45</f>
        <v>200</v>
      </c>
      <c r="I45" s="24" t="n">
        <f aca="false">I44+D45</f>
        <v>205</v>
      </c>
      <c r="J45" s="16" t="n">
        <f aca="false">(H45+D45)*가정!$B$10</f>
        <v>205</v>
      </c>
      <c r="K45" s="24" t="n">
        <f aca="false">A45*가정!$B$8*가정!$B$7</f>
        <v>205</v>
      </c>
      <c r="L45" s="11" t="n">
        <f aca="false">C45+F45</f>
        <v>1</v>
      </c>
    </row>
    <row r="46" customFormat="false" ht="15" hidden="false" customHeight="false" outlineLevel="0" collapsed="false">
      <c r="A46" s="11" t="n">
        <v>42</v>
      </c>
      <c r="B46" s="11" t="n">
        <f aca="false">MATCH(A46,월별!$C$6:$C$41,1)</f>
        <v>2</v>
      </c>
      <c r="C46" s="11" t="n">
        <f aca="false">L45</f>
        <v>1</v>
      </c>
      <c r="D46" s="24" t="n">
        <f aca="false">C46*가정!$B$8</f>
        <v>5</v>
      </c>
      <c r="E46" s="24" t="n">
        <f aca="false">H45+D45</f>
        <v>205</v>
      </c>
      <c r="F46" s="11" t="n">
        <f aca="false">IF(가정!$B$11=1,MAX(0,MIN(가정!$B$16-C46,INT(E46/가정!$B$17))),0)</f>
        <v>0</v>
      </c>
      <c r="G46" s="24" t="n">
        <f aca="false">F46*가정!$B$17</f>
        <v>0</v>
      </c>
      <c r="H46" s="24" t="n">
        <f aca="false">E46-G46</f>
        <v>205</v>
      </c>
      <c r="I46" s="24" t="n">
        <f aca="false">I45+D46</f>
        <v>210</v>
      </c>
      <c r="J46" s="16" t="n">
        <f aca="false">(H46+D46)*가정!$B$10</f>
        <v>210</v>
      </c>
      <c r="K46" s="24" t="n">
        <f aca="false">A46*가정!$B$8*가정!$B$7</f>
        <v>210</v>
      </c>
      <c r="L46" s="11" t="n">
        <f aca="false">C46+F46</f>
        <v>1</v>
      </c>
    </row>
    <row r="47" customFormat="false" ht="15" hidden="false" customHeight="false" outlineLevel="0" collapsed="false">
      <c r="A47" s="11" t="n">
        <v>43</v>
      </c>
      <c r="B47" s="11" t="n">
        <f aca="false">MATCH(A47,월별!$C$6:$C$41,1)</f>
        <v>2</v>
      </c>
      <c r="C47" s="11" t="n">
        <f aca="false">L46</f>
        <v>1</v>
      </c>
      <c r="D47" s="24" t="n">
        <f aca="false">C47*가정!$B$8</f>
        <v>5</v>
      </c>
      <c r="E47" s="24" t="n">
        <f aca="false">H46+D46</f>
        <v>210</v>
      </c>
      <c r="F47" s="11" t="n">
        <f aca="false">IF(가정!$B$11=1,MAX(0,MIN(가정!$B$16-C47,INT(E47/가정!$B$17))),0)</f>
        <v>0</v>
      </c>
      <c r="G47" s="24" t="n">
        <f aca="false">F47*가정!$B$17</f>
        <v>0</v>
      </c>
      <c r="H47" s="24" t="n">
        <f aca="false">E47-G47</f>
        <v>210</v>
      </c>
      <c r="I47" s="24" t="n">
        <f aca="false">I46+D47</f>
        <v>215</v>
      </c>
      <c r="J47" s="16" t="n">
        <f aca="false">(H47+D47)*가정!$B$10</f>
        <v>215</v>
      </c>
      <c r="K47" s="24" t="n">
        <f aca="false">A47*가정!$B$8*가정!$B$7</f>
        <v>215</v>
      </c>
      <c r="L47" s="11" t="n">
        <f aca="false">C47+F47</f>
        <v>1</v>
      </c>
    </row>
    <row r="48" customFormat="false" ht="15" hidden="false" customHeight="false" outlineLevel="0" collapsed="false">
      <c r="A48" s="11" t="n">
        <v>44</v>
      </c>
      <c r="B48" s="11" t="n">
        <f aca="false">MATCH(A48,월별!$C$6:$C$41,1)</f>
        <v>2</v>
      </c>
      <c r="C48" s="11" t="n">
        <f aca="false">L47</f>
        <v>1</v>
      </c>
      <c r="D48" s="24" t="n">
        <f aca="false">C48*가정!$B$8</f>
        <v>5</v>
      </c>
      <c r="E48" s="24" t="n">
        <f aca="false">H47+D47</f>
        <v>215</v>
      </c>
      <c r="F48" s="11" t="n">
        <f aca="false">IF(가정!$B$11=1,MAX(0,MIN(가정!$B$16-C48,INT(E48/가정!$B$17))),0)</f>
        <v>0</v>
      </c>
      <c r="G48" s="24" t="n">
        <f aca="false">F48*가정!$B$17</f>
        <v>0</v>
      </c>
      <c r="H48" s="24" t="n">
        <f aca="false">E48-G48</f>
        <v>215</v>
      </c>
      <c r="I48" s="24" t="n">
        <f aca="false">I47+D48</f>
        <v>220</v>
      </c>
      <c r="J48" s="16" t="n">
        <f aca="false">(H48+D48)*가정!$B$10</f>
        <v>220</v>
      </c>
      <c r="K48" s="24" t="n">
        <f aca="false">A48*가정!$B$8*가정!$B$7</f>
        <v>220</v>
      </c>
      <c r="L48" s="11" t="n">
        <f aca="false">C48+F48</f>
        <v>1</v>
      </c>
    </row>
    <row r="49" customFormat="false" ht="15" hidden="false" customHeight="false" outlineLevel="0" collapsed="false">
      <c r="A49" s="11" t="n">
        <v>45</v>
      </c>
      <c r="B49" s="11" t="n">
        <f aca="false">MATCH(A49,월별!$C$6:$C$41,1)</f>
        <v>2</v>
      </c>
      <c r="C49" s="11" t="n">
        <f aca="false">L48</f>
        <v>1</v>
      </c>
      <c r="D49" s="24" t="n">
        <f aca="false">C49*가정!$B$8</f>
        <v>5</v>
      </c>
      <c r="E49" s="24" t="n">
        <f aca="false">H48+D48</f>
        <v>220</v>
      </c>
      <c r="F49" s="11" t="n">
        <f aca="false">IF(가정!$B$11=1,MAX(0,MIN(가정!$B$16-C49,INT(E49/가정!$B$17))),0)</f>
        <v>0</v>
      </c>
      <c r="G49" s="24" t="n">
        <f aca="false">F49*가정!$B$17</f>
        <v>0</v>
      </c>
      <c r="H49" s="24" t="n">
        <f aca="false">E49-G49</f>
        <v>220</v>
      </c>
      <c r="I49" s="24" t="n">
        <f aca="false">I48+D49</f>
        <v>225</v>
      </c>
      <c r="J49" s="16" t="n">
        <f aca="false">(H49+D49)*가정!$B$10</f>
        <v>225</v>
      </c>
      <c r="K49" s="24" t="n">
        <f aca="false">A49*가정!$B$8*가정!$B$7</f>
        <v>225</v>
      </c>
      <c r="L49" s="11" t="n">
        <f aca="false">C49+F49</f>
        <v>1</v>
      </c>
    </row>
    <row r="50" customFormat="false" ht="15" hidden="false" customHeight="false" outlineLevel="0" collapsed="false">
      <c r="A50" s="11" t="n">
        <v>46</v>
      </c>
      <c r="B50" s="11" t="n">
        <f aca="false">MATCH(A50,월별!$C$6:$C$41,1)</f>
        <v>2</v>
      </c>
      <c r="C50" s="11" t="n">
        <f aca="false">L49</f>
        <v>1</v>
      </c>
      <c r="D50" s="24" t="n">
        <f aca="false">C50*가정!$B$8</f>
        <v>5</v>
      </c>
      <c r="E50" s="24" t="n">
        <f aca="false">H49+D49</f>
        <v>225</v>
      </c>
      <c r="F50" s="11" t="n">
        <f aca="false">IF(가정!$B$11=1,MAX(0,MIN(가정!$B$16-C50,INT(E50/가정!$B$17))),0)</f>
        <v>0</v>
      </c>
      <c r="G50" s="24" t="n">
        <f aca="false">F50*가정!$B$17</f>
        <v>0</v>
      </c>
      <c r="H50" s="24" t="n">
        <f aca="false">E50-G50</f>
        <v>225</v>
      </c>
      <c r="I50" s="24" t="n">
        <f aca="false">I49+D50</f>
        <v>230</v>
      </c>
      <c r="J50" s="16" t="n">
        <f aca="false">(H50+D50)*가정!$B$10</f>
        <v>230</v>
      </c>
      <c r="K50" s="24" t="n">
        <f aca="false">A50*가정!$B$8*가정!$B$7</f>
        <v>230</v>
      </c>
      <c r="L50" s="11" t="n">
        <f aca="false">C50+F50</f>
        <v>1</v>
      </c>
    </row>
    <row r="51" customFormat="false" ht="15" hidden="false" customHeight="false" outlineLevel="0" collapsed="false">
      <c r="A51" s="11" t="n">
        <v>47</v>
      </c>
      <c r="B51" s="11" t="n">
        <f aca="false">MATCH(A51,월별!$C$6:$C$41,1)</f>
        <v>2</v>
      </c>
      <c r="C51" s="11" t="n">
        <f aca="false">L50</f>
        <v>1</v>
      </c>
      <c r="D51" s="24" t="n">
        <f aca="false">C51*가정!$B$8</f>
        <v>5</v>
      </c>
      <c r="E51" s="24" t="n">
        <f aca="false">H50+D50</f>
        <v>230</v>
      </c>
      <c r="F51" s="11" t="n">
        <f aca="false">IF(가정!$B$11=1,MAX(0,MIN(가정!$B$16-C51,INT(E51/가정!$B$17))),0)</f>
        <v>0</v>
      </c>
      <c r="G51" s="24" t="n">
        <f aca="false">F51*가정!$B$17</f>
        <v>0</v>
      </c>
      <c r="H51" s="24" t="n">
        <f aca="false">E51-G51</f>
        <v>230</v>
      </c>
      <c r="I51" s="24" t="n">
        <f aca="false">I50+D51</f>
        <v>235</v>
      </c>
      <c r="J51" s="16" t="n">
        <f aca="false">(H51+D51)*가정!$B$10</f>
        <v>235</v>
      </c>
      <c r="K51" s="24" t="n">
        <f aca="false">A51*가정!$B$8*가정!$B$7</f>
        <v>235</v>
      </c>
      <c r="L51" s="11" t="n">
        <f aca="false">C51+F51</f>
        <v>1</v>
      </c>
    </row>
    <row r="52" customFormat="false" ht="15" hidden="false" customHeight="false" outlineLevel="0" collapsed="false">
      <c r="A52" s="11" t="n">
        <v>48</v>
      </c>
      <c r="B52" s="11" t="n">
        <f aca="false">MATCH(A52,월별!$C$6:$C$41,1)</f>
        <v>2</v>
      </c>
      <c r="C52" s="11" t="n">
        <f aca="false">L51</f>
        <v>1</v>
      </c>
      <c r="D52" s="24" t="n">
        <f aca="false">C52*가정!$B$8</f>
        <v>5</v>
      </c>
      <c r="E52" s="24" t="n">
        <f aca="false">H51+D51</f>
        <v>235</v>
      </c>
      <c r="F52" s="11" t="n">
        <f aca="false">IF(가정!$B$11=1,MAX(0,MIN(가정!$B$16-C52,INT(E52/가정!$B$17))),0)</f>
        <v>0</v>
      </c>
      <c r="G52" s="24" t="n">
        <f aca="false">F52*가정!$B$17</f>
        <v>0</v>
      </c>
      <c r="H52" s="24" t="n">
        <f aca="false">E52-G52</f>
        <v>235</v>
      </c>
      <c r="I52" s="24" t="n">
        <f aca="false">I51+D52</f>
        <v>240</v>
      </c>
      <c r="J52" s="16" t="n">
        <f aca="false">(H52+D52)*가정!$B$10</f>
        <v>240</v>
      </c>
      <c r="K52" s="24" t="n">
        <f aca="false">A52*가정!$B$8*가정!$B$7</f>
        <v>240</v>
      </c>
      <c r="L52" s="11" t="n">
        <f aca="false">C52+F52</f>
        <v>1</v>
      </c>
    </row>
    <row r="53" customFormat="false" ht="15" hidden="false" customHeight="false" outlineLevel="0" collapsed="false">
      <c r="A53" s="11" t="n">
        <v>49</v>
      </c>
      <c r="B53" s="11" t="n">
        <f aca="false">MATCH(A53,월별!$C$6:$C$41,1)</f>
        <v>2</v>
      </c>
      <c r="C53" s="11" t="n">
        <f aca="false">L52</f>
        <v>1</v>
      </c>
      <c r="D53" s="24" t="n">
        <f aca="false">C53*가정!$B$8</f>
        <v>5</v>
      </c>
      <c r="E53" s="24" t="n">
        <f aca="false">H52+D52</f>
        <v>240</v>
      </c>
      <c r="F53" s="11" t="n">
        <f aca="false">IF(가정!$B$11=1,MAX(0,MIN(가정!$B$16-C53,INT(E53/가정!$B$17))),0)</f>
        <v>0</v>
      </c>
      <c r="G53" s="24" t="n">
        <f aca="false">F53*가정!$B$17</f>
        <v>0</v>
      </c>
      <c r="H53" s="24" t="n">
        <f aca="false">E53-G53</f>
        <v>240</v>
      </c>
      <c r="I53" s="24" t="n">
        <f aca="false">I52+D53</f>
        <v>245</v>
      </c>
      <c r="J53" s="16" t="n">
        <f aca="false">(H53+D53)*가정!$B$10</f>
        <v>245</v>
      </c>
      <c r="K53" s="24" t="n">
        <f aca="false">A53*가정!$B$8*가정!$B$7</f>
        <v>245</v>
      </c>
      <c r="L53" s="11" t="n">
        <f aca="false">C53+F53</f>
        <v>1</v>
      </c>
    </row>
    <row r="54" customFormat="false" ht="15" hidden="false" customHeight="false" outlineLevel="0" collapsed="false">
      <c r="A54" s="11" t="n">
        <v>50</v>
      </c>
      <c r="B54" s="11" t="n">
        <f aca="false">MATCH(A54,월별!$C$6:$C$41,1)</f>
        <v>2</v>
      </c>
      <c r="C54" s="11" t="n">
        <f aca="false">L53</f>
        <v>1</v>
      </c>
      <c r="D54" s="24" t="n">
        <f aca="false">C54*가정!$B$8</f>
        <v>5</v>
      </c>
      <c r="E54" s="24" t="n">
        <f aca="false">H53+D53</f>
        <v>245</v>
      </c>
      <c r="F54" s="11" t="n">
        <f aca="false">IF(가정!$B$11=1,MAX(0,MIN(가정!$B$16-C54,INT(E54/가정!$B$17))),0)</f>
        <v>0</v>
      </c>
      <c r="G54" s="24" t="n">
        <f aca="false">F54*가정!$B$17</f>
        <v>0</v>
      </c>
      <c r="H54" s="24" t="n">
        <f aca="false">E54-G54</f>
        <v>245</v>
      </c>
      <c r="I54" s="24" t="n">
        <f aca="false">I53+D54</f>
        <v>250</v>
      </c>
      <c r="J54" s="16" t="n">
        <f aca="false">(H54+D54)*가정!$B$10</f>
        <v>250</v>
      </c>
      <c r="K54" s="24" t="n">
        <f aca="false">A54*가정!$B$8*가정!$B$7</f>
        <v>250</v>
      </c>
      <c r="L54" s="11" t="n">
        <f aca="false">C54+F54</f>
        <v>1</v>
      </c>
    </row>
    <row r="55" customFormat="false" ht="15" hidden="false" customHeight="false" outlineLevel="0" collapsed="false">
      <c r="A55" s="11" t="n">
        <v>51</v>
      </c>
      <c r="B55" s="11" t="n">
        <f aca="false">MATCH(A55,월별!$C$6:$C$41,1)</f>
        <v>2</v>
      </c>
      <c r="C55" s="11" t="n">
        <f aca="false">L54</f>
        <v>1</v>
      </c>
      <c r="D55" s="24" t="n">
        <f aca="false">C55*가정!$B$8</f>
        <v>5</v>
      </c>
      <c r="E55" s="24" t="n">
        <f aca="false">H54+D54</f>
        <v>250</v>
      </c>
      <c r="F55" s="11" t="n">
        <f aca="false">IF(가정!$B$11=1,MAX(0,MIN(가정!$B$16-C55,INT(E55/가정!$B$17))),0)</f>
        <v>0</v>
      </c>
      <c r="G55" s="24" t="n">
        <f aca="false">F55*가정!$B$17</f>
        <v>0</v>
      </c>
      <c r="H55" s="24" t="n">
        <f aca="false">E55-G55</f>
        <v>250</v>
      </c>
      <c r="I55" s="24" t="n">
        <f aca="false">I54+D55</f>
        <v>255</v>
      </c>
      <c r="J55" s="16" t="n">
        <f aca="false">(H55+D55)*가정!$B$10</f>
        <v>255</v>
      </c>
      <c r="K55" s="24" t="n">
        <f aca="false">A55*가정!$B$8*가정!$B$7</f>
        <v>255</v>
      </c>
      <c r="L55" s="11" t="n">
        <f aca="false">C55+F55</f>
        <v>1</v>
      </c>
    </row>
    <row r="56" customFormat="false" ht="15" hidden="false" customHeight="false" outlineLevel="0" collapsed="false">
      <c r="A56" s="11" t="n">
        <v>52</v>
      </c>
      <c r="B56" s="11" t="n">
        <f aca="false">MATCH(A56,월별!$C$6:$C$41,1)</f>
        <v>2</v>
      </c>
      <c r="C56" s="11" t="n">
        <f aca="false">L55</f>
        <v>1</v>
      </c>
      <c r="D56" s="24" t="n">
        <f aca="false">C56*가정!$B$8</f>
        <v>5</v>
      </c>
      <c r="E56" s="24" t="n">
        <f aca="false">H55+D55</f>
        <v>255</v>
      </c>
      <c r="F56" s="11" t="n">
        <f aca="false">IF(가정!$B$11=1,MAX(0,MIN(가정!$B$16-C56,INT(E56/가정!$B$17))),0)</f>
        <v>0</v>
      </c>
      <c r="G56" s="24" t="n">
        <f aca="false">F56*가정!$B$17</f>
        <v>0</v>
      </c>
      <c r="H56" s="24" t="n">
        <f aca="false">E56-G56</f>
        <v>255</v>
      </c>
      <c r="I56" s="24" t="n">
        <f aca="false">I55+D56</f>
        <v>260</v>
      </c>
      <c r="J56" s="16" t="n">
        <f aca="false">(H56+D56)*가정!$B$10</f>
        <v>260</v>
      </c>
      <c r="K56" s="24" t="n">
        <f aca="false">A56*가정!$B$8*가정!$B$7</f>
        <v>260</v>
      </c>
      <c r="L56" s="11" t="n">
        <f aca="false">C56+F56</f>
        <v>1</v>
      </c>
    </row>
    <row r="57" customFormat="false" ht="15" hidden="false" customHeight="false" outlineLevel="0" collapsed="false">
      <c r="A57" s="11" t="n">
        <v>53</v>
      </c>
      <c r="B57" s="11" t="n">
        <f aca="false">MATCH(A57,월별!$C$6:$C$41,1)</f>
        <v>2</v>
      </c>
      <c r="C57" s="11" t="n">
        <f aca="false">L56</f>
        <v>1</v>
      </c>
      <c r="D57" s="24" t="n">
        <f aca="false">C57*가정!$B$8</f>
        <v>5</v>
      </c>
      <c r="E57" s="24" t="n">
        <f aca="false">H56+D56</f>
        <v>260</v>
      </c>
      <c r="F57" s="11" t="n">
        <f aca="false">IF(가정!$B$11=1,MAX(0,MIN(가정!$B$16-C57,INT(E57/가정!$B$17))),0)</f>
        <v>0</v>
      </c>
      <c r="G57" s="24" t="n">
        <f aca="false">F57*가정!$B$17</f>
        <v>0</v>
      </c>
      <c r="H57" s="24" t="n">
        <f aca="false">E57-G57</f>
        <v>260</v>
      </c>
      <c r="I57" s="24" t="n">
        <f aca="false">I56+D57</f>
        <v>265</v>
      </c>
      <c r="J57" s="16" t="n">
        <f aca="false">(H57+D57)*가정!$B$10</f>
        <v>265</v>
      </c>
      <c r="K57" s="24" t="n">
        <f aca="false">A57*가정!$B$8*가정!$B$7</f>
        <v>265</v>
      </c>
      <c r="L57" s="11" t="n">
        <f aca="false">C57+F57</f>
        <v>1</v>
      </c>
    </row>
    <row r="58" customFormat="false" ht="15" hidden="false" customHeight="false" outlineLevel="0" collapsed="false">
      <c r="A58" s="11" t="n">
        <v>54</v>
      </c>
      <c r="B58" s="11" t="n">
        <f aca="false">MATCH(A58,월별!$C$6:$C$41,1)</f>
        <v>2</v>
      </c>
      <c r="C58" s="11" t="n">
        <f aca="false">L57</f>
        <v>1</v>
      </c>
      <c r="D58" s="24" t="n">
        <f aca="false">C58*가정!$B$8</f>
        <v>5</v>
      </c>
      <c r="E58" s="24" t="n">
        <f aca="false">H57+D57</f>
        <v>265</v>
      </c>
      <c r="F58" s="11" t="n">
        <f aca="false">IF(가정!$B$11=1,MAX(0,MIN(가정!$B$16-C58,INT(E58/가정!$B$17))),0)</f>
        <v>0</v>
      </c>
      <c r="G58" s="24" t="n">
        <f aca="false">F58*가정!$B$17</f>
        <v>0</v>
      </c>
      <c r="H58" s="24" t="n">
        <f aca="false">E58-G58</f>
        <v>265</v>
      </c>
      <c r="I58" s="24" t="n">
        <f aca="false">I57+D58</f>
        <v>270</v>
      </c>
      <c r="J58" s="16" t="n">
        <f aca="false">(H58+D58)*가정!$B$10</f>
        <v>270</v>
      </c>
      <c r="K58" s="24" t="n">
        <f aca="false">A58*가정!$B$8*가정!$B$7</f>
        <v>270</v>
      </c>
      <c r="L58" s="11" t="n">
        <f aca="false">C58+F58</f>
        <v>1</v>
      </c>
    </row>
    <row r="59" customFormat="false" ht="15" hidden="false" customHeight="false" outlineLevel="0" collapsed="false">
      <c r="A59" s="11" t="n">
        <v>55</v>
      </c>
      <c r="B59" s="11" t="n">
        <f aca="false">MATCH(A59,월별!$C$6:$C$41,1)</f>
        <v>2</v>
      </c>
      <c r="C59" s="11" t="n">
        <f aca="false">L58</f>
        <v>1</v>
      </c>
      <c r="D59" s="24" t="n">
        <f aca="false">C59*가정!$B$8</f>
        <v>5</v>
      </c>
      <c r="E59" s="24" t="n">
        <f aca="false">H58+D58</f>
        <v>270</v>
      </c>
      <c r="F59" s="11" t="n">
        <f aca="false">IF(가정!$B$11=1,MAX(0,MIN(가정!$B$16-C59,INT(E59/가정!$B$17))),0)</f>
        <v>1</v>
      </c>
      <c r="G59" s="24" t="n">
        <f aca="false">F59*가정!$B$17</f>
        <v>267.336683417085</v>
      </c>
      <c r="H59" s="24" t="n">
        <f aca="false">E59-G59</f>
        <v>2.66331658291455</v>
      </c>
      <c r="I59" s="24" t="n">
        <f aca="false">I58+D59</f>
        <v>275</v>
      </c>
      <c r="J59" s="16" t="n">
        <f aca="false">(H59+D59)*가정!$B$10</f>
        <v>7.66331658291455</v>
      </c>
      <c r="K59" s="24" t="n">
        <f aca="false">A59*가정!$B$8*가정!$B$7</f>
        <v>275</v>
      </c>
      <c r="L59" s="11" t="n">
        <f aca="false">C59+F59</f>
        <v>2</v>
      </c>
    </row>
    <row r="60" customFormat="false" ht="15" hidden="false" customHeight="false" outlineLevel="0" collapsed="false">
      <c r="A60" s="11" t="n">
        <v>56</v>
      </c>
      <c r="B60" s="11" t="n">
        <f aca="false">MATCH(A60,월별!$C$6:$C$41,1)</f>
        <v>2</v>
      </c>
      <c r="C60" s="11" t="n">
        <f aca="false">L59</f>
        <v>2</v>
      </c>
      <c r="D60" s="24" t="n">
        <f aca="false">C60*가정!$B$8</f>
        <v>10</v>
      </c>
      <c r="E60" s="24" t="n">
        <f aca="false">H59+D59</f>
        <v>7.66331658291455</v>
      </c>
      <c r="F60" s="11" t="n">
        <f aca="false">IF(가정!$B$11=1,MAX(0,MIN(가정!$B$16-C60,INT(E60/가정!$B$17))),0)</f>
        <v>0</v>
      </c>
      <c r="G60" s="24" t="n">
        <f aca="false">F60*가정!$B$17</f>
        <v>0</v>
      </c>
      <c r="H60" s="24" t="n">
        <f aca="false">E60-G60</f>
        <v>7.66331658291455</v>
      </c>
      <c r="I60" s="24" t="n">
        <f aca="false">I59+D60</f>
        <v>285</v>
      </c>
      <c r="J60" s="16" t="n">
        <f aca="false">(H60+D60)*가정!$B$10</f>
        <v>17.6633165829145</v>
      </c>
      <c r="K60" s="24" t="n">
        <f aca="false">A60*가정!$B$8*가정!$B$7</f>
        <v>280</v>
      </c>
      <c r="L60" s="11" t="n">
        <f aca="false">C60+F60</f>
        <v>2</v>
      </c>
    </row>
    <row r="61" customFormat="false" ht="15" hidden="false" customHeight="false" outlineLevel="0" collapsed="false">
      <c r="A61" s="11" t="n">
        <v>57</v>
      </c>
      <c r="B61" s="11" t="n">
        <f aca="false">MATCH(A61,월별!$C$6:$C$41,1)</f>
        <v>2</v>
      </c>
      <c r="C61" s="11" t="n">
        <f aca="false">L60</f>
        <v>2</v>
      </c>
      <c r="D61" s="24" t="n">
        <f aca="false">C61*가정!$B$8</f>
        <v>10</v>
      </c>
      <c r="E61" s="24" t="n">
        <f aca="false">H60+D60</f>
        <v>17.6633165829145</v>
      </c>
      <c r="F61" s="11" t="n">
        <f aca="false">IF(가정!$B$11=1,MAX(0,MIN(가정!$B$16-C61,INT(E61/가정!$B$17))),0)</f>
        <v>0</v>
      </c>
      <c r="G61" s="24" t="n">
        <f aca="false">F61*가정!$B$17</f>
        <v>0</v>
      </c>
      <c r="H61" s="24" t="n">
        <f aca="false">E61-G61</f>
        <v>17.6633165829145</v>
      </c>
      <c r="I61" s="24" t="n">
        <f aca="false">I60+D61</f>
        <v>295</v>
      </c>
      <c r="J61" s="16" t="n">
        <f aca="false">(H61+D61)*가정!$B$10</f>
        <v>27.6633165829145</v>
      </c>
      <c r="K61" s="24" t="n">
        <f aca="false">A61*가정!$B$8*가정!$B$7</f>
        <v>285</v>
      </c>
      <c r="L61" s="11" t="n">
        <f aca="false">C61+F61</f>
        <v>2</v>
      </c>
    </row>
    <row r="62" customFormat="false" ht="15" hidden="false" customHeight="false" outlineLevel="0" collapsed="false">
      <c r="A62" s="11" t="n">
        <v>58</v>
      </c>
      <c r="B62" s="11" t="n">
        <f aca="false">MATCH(A62,월별!$C$6:$C$41,1)</f>
        <v>2</v>
      </c>
      <c r="C62" s="11" t="n">
        <f aca="false">L61</f>
        <v>2</v>
      </c>
      <c r="D62" s="24" t="n">
        <f aca="false">C62*가정!$B$8</f>
        <v>10</v>
      </c>
      <c r="E62" s="24" t="n">
        <f aca="false">H61+D61</f>
        <v>27.6633165829145</v>
      </c>
      <c r="F62" s="11" t="n">
        <f aca="false">IF(가정!$B$11=1,MAX(0,MIN(가정!$B$16-C62,INT(E62/가정!$B$17))),0)</f>
        <v>0</v>
      </c>
      <c r="G62" s="24" t="n">
        <f aca="false">F62*가정!$B$17</f>
        <v>0</v>
      </c>
      <c r="H62" s="24" t="n">
        <f aca="false">E62-G62</f>
        <v>27.6633165829145</v>
      </c>
      <c r="I62" s="24" t="n">
        <f aca="false">I61+D62</f>
        <v>305</v>
      </c>
      <c r="J62" s="16" t="n">
        <f aca="false">(H62+D62)*가정!$B$10</f>
        <v>37.6633165829146</v>
      </c>
      <c r="K62" s="24" t="n">
        <f aca="false">A62*가정!$B$8*가정!$B$7</f>
        <v>290</v>
      </c>
      <c r="L62" s="11" t="n">
        <f aca="false">C62+F62</f>
        <v>2</v>
      </c>
    </row>
    <row r="63" customFormat="false" ht="15" hidden="false" customHeight="false" outlineLevel="0" collapsed="false">
      <c r="A63" s="11" t="n">
        <v>59</v>
      </c>
      <c r="B63" s="11" t="n">
        <f aca="false">MATCH(A63,월별!$C$6:$C$41,1)</f>
        <v>2</v>
      </c>
      <c r="C63" s="11" t="n">
        <f aca="false">L62</f>
        <v>2</v>
      </c>
      <c r="D63" s="24" t="n">
        <f aca="false">C63*가정!$B$8</f>
        <v>10</v>
      </c>
      <c r="E63" s="24" t="n">
        <f aca="false">H62+D62</f>
        <v>37.6633165829146</v>
      </c>
      <c r="F63" s="11" t="n">
        <f aca="false">IF(가정!$B$11=1,MAX(0,MIN(가정!$B$16-C63,INT(E63/가정!$B$17))),0)</f>
        <v>0</v>
      </c>
      <c r="G63" s="24" t="n">
        <f aca="false">F63*가정!$B$17</f>
        <v>0</v>
      </c>
      <c r="H63" s="24" t="n">
        <f aca="false">E63-G63</f>
        <v>37.6633165829146</v>
      </c>
      <c r="I63" s="24" t="n">
        <f aca="false">I62+D63</f>
        <v>315</v>
      </c>
      <c r="J63" s="16" t="n">
        <f aca="false">(H63+D63)*가정!$B$10</f>
        <v>47.6633165829146</v>
      </c>
      <c r="K63" s="24" t="n">
        <f aca="false">A63*가정!$B$8*가정!$B$7</f>
        <v>295</v>
      </c>
      <c r="L63" s="11" t="n">
        <f aca="false">C63+F63</f>
        <v>2</v>
      </c>
    </row>
    <row r="64" customFormat="false" ht="15" hidden="false" customHeight="false" outlineLevel="0" collapsed="false">
      <c r="A64" s="11" t="n">
        <v>60</v>
      </c>
      <c r="B64" s="11" t="n">
        <f aca="false">MATCH(A64,월별!$C$6:$C$41,1)</f>
        <v>2</v>
      </c>
      <c r="C64" s="11" t="n">
        <f aca="false">L63</f>
        <v>2</v>
      </c>
      <c r="D64" s="24" t="n">
        <f aca="false">C64*가정!$B$8</f>
        <v>10</v>
      </c>
      <c r="E64" s="24" t="n">
        <f aca="false">H63+D63</f>
        <v>47.6633165829146</v>
      </c>
      <c r="F64" s="11" t="n">
        <f aca="false">IF(가정!$B$11=1,MAX(0,MIN(가정!$B$16-C64,INT(E64/가정!$B$17))),0)</f>
        <v>0</v>
      </c>
      <c r="G64" s="24" t="n">
        <f aca="false">F64*가정!$B$17</f>
        <v>0</v>
      </c>
      <c r="H64" s="24" t="n">
        <f aca="false">E64-G64</f>
        <v>47.6633165829146</v>
      </c>
      <c r="I64" s="24" t="n">
        <f aca="false">I63+D64</f>
        <v>325</v>
      </c>
      <c r="J64" s="16" t="n">
        <f aca="false">(H64+D64)*가정!$B$10</f>
        <v>57.6633165829146</v>
      </c>
      <c r="K64" s="24" t="n">
        <f aca="false">A64*가정!$B$8*가정!$B$7</f>
        <v>300</v>
      </c>
      <c r="L64" s="11" t="n">
        <f aca="false">C64+F64</f>
        <v>2</v>
      </c>
    </row>
    <row r="65" customFormat="false" ht="15" hidden="false" customHeight="false" outlineLevel="0" collapsed="false">
      <c r="A65" s="11" t="n">
        <v>61</v>
      </c>
      <c r="B65" s="11" t="n">
        <f aca="false">MATCH(A65,월별!$C$6:$C$41,1)</f>
        <v>2</v>
      </c>
      <c r="C65" s="11" t="n">
        <f aca="false">L64</f>
        <v>2</v>
      </c>
      <c r="D65" s="24" t="n">
        <f aca="false">C65*가정!$B$8</f>
        <v>10</v>
      </c>
      <c r="E65" s="24" t="n">
        <f aca="false">H64+D64</f>
        <v>57.6633165829146</v>
      </c>
      <c r="F65" s="11" t="n">
        <f aca="false">IF(가정!$B$11=1,MAX(0,MIN(가정!$B$16-C65,INT(E65/가정!$B$17))),0)</f>
        <v>0</v>
      </c>
      <c r="G65" s="24" t="n">
        <f aca="false">F65*가정!$B$17</f>
        <v>0</v>
      </c>
      <c r="H65" s="24" t="n">
        <f aca="false">E65-G65</f>
        <v>57.6633165829146</v>
      </c>
      <c r="I65" s="24" t="n">
        <f aca="false">I64+D65</f>
        <v>335</v>
      </c>
      <c r="J65" s="16" t="n">
        <f aca="false">(H65+D65)*가정!$B$10</f>
        <v>67.6633165829146</v>
      </c>
      <c r="K65" s="24" t="n">
        <f aca="false">A65*가정!$B$8*가정!$B$7</f>
        <v>305</v>
      </c>
      <c r="L65" s="11" t="n">
        <f aca="false">C65+F65</f>
        <v>2</v>
      </c>
    </row>
    <row r="66" customFormat="false" ht="15" hidden="false" customHeight="false" outlineLevel="0" collapsed="false">
      <c r="A66" s="11" t="n">
        <v>62</v>
      </c>
      <c r="B66" s="11" t="n">
        <f aca="false">MATCH(A66,월별!$C$6:$C$41,1)</f>
        <v>3</v>
      </c>
      <c r="C66" s="11" t="n">
        <f aca="false">L65</f>
        <v>2</v>
      </c>
      <c r="D66" s="24" t="n">
        <f aca="false">C66*가정!$B$8</f>
        <v>10</v>
      </c>
      <c r="E66" s="24" t="n">
        <f aca="false">H65+D65</f>
        <v>67.6633165829146</v>
      </c>
      <c r="F66" s="11" t="n">
        <f aca="false">IF(가정!$B$11=1,MAX(0,MIN(가정!$B$16-C66,INT(E66/가정!$B$17))),0)</f>
        <v>0</v>
      </c>
      <c r="G66" s="24" t="n">
        <f aca="false">F66*가정!$B$17</f>
        <v>0</v>
      </c>
      <c r="H66" s="24" t="n">
        <f aca="false">E66-G66</f>
        <v>67.6633165829146</v>
      </c>
      <c r="I66" s="24" t="n">
        <f aca="false">I65+D66</f>
        <v>345</v>
      </c>
      <c r="J66" s="16" t="n">
        <f aca="false">(H66+D66)*가정!$B$10</f>
        <v>77.6633165829146</v>
      </c>
      <c r="K66" s="24" t="n">
        <f aca="false">A66*가정!$B$8*가정!$B$7</f>
        <v>310</v>
      </c>
      <c r="L66" s="11" t="n">
        <f aca="false">C66+F66</f>
        <v>2</v>
      </c>
    </row>
    <row r="67" customFormat="false" ht="15" hidden="false" customHeight="false" outlineLevel="0" collapsed="false">
      <c r="A67" s="11" t="n">
        <v>63</v>
      </c>
      <c r="B67" s="11" t="n">
        <f aca="false">MATCH(A67,월별!$C$6:$C$41,1)</f>
        <v>3</v>
      </c>
      <c r="C67" s="11" t="n">
        <f aca="false">L66</f>
        <v>2</v>
      </c>
      <c r="D67" s="24" t="n">
        <f aca="false">C67*가정!$B$8</f>
        <v>10</v>
      </c>
      <c r="E67" s="24" t="n">
        <f aca="false">H66+D66</f>
        <v>77.6633165829146</v>
      </c>
      <c r="F67" s="11" t="n">
        <f aca="false">IF(가정!$B$11=1,MAX(0,MIN(가정!$B$16-C67,INT(E67/가정!$B$17))),0)</f>
        <v>0</v>
      </c>
      <c r="G67" s="24" t="n">
        <f aca="false">F67*가정!$B$17</f>
        <v>0</v>
      </c>
      <c r="H67" s="24" t="n">
        <f aca="false">E67-G67</f>
        <v>77.6633165829146</v>
      </c>
      <c r="I67" s="24" t="n">
        <f aca="false">I66+D67</f>
        <v>355</v>
      </c>
      <c r="J67" s="16" t="n">
        <f aca="false">(H67+D67)*가정!$B$10</f>
        <v>87.6633165829146</v>
      </c>
      <c r="K67" s="24" t="n">
        <f aca="false">A67*가정!$B$8*가정!$B$7</f>
        <v>315</v>
      </c>
      <c r="L67" s="11" t="n">
        <f aca="false">C67+F67</f>
        <v>2</v>
      </c>
    </row>
    <row r="68" customFormat="false" ht="15" hidden="false" customHeight="false" outlineLevel="0" collapsed="false">
      <c r="A68" s="11" t="n">
        <v>64</v>
      </c>
      <c r="B68" s="11" t="n">
        <f aca="false">MATCH(A68,월별!$C$6:$C$41,1)</f>
        <v>3</v>
      </c>
      <c r="C68" s="11" t="n">
        <f aca="false">L67</f>
        <v>2</v>
      </c>
      <c r="D68" s="24" t="n">
        <f aca="false">C68*가정!$B$8</f>
        <v>10</v>
      </c>
      <c r="E68" s="24" t="n">
        <f aca="false">H67+D67</f>
        <v>87.6633165829146</v>
      </c>
      <c r="F68" s="11" t="n">
        <f aca="false">IF(가정!$B$11=1,MAX(0,MIN(가정!$B$16-C68,INT(E68/가정!$B$17))),0)</f>
        <v>0</v>
      </c>
      <c r="G68" s="24" t="n">
        <f aca="false">F68*가정!$B$17</f>
        <v>0</v>
      </c>
      <c r="H68" s="24" t="n">
        <f aca="false">E68-G68</f>
        <v>87.6633165829146</v>
      </c>
      <c r="I68" s="24" t="n">
        <f aca="false">I67+D68</f>
        <v>365</v>
      </c>
      <c r="J68" s="16" t="n">
        <f aca="false">(H68+D68)*가정!$B$10</f>
        <v>97.6633165829146</v>
      </c>
      <c r="K68" s="24" t="n">
        <f aca="false">A68*가정!$B$8*가정!$B$7</f>
        <v>320</v>
      </c>
      <c r="L68" s="11" t="n">
        <f aca="false">C68+F68</f>
        <v>2</v>
      </c>
    </row>
    <row r="69" customFormat="false" ht="15" hidden="false" customHeight="false" outlineLevel="0" collapsed="false">
      <c r="A69" s="11" t="n">
        <v>65</v>
      </c>
      <c r="B69" s="11" t="n">
        <f aca="false">MATCH(A69,월별!$C$6:$C$41,1)</f>
        <v>3</v>
      </c>
      <c r="C69" s="11" t="n">
        <f aca="false">L68</f>
        <v>2</v>
      </c>
      <c r="D69" s="24" t="n">
        <f aca="false">C69*가정!$B$8</f>
        <v>10</v>
      </c>
      <c r="E69" s="24" t="n">
        <f aca="false">H68+D68</f>
        <v>97.6633165829146</v>
      </c>
      <c r="F69" s="11" t="n">
        <f aca="false">IF(가정!$B$11=1,MAX(0,MIN(가정!$B$16-C69,INT(E69/가정!$B$17))),0)</f>
        <v>0</v>
      </c>
      <c r="G69" s="24" t="n">
        <f aca="false">F69*가정!$B$17</f>
        <v>0</v>
      </c>
      <c r="H69" s="24" t="n">
        <f aca="false">E69-G69</f>
        <v>97.6633165829146</v>
      </c>
      <c r="I69" s="24" t="n">
        <f aca="false">I68+D69</f>
        <v>375</v>
      </c>
      <c r="J69" s="16" t="n">
        <f aca="false">(H69+D69)*가정!$B$10</f>
        <v>107.663316582915</v>
      </c>
      <c r="K69" s="24" t="n">
        <f aca="false">A69*가정!$B$8*가정!$B$7</f>
        <v>325</v>
      </c>
      <c r="L69" s="11" t="n">
        <f aca="false">C69+F69</f>
        <v>2</v>
      </c>
    </row>
    <row r="70" customFormat="false" ht="15" hidden="false" customHeight="false" outlineLevel="0" collapsed="false">
      <c r="A70" s="11" t="n">
        <v>66</v>
      </c>
      <c r="B70" s="11" t="n">
        <f aca="false">MATCH(A70,월별!$C$6:$C$41,1)</f>
        <v>3</v>
      </c>
      <c r="C70" s="11" t="n">
        <f aca="false">L69</f>
        <v>2</v>
      </c>
      <c r="D70" s="24" t="n">
        <f aca="false">C70*가정!$B$8</f>
        <v>10</v>
      </c>
      <c r="E70" s="24" t="n">
        <f aca="false">H69+D69</f>
        <v>107.663316582915</v>
      </c>
      <c r="F70" s="11" t="n">
        <f aca="false">IF(가정!$B$11=1,MAX(0,MIN(가정!$B$16-C70,INT(E70/가정!$B$17))),0)</f>
        <v>0</v>
      </c>
      <c r="G70" s="24" t="n">
        <f aca="false">F70*가정!$B$17</f>
        <v>0</v>
      </c>
      <c r="H70" s="24" t="n">
        <f aca="false">E70-G70</f>
        <v>107.663316582915</v>
      </c>
      <c r="I70" s="24" t="n">
        <f aca="false">I69+D70</f>
        <v>385</v>
      </c>
      <c r="J70" s="16" t="n">
        <f aca="false">(H70+D70)*가정!$B$10</f>
        <v>117.663316582915</v>
      </c>
      <c r="K70" s="24" t="n">
        <f aca="false">A70*가정!$B$8*가정!$B$7</f>
        <v>330</v>
      </c>
      <c r="L70" s="11" t="n">
        <f aca="false">C70+F70</f>
        <v>2</v>
      </c>
    </row>
    <row r="71" customFormat="false" ht="15" hidden="false" customHeight="false" outlineLevel="0" collapsed="false">
      <c r="A71" s="11" t="n">
        <v>67</v>
      </c>
      <c r="B71" s="11" t="n">
        <f aca="false">MATCH(A71,월별!$C$6:$C$41,1)</f>
        <v>3</v>
      </c>
      <c r="C71" s="11" t="n">
        <f aca="false">L70</f>
        <v>2</v>
      </c>
      <c r="D71" s="24" t="n">
        <f aca="false">C71*가정!$B$8</f>
        <v>10</v>
      </c>
      <c r="E71" s="24" t="n">
        <f aca="false">H70+D70</f>
        <v>117.663316582915</v>
      </c>
      <c r="F71" s="11" t="n">
        <f aca="false">IF(가정!$B$11=1,MAX(0,MIN(가정!$B$16-C71,INT(E71/가정!$B$17))),0)</f>
        <v>0</v>
      </c>
      <c r="G71" s="24" t="n">
        <f aca="false">F71*가정!$B$17</f>
        <v>0</v>
      </c>
      <c r="H71" s="24" t="n">
        <f aca="false">E71-G71</f>
        <v>117.663316582915</v>
      </c>
      <c r="I71" s="24" t="n">
        <f aca="false">I70+D71</f>
        <v>395</v>
      </c>
      <c r="J71" s="16" t="n">
        <f aca="false">(H71+D71)*가정!$B$10</f>
        <v>127.663316582915</v>
      </c>
      <c r="K71" s="24" t="n">
        <f aca="false">A71*가정!$B$8*가정!$B$7</f>
        <v>335</v>
      </c>
      <c r="L71" s="11" t="n">
        <f aca="false">C71+F71</f>
        <v>2</v>
      </c>
    </row>
    <row r="72" customFormat="false" ht="15" hidden="false" customHeight="false" outlineLevel="0" collapsed="false">
      <c r="A72" s="11" t="n">
        <v>68</v>
      </c>
      <c r="B72" s="11" t="n">
        <f aca="false">MATCH(A72,월별!$C$6:$C$41,1)</f>
        <v>3</v>
      </c>
      <c r="C72" s="11" t="n">
        <f aca="false">L71</f>
        <v>2</v>
      </c>
      <c r="D72" s="24" t="n">
        <f aca="false">C72*가정!$B$8</f>
        <v>10</v>
      </c>
      <c r="E72" s="24" t="n">
        <f aca="false">H71+D71</f>
        <v>127.663316582915</v>
      </c>
      <c r="F72" s="11" t="n">
        <f aca="false">IF(가정!$B$11=1,MAX(0,MIN(가정!$B$16-C72,INT(E72/가정!$B$17))),0)</f>
        <v>0</v>
      </c>
      <c r="G72" s="24" t="n">
        <f aca="false">F72*가정!$B$17</f>
        <v>0</v>
      </c>
      <c r="H72" s="24" t="n">
        <f aca="false">E72-G72</f>
        <v>127.663316582915</v>
      </c>
      <c r="I72" s="24" t="n">
        <f aca="false">I71+D72</f>
        <v>405</v>
      </c>
      <c r="J72" s="16" t="n">
        <f aca="false">(H72+D72)*가정!$B$10</f>
        <v>137.663316582915</v>
      </c>
      <c r="K72" s="24" t="n">
        <f aca="false">A72*가정!$B$8*가정!$B$7</f>
        <v>340</v>
      </c>
      <c r="L72" s="11" t="n">
        <f aca="false">C72+F72</f>
        <v>2</v>
      </c>
    </row>
    <row r="73" customFormat="false" ht="15" hidden="false" customHeight="false" outlineLevel="0" collapsed="false">
      <c r="A73" s="11" t="n">
        <v>69</v>
      </c>
      <c r="B73" s="11" t="n">
        <f aca="false">MATCH(A73,월별!$C$6:$C$41,1)</f>
        <v>3</v>
      </c>
      <c r="C73" s="11" t="n">
        <f aca="false">L72</f>
        <v>2</v>
      </c>
      <c r="D73" s="24" t="n">
        <f aca="false">C73*가정!$B$8</f>
        <v>10</v>
      </c>
      <c r="E73" s="24" t="n">
        <f aca="false">H72+D72</f>
        <v>137.663316582915</v>
      </c>
      <c r="F73" s="11" t="n">
        <f aca="false">IF(가정!$B$11=1,MAX(0,MIN(가정!$B$16-C73,INT(E73/가정!$B$17))),0)</f>
        <v>0</v>
      </c>
      <c r="G73" s="24" t="n">
        <f aca="false">F73*가정!$B$17</f>
        <v>0</v>
      </c>
      <c r="H73" s="24" t="n">
        <f aca="false">E73-G73</f>
        <v>137.663316582915</v>
      </c>
      <c r="I73" s="24" t="n">
        <f aca="false">I72+D73</f>
        <v>415</v>
      </c>
      <c r="J73" s="16" t="n">
        <f aca="false">(H73+D73)*가정!$B$10</f>
        <v>147.663316582915</v>
      </c>
      <c r="K73" s="24" t="n">
        <f aca="false">A73*가정!$B$8*가정!$B$7</f>
        <v>345</v>
      </c>
      <c r="L73" s="11" t="n">
        <f aca="false">C73+F73</f>
        <v>2</v>
      </c>
    </row>
    <row r="74" customFormat="false" ht="15" hidden="false" customHeight="false" outlineLevel="0" collapsed="false">
      <c r="A74" s="11" t="n">
        <v>70</v>
      </c>
      <c r="B74" s="11" t="n">
        <f aca="false">MATCH(A74,월별!$C$6:$C$41,1)</f>
        <v>3</v>
      </c>
      <c r="C74" s="11" t="n">
        <f aca="false">L73</f>
        <v>2</v>
      </c>
      <c r="D74" s="24" t="n">
        <f aca="false">C74*가정!$B$8</f>
        <v>10</v>
      </c>
      <c r="E74" s="24" t="n">
        <f aca="false">H73+D73</f>
        <v>147.663316582915</v>
      </c>
      <c r="F74" s="11" t="n">
        <f aca="false">IF(가정!$B$11=1,MAX(0,MIN(가정!$B$16-C74,INT(E74/가정!$B$17))),0)</f>
        <v>0</v>
      </c>
      <c r="G74" s="24" t="n">
        <f aca="false">F74*가정!$B$17</f>
        <v>0</v>
      </c>
      <c r="H74" s="24" t="n">
        <f aca="false">E74-G74</f>
        <v>147.663316582915</v>
      </c>
      <c r="I74" s="24" t="n">
        <f aca="false">I73+D74</f>
        <v>425</v>
      </c>
      <c r="J74" s="16" t="n">
        <f aca="false">(H74+D74)*가정!$B$10</f>
        <v>157.663316582915</v>
      </c>
      <c r="K74" s="24" t="n">
        <f aca="false">A74*가정!$B$8*가정!$B$7</f>
        <v>350</v>
      </c>
      <c r="L74" s="11" t="n">
        <f aca="false">C74+F74</f>
        <v>2</v>
      </c>
    </row>
    <row r="75" customFormat="false" ht="15" hidden="false" customHeight="false" outlineLevel="0" collapsed="false">
      <c r="A75" s="11" t="n">
        <v>71</v>
      </c>
      <c r="B75" s="11" t="n">
        <f aca="false">MATCH(A75,월별!$C$6:$C$41,1)</f>
        <v>3</v>
      </c>
      <c r="C75" s="11" t="n">
        <f aca="false">L74</f>
        <v>2</v>
      </c>
      <c r="D75" s="24" t="n">
        <f aca="false">C75*가정!$B$8</f>
        <v>10</v>
      </c>
      <c r="E75" s="24" t="n">
        <f aca="false">H74+D74</f>
        <v>157.663316582915</v>
      </c>
      <c r="F75" s="11" t="n">
        <f aca="false">IF(가정!$B$11=1,MAX(0,MIN(가정!$B$16-C75,INT(E75/가정!$B$17))),0)</f>
        <v>0</v>
      </c>
      <c r="G75" s="24" t="n">
        <f aca="false">F75*가정!$B$17</f>
        <v>0</v>
      </c>
      <c r="H75" s="24" t="n">
        <f aca="false">E75-G75</f>
        <v>157.663316582915</v>
      </c>
      <c r="I75" s="24" t="n">
        <f aca="false">I74+D75</f>
        <v>435</v>
      </c>
      <c r="J75" s="16" t="n">
        <f aca="false">(H75+D75)*가정!$B$10</f>
        <v>167.663316582915</v>
      </c>
      <c r="K75" s="24" t="n">
        <f aca="false">A75*가정!$B$8*가정!$B$7</f>
        <v>355</v>
      </c>
      <c r="L75" s="11" t="n">
        <f aca="false">C75+F75</f>
        <v>2</v>
      </c>
    </row>
    <row r="76" customFormat="false" ht="15" hidden="false" customHeight="false" outlineLevel="0" collapsed="false">
      <c r="A76" s="11" t="n">
        <v>72</v>
      </c>
      <c r="B76" s="11" t="n">
        <f aca="false">MATCH(A76,월별!$C$6:$C$41,1)</f>
        <v>3</v>
      </c>
      <c r="C76" s="11" t="n">
        <f aca="false">L75</f>
        <v>2</v>
      </c>
      <c r="D76" s="24" t="n">
        <f aca="false">C76*가정!$B$8</f>
        <v>10</v>
      </c>
      <c r="E76" s="24" t="n">
        <f aca="false">H75+D75</f>
        <v>167.663316582915</v>
      </c>
      <c r="F76" s="11" t="n">
        <f aca="false">IF(가정!$B$11=1,MAX(0,MIN(가정!$B$16-C76,INT(E76/가정!$B$17))),0)</f>
        <v>0</v>
      </c>
      <c r="G76" s="24" t="n">
        <f aca="false">F76*가정!$B$17</f>
        <v>0</v>
      </c>
      <c r="H76" s="24" t="n">
        <f aca="false">E76-G76</f>
        <v>167.663316582915</v>
      </c>
      <c r="I76" s="24" t="n">
        <f aca="false">I75+D76</f>
        <v>445</v>
      </c>
      <c r="J76" s="16" t="n">
        <f aca="false">(H76+D76)*가정!$B$10</f>
        <v>177.663316582915</v>
      </c>
      <c r="K76" s="24" t="n">
        <f aca="false">A76*가정!$B$8*가정!$B$7</f>
        <v>360</v>
      </c>
      <c r="L76" s="11" t="n">
        <f aca="false">C76+F76</f>
        <v>2</v>
      </c>
    </row>
    <row r="77" customFormat="false" ht="15" hidden="false" customHeight="false" outlineLevel="0" collapsed="false">
      <c r="A77" s="11" t="n">
        <v>73</v>
      </c>
      <c r="B77" s="11" t="n">
        <f aca="false">MATCH(A77,월별!$C$6:$C$41,1)</f>
        <v>3</v>
      </c>
      <c r="C77" s="11" t="n">
        <f aca="false">L76</f>
        <v>2</v>
      </c>
      <c r="D77" s="24" t="n">
        <f aca="false">C77*가정!$B$8</f>
        <v>10</v>
      </c>
      <c r="E77" s="24" t="n">
        <f aca="false">H76+D76</f>
        <v>177.663316582915</v>
      </c>
      <c r="F77" s="11" t="n">
        <f aca="false">IF(가정!$B$11=1,MAX(0,MIN(가정!$B$16-C77,INT(E77/가정!$B$17))),0)</f>
        <v>0</v>
      </c>
      <c r="G77" s="24" t="n">
        <f aca="false">F77*가정!$B$17</f>
        <v>0</v>
      </c>
      <c r="H77" s="24" t="n">
        <f aca="false">E77-G77</f>
        <v>177.663316582915</v>
      </c>
      <c r="I77" s="24" t="n">
        <f aca="false">I76+D77</f>
        <v>455</v>
      </c>
      <c r="J77" s="16" t="n">
        <f aca="false">(H77+D77)*가정!$B$10</f>
        <v>187.663316582915</v>
      </c>
      <c r="K77" s="24" t="n">
        <f aca="false">A77*가정!$B$8*가정!$B$7</f>
        <v>365</v>
      </c>
      <c r="L77" s="11" t="n">
        <f aca="false">C77+F77</f>
        <v>2</v>
      </c>
    </row>
    <row r="78" customFormat="false" ht="15" hidden="false" customHeight="false" outlineLevel="0" collapsed="false">
      <c r="A78" s="11" t="n">
        <v>74</v>
      </c>
      <c r="B78" s="11" t="n">
        <f aca="false">MATCH(A78,월별!$C$6:$C$41,1)</f>
        <v>3</v>
      </c>
      <c r="C78" s="11" t="n">
        <f aca="false">L77</f>
        <v>2</v>
      </c>
      <c r="D78" s="24" t="n">
        <f aca="false">C78*가정!$B$8</f>
        <v>10</v>
      </c>
      <c r="E78" s="24" t="n">
        <f aca="false">H77+D77</f>
        <v>187.663316582915</v>
      </c>
      <c r="F78" s="11" t="n">
        <f aca="false">IF(가정!$B$11=1,MAX(0,MIN(가정!$B$16-C78,INT(E78/가정!$B$17))),0)</f>
        <v>0</v>
      </c>
      <c r="G78" s="24" t="n">
        <f aca="false">F78*가정!$B$17</f>
        <v>0</v>
      </c>
      <c r="H78" s="24" t="n">
        <f aca="false">E78-G78</f>
        <v>187.663316582915</v>
      </c>
      <c r="I78" s="24" t="n">
        <f aca="false">I77+D78</f>
        <v>465</v>
      </c>
      <c r="J78" s="16" t="n">
        <f aca="false">(H78+D78)*가정!$B$10</f>
        <v>197.663316582915</v>
      </c>
      <c r="K78" s="24" t="n">
        <f aca="false">A78*가정!$B$8*가정!$B$7</f>
        <v>370</v>
      </c>
      <c r="L78" s="11" t="n">
        <f aca="false">C78+F78</f>
        <v>2</v>
      </c>
    </row>
    <row r="79" customFormat="false" ht="15" hidden="false" customHeight="false" outlineLevel="0" collapsed="false">
      <c r="A79" s="11" t="n">
        <v>75</v>
      </c>
      <c r="B79" s="11" t="n">
        <f aca="false">MATCH(A79,월별!$C$6:$C$41,1)</f>
        <v>3</v>
      </c>
      <c r="C79" s="11" t="n">
        <f aca="false">L78</f>
        <v>2</v>
      </c>
      <c r="D79" s="24" t="n">
        <f aca="false">C79*가정!$B$8</f>
        <v>10</v>
      </c>
      <c r="E79" s="24" t="n">
        <f aca="false">H78+D78</f>
        <v>197.663316582915</v>
      </c>
      <c r="F79" s="11" t="n">
        <f aca="false">IF(가정!$B$11=1,MAX(0,MIN(가정!$B$16-C79,INT(E79/가정!$B$17))),0)</f>
        <v>0</v>
      </c>
      <c r="G79" s="24" t="n">
        <f aca="false">F79*가정!$B$17</f>
        <v>0</v>
      </c>
      <c r="H79" s="24" t="n">
        <f aca="false">E79-G79</f>
        <v>197.663316582915</v>
      </c>
      <c r="I79" s="24" t="n">
        <f aca="false">I78+D79</f>
        <v>475</v>
      </c>
      <c r="J79" s="16" t="n">
        <f aca="false">(H79+D79)*가정!$B$10</f>
        <v>207.663316582915</v>
      </c>
      <c r="K79" s="24" t="n">
        <f aca="false">A79*가정!$B$8*가정!$B$7</f>
        <v>375</v>
      </c>
      <c r="L79" s="11" t="n">
        <f aca="false">C79+F79</f>
        <v>2</v>
      </c>
    </row>
    <row r="80" customFormat="false" ht="15" hidden="false" customHeight="false" outlineLevel="0" collapsed="false">
      <c r="A80" s="11" t="n">
        <v>76</v>
      </c>
      <c r="B80" s="11" t="n">
        <f aca="false">MATCH(A80,월별!$C$6:$C$41,1)</f>
        <v>3</v>
      </c>
      <c r="C80" s="11" t="n">
        <f aca="false">L79</f>
        <v>2</v>
      </c>
      <c r="D80" s="24" t="n">
        <f aca="false">C80*가정!$B$8</f>
        <v>10</v>
      </c>
      <c r="E80" s="24" t="n">
        <f aca="false">H79+D79</f>
        <v>207.663316582915</v>
      </c>
      <c r="F80" s="11" t="n">
        <f aca="false">IF(가정!$B$11=1,MAX(0,MIN(가정!$B$16-C80,INT(E80/가정!$B$17))),0)</f>
        <v>0</v>
      </c>
      <c r="G80" s="24" t="n">
        <f aca="false">F80*가정!$B$17</f>
        <v>0</v>
      </c>
      <c r="H80" s="24" t="n">
        <f aca="false">E80-G80</f>
        <v>207.663316582915</v>
      </c>
      <c r="I80" s="24" t="n">
        <f aca="false">I79+D80</f>
        <v>485</v>
      </c>
      <c r="J80" s="16" t="n">
        <f aca="false">(H80+D80)*가정!$B$10</f>
        <v>217.663316582915</v>
      </c>
      <c r="K80" s="24" t="n">
        <f aca="false">A80*가정!$B$8*가정!$B$7</f>
        <v>380</v>
      </c>
      <c r="L80" s="11" t="n">
        <f aca="false">C80+F80</f>
        <v>2</v>
      </c>
    </row>
    <row r="81" customFormat="false" ht="15" hidden="false" customHeight="false" outlineLevel="0" collapsed="false">
      <c r="A81" s="11" t="n">
        <v>77</v>
      </c>
      <c r="B81" s="11" t="n">
        <f aca="false">MATCH(A81,월별!$C$6:$C$41,1)</f>
        <v>3</v>
      </c>
      <c r="C81" s="11" t="n">
        <f aca="false">L80</f>
        <v>2</v>
      </c>
      <c r="D81" s="24" t="n">
        <f aca="false">C81*가정!$B$8</f>
        <v>10</v>
      </c>
      <c r="E81" s="24" t="n">
        <f aca="false">H80+D80</f>
        <v>217.663316582915</v>
      </c>
      <c r="F81" s="11" t="n">
        <f aca="false">IF(가정!$B$11=1,MAX(0,MIN(가정!$B$16-C81,INT(E81/가정!$B$17))),0)</f>
        <v>0</v>
      </c>
      <c r="G81" s="24" t="n">
        <f aca="false">F81*가정!$B$17</f>
        <v>0</v>
      </c>
      <c r="H81" s="24" t="n">
        <f aca="false">E81-G81</f>
        <v>217.663316582915</v>
      </c>
      <c r="I81" s="24" t="n">
        <f aca="false">I80+D81</f>
        <v>495</v>
      </c>
      <c r="J81" s="16" t="n">
        <f aca="false">(H81+D81)*가정!$B$10</f>
        <v>227.663316582915</v>
      </c>
      <c r="K81" s="24" t="n">
        <f aca="false">A81*가정!$B$8*가정!$B$7</f>
        <v>385</v>
      </c>
      <c r="L81" s="11" t="n">
        <f aca="false">C81+F81</f>
        <v>2</v>
      </c>
    </row>
    <row r="82" customFormat="false" ht="15" hidden="false" customHeight="false" outlineLevel="0" collapsed="false">
      <c r="A82" s="11" t="n">
        <v>78</v>
      </c>
      <c r="B82" s="11" t="n">
        <f aca="false">MATCH(A82,월별!$C$6:$C$41,1)</f>
        <v>3</v>
      </c>
      <c r="C82" s="11" t="n">
        <f aca="false">L81</f>
        <v>2</v>
      </c>
      <c r="D82" s="24" t="n">
        <f aca="false">C82*가정!$B$8</f>
        <v>10</v>
      </c>
      <c r="E82" s="24" t="n">
        <f aca="false">H81+D81</f>
        <v>227.663316582915</v>
      </c>
      <c r="F82" s="11" t="n">
        <f aca="false">IF(가정!$B$11=1,MAX(0,MIN(가정!$B$16-C82,INT(E82/가정!$B$17))),0)</f>
        <v>0</v>
      </c>
      <c r="G82" s="24" t="n">
        <f aca="false">F82*가정!$B$17</f>
        <v>0</v>
      </c>
      <c r="H82" s="24" t="n">
        <f aca="false">E82-G82</f>
        <v>227.663316582915</v>
      </c>
      <c r="I82" s="24" t="n">
        <f aca="false">I81+D82</f>
        <v>505</v>
      </c>
      <c r="J82" s="16" t="n">
        <f aca="false">(H82+D82)*가정!$B$10</f>
        <v>237.663316582915</v>
      </c>
      <c r="K82" s="24" t="n">
        <f aca="false">A82*가정!$B$8*가정!$B$7</f>
        <v>390</v>
      </c>
      <c r="L82" s="11" t="n">
        <f aca="false">C82+F82</f>
        <v>2</v>
      </c>
    </row>
    <row r="83" customFormat="false" ht="15" hidden="false" customHeight="false" outlineLevel="0" collapsed="false">
      <c r="A83" s="11" t="n">
        <v>79</v>
      </c>
      <c r="B83" s="11" t="n">
        <f aca="false">MATCH(A83,월별!$C$6:$C$41,1)</f>
        <v>3</v>
      </c>
      <c r="C83" s="11" t="n">
        <f aca="false">L82</f>
        <v>2</v>
      </c>
      <c r="D83" s="24" t="n">
        <f aca="false">C83*가정!$B$8</f>
        <v>10</v>
      </c>
      <c r="E83" s="24" t="n">
        <f aca="false">H82+D82</f>
        <v>237.663316582915</v>
      </c>
      <c r="F83" s="11" t="n">
        <f aca="false">IF(가정!$B$11=1,MAX(0,MIN(가정!$B$16-C83,INT(E83/가정!$B$17))),0)</f>
        <v>0</v>
      </c>
      <c r="G83" s="24" t="n">
        <f aca="false">F83*가정!$B$17</f>
        <v>0</v>
      </c>
      <c r="H83" s="24" t="n">
        <f aca="false">E83-G83</f>
        <v>237.663316582915</v>
      </c>
      <c r="I83" s="24" t="n">
        <f aca="false">I82+D83</f>
        <v>515</v>
      </c>
      <c r="J83" s="16" t="n">
        <f aca="false">(H83+D83)*가정!$B$10</f>
        <v>247.663316582915</v>
      </c>
      <c r="K83" s="24" t="n">
        <f aca="false">A83*가정!$B$8*가정!$B$7</f>
        <v>395</v>
      </c>
      <c r="L83" s="11" t="n">
        <f aca="false">C83+F83</f>
        <v>2</v>
      </c>
    </row>
    <row r="84" customFormat="false" ht="15" hidden="false" customHeight="false" outlineLevel="0" collapsed="false">
      <c r="A84" s="11" t="n">
        <v>80</v>
      </c>
      <c r="B84" s="11" t="n">
        <f aca="false">MATCH(A84,월별!$C$6:$C$41,1)</f>
        <v>3</v>
      </c>
      <c r="C84" s="11" t="n">
        <f aca="false">L83</f>
        <v>2</v>
      </c>
      <c r="D84" s="24" t="n">
        <f aca="false">C84*가정!$B$8</f>
        <v>10</v>
      </c>
      <c r="E84" s="24" t="n">
        <f aca="false">H83+D83</f>
        <v>247.663316582915</v>
      </c>
      <c r="F84" s="11" t="n">
        <f aca="false">IF(가정!$B$11=1,MAX(0,MIN(가정!$B$16-C84,INT(E84/가정!$B$17))),0)</f>
        <v>0</v>
      </c>
      <c r="G84" s="24" t="n">
        <f aca="false">F84*가정!$B$17</f>
        <v>0</v>
      </c>
      <c r="H84" s="24" t="n">
        <f aca="false">E84-G84</f>
        <v>247.663316582915</v>
      </c>
      <c r="I84" s="24" t="n">
        <f aca="false">I83+D84</f>
        <v>525</v>
      </c>
      <c r="J84" s="16" t="n">
        <f aca="false">(H84+D84)*가정!$B$10</f>
        <v>257.663316582915</v>
      </c>
      <c r="K84" s="24" t="n">
        <f aca="false">A84*가정!$B$8*가정!$B$7</f>
        <v>400</v>
      </c>
      <c r="L84" s="11" t="n">
        <f aca="false">C84+F84</f>
        <v>2</v>
      </c>
    </row>
    <row r="85" customFormat="false" ht="15" hidden="false" customHeight="false" outlineLevel="0" collapsed="false">
      <c r="A85" s="11" t="n">
        <v>81</v>
      </c>
      <c r="B85" s="11" t="n">
        <f aca="false">MATCH(A85,월별!$C$6:$C$41,1)</f>
        <v>3</v>
      </c>
      <c r="C85" s="11" t="n">
        <f aca="false">L84</f>
        <v>2</v>
      </c>
      <c r="D85" s="24" t="n">
        <f aca="false">C85*가정!$B$8</f>
        <v>10</v>
      </c>
      <c r="E85" s="24" t="n">
        <f aca="false">H84+D84</f>
        <v>257.663316582915</v>
      </c>
      <c r="F85" s="11" t="n">
        <f aca="false">IF(가정!$B$11=1,MAX(0,MIN(가정!$B$16-C85,INT(E85/가정!$B$17))),0)</f>
        <v>0</v>
      </c>
      <c r="G85" s="24" t="n">
        <f aca="false">F85*가정!$B$17</f>
        <v>0</v>
      </c>
      <c r="H85" s="24" t="n">
        <f aca="false">E85-G85</f>
        <v>257.663316582915</v>
      </c>
      <c r="I85" s="24" t="n">
        <f aca="false">I84+D85</f>
        <v>535</v>
      </c>
      <c r="J85" s="16" t="n">
        <f aca="false">(H85+D85)*가정!$B$10</f>
        <v>267.663316582915</v>
      </c>
      <c r="K85" s="24" t="n">
        <f aca="false">A85*가정!$B$8*가정!$B$7</f>
        <v>405</v>
      </c>
      <c r="L85" s="11" t="n">
        <f aca="false">C85+F85</f>
        <v>2</v>
      </c>
    </row>
    <row r="86" customFormat="false" ht="15" hidden="false" customHeight="false" outlineLevel="0" collapsed="false">
      <c r="A86" s="11" t="n">
        <v>82</v>
      </c>
      <c r="B86" s="11" t="n">
        <f aca="false">MATCH(A86,월별!$C$6:$C$41,1)</f>
        <v>3</v>
      </c>
      <c r="C86" s="11" t="n">
        <f aca="false">L85</f>
        <v>2</v>
      </c>
      <c r="D86" s="24" t="n">
        <f aca="false">C86*가정!$B$8</f>
        <v>10</v>
      </c>
      <c r="E86" s="24" t="n">
        <f aca="false">H85+D85</f>
        <v>267.663316582915</v>
      </c>
      <c r="F86" s="11" t="n">
        <f aca="false">IF(가정!$B$11=1,MAX(0,MIN(가정!$B$16-C86,INT(E86/가정!$B$17))),0)</f>
        <v>1</v>
      </c>
      <c r="G86" s="24" t="n">
        <f aca="false">F86*가정!$B$17</f>
        <v>267.336683417085</v>
      </c>
      <c r="H86" s="24" t="n">
        <f aca="false">E86-G86</f>
        <v>0.326633165829094</v>
      </c>
      <c r="I86" s="24" t="n">
        <f aca="false">I85+D86</f>
        <v>545</v>
      </c>
      <c r="J86" s="16" t="n">
        <f aca="false">(H86+D86)*가정!$B$10</f>
        <v>10.3266331658291</v>
      </c>
      <c r="K86" s="24" t="n">
        <f aca="false">A86*가정!$B$8*가정!$B$7</f>
        <v>410</v>
      </c>
      <c r="L86" s="11" t="n">
        <f aca="false">C86+F86</f>
        <v>3</v>
      </c>
    </row>
    <row r="87" customFormat="false" ht="15" hidden="false" customHeight="false" outlineLevel="0" collapsed="false">
      <c r="A87" s="11" t="n">
        <v>83</v>
      </c>
      <c r="B87" s="11" t="n">
        <f aca="false">MATCH(A87,월별!$C$6:$C$41,1)</f>
        <v>3</v>
      </c>
      <c r="C87" s="11" t="n">
        <f aca="false">L86</f>
        <v>3</v>
      </c>
      <c r="D87" s="24" t="n">
        <f aca="false">C87*가정!$B$8</f>
        <v>15</v>
      </c>
      <c r="E87" s="24" t="n">
        <f aca="false">H86+D86</f>
        <v>10.3266331658291</v>
      </c>
      <c r="F87" s="11" t="n">
        <f aca="false">IF(가정!$B$11=1,MAX(0,MIN(가정!$B$16-C87,INT(E87/가정!$B$17))),0)</f>
        <v>0</v>
      </c>
      <c r="G87" s="24" t="n">
        <f aca="false">F87*가정!$B$17</f>
        <v>0</v>
      </c>
      <c r="H87" s="24" t="n">
        <f aca="false">E87-G87</f>
        <v>10.3266331658291</v>
      </c>
      <c r="I87" s="24" t="n">
        <f aca="false">I86+D87</f>
        <v>560</v>
      </c>
      <c r="J87" s="16" t="n">
        <f aca="false">(H87+D87)*가정!$B$10</f>
        <v>25.3266331658291</v>
      </c>
      <c r="K87" s="24" t="n">
        <f aca="false">A87*가정!$B$8*가정!$B$7</f>
        <v>415</v>
      </c>
      <c r="L87" s="11" t="n">
        <f aca="false">C87+F87</f>
        <v>3</v>
      </c>
    </row>
    <row r="88" customFormat="false" ht="15" hidden="false" customHeight="false" outlineLevel="0" collapsed="false">
      <c r="A88" s="11" t="n">
        <v>84</v>
      </c>
      <c r="B88" s="11" t="n">
        <f aca="false">MATCH(A88,월별!$C$6:$C$41,1)</f>
        <v>3</v>
      </c>
      <c r="C88" s="11" t="n">
        <f aca="false">L87</f>
        <v>3</v>
      </c>
      <c r="D88" s="24" t="n">
        <f aca="false">C88*가정!$B$8</f>
        <v>15</v>
      </c>
      <c r="E88" s="24" t="n">
        <f aca="false">H87+D87</f>
        <v>25.3266331658291</v>
      </c>
      <c r="F88" s="11" t="n">
        <f aca="false">IF(가정!$B$11=1,MAX(0,MIN(가정!$B$16-C88,INT(E88/가정!$B$17))),0)</f>
        <v>0</v>
      </c>
      <c r="G88" s="24" t="n">
        <f aca="false">F88*가정!$B$17</f>
        <v>0</v>
      </c>
      <c r="H88" s="24" t="n">
        <f aca="false">E88-G88</f>
        <v>25.3266331658291</v>
      </c>
      <c r="I88" s="24" t="n">
        <f aca="false">I87+D88</f>
        <v>575</v>
      </c>
      <c r="J88" s="16" t="n">
        <f aca="false">(H88+D88)*가정!$B$10</f>
        <v>40.3266331658291</v>
      </c>
      <c r="K88" s="24" t="n">
        <f aca="false">A88*가정!$B$8*가정!$B$7</f>
        <v>420</v>
      </c>
      <c r="L88" s="11" t="n">
        <f aca="false">C88+F88</f>
        <v>3</v>
      </c>
    </row>
    <row r="89" customFormat="false" ht="15" hidden="false" customHeight="false" outlineLevel="0" collapsed="false">
      <c r="A89" s="11" t="n">
        <v>85</v>
      </c>
      <c r="B89" s="11" t="n">
        <f aca="false">MATCH(A89,월별!$C$6:$C$41,1)</f>
        <v>3</v>
      </c>
      <c r="C89" s="11" t="n">
        <f aca="false">L88</f>
        <v>3</v>
      </c>
      <c r="D89" s="24" t="n">
        <f aca="false">C89*가정!$B$8</f>
        <v>15</v>
      </c>
      <c r="E89" s="24" t="n">
        <f aca="false">H88+D88</f>
        <v>40.3266331658291</v>
      </c>
      <c r="F89" s="11" t="n">
        <f aca="false">IF(가정!$B$11=1,MAX(0,MIN(가정!$B$16-C89,INT(E89/가정!$B$17))),0)</f>
        <v>0</v>
      </c>
      <c r="G89" s="24" t="n">
        <f aca="false">F89*가정!$B$17</f>
        <v>0</v>
      </c>
      <c r="H89" s="24" t="n">
        <f aca="false">E89-G89</f>
        <v>40.3266331658291</v>
      </c>
      <c r="I89" s="24" t="n">
        <f aca="false">I88+D89</f>
        <v>590</v>
      </c>
      <c r="J89" s="16" t="n">
        <f aca="false">(H89+D89)*가정!$B$10</f>
        <v>55.3266331658291</v>
      </c>
      <c r="K89" s="24" t="n">
        <f aca="false">A89*가정!$B$8*가정!$B$7</f>
        <v>425</v>
      </c>
      <c r="L89" s="11" t="n">
        <f aca="false">C89+F89</f>
        <v>3</v>
      </c>
    </row>
    <row r="90" customFormat="false" ht="15" hidden="false" customHeight="false" outlineLevel="0" collapsed="false">
      <c r="A90" s="11" t="n">
        <v>86</v>
      </c>
      <c r="B90" s="11" t="n">
        <f aca="false">MATCH(A90,월별!$C$6:$C$41,1)</f>
        <v>3</v>
      </c>
      <c r="C90" s="11" t="n">
        <f aca="false">L89</f>
        <v>3</v>
      </c>
      <c r="D90" s="24" t="n">
        <f aca="false">C90*가정!$B$8</f>
        <v>15</v>
      </c>
      <c r="E90" s="24" t="n">
        <f aca="false">H89+D89</f>
        <v>55.3266331658291</v>
      </c>
      <c r="F90" s="11" t="n">
        <f aca="false">IF(가정!$B$11=1,MAX(0,MIN(가정!$B$16-C90,INT(E90/가정!$B$17))),0)</f>
        <v>0</v>
      </c>
      <c r="G90" s="24" t="n">
        <f aca="false">F90*가정!$B$17</f>
        <v>0</v>
      </c>
      <c r="H90" s="24" t="n">
        <f aca="false">E90-G90</f>
        <v>55.3266331658291</v>
      </c>
      <c r="I90" s="24" t="n">
        <f aca="false">I89+D90</f>
        <v>605</v>
      </c>
      <c r="J90" s="16" t="n">
        <f aca="false">(H90+D90)*가정!$B$10</f>
        <v>70.3266331658291</v>
      </c>
      <c r="K90" s="24" t="n">
        <f aca="false">A90*가정!$B$8*가정!$B$7</f>
        <v>430</v>
      </c>
      <c r="L90" s="11" t="n">
        <f aca="false">C90+F90</f>
        <v>3</v>
      </c>
    </row>
    <row r="91" customFormat="false" ht="15" hidden="false" customHeight="false" outlineLevel="0" collapsed="false">
      <c r="A91" s="11" t="n">
        <v>87</v>
      </c>
      <c r="B91" s="11" t="n">
        <f aca="false">MATCH(A91,월별!$C$6:$C$41,1)</f>
        <v>3</v>
      </c>
      <c r="C91" s="11" t="n">
        <f aca="false">L90</f>
        <v>3</v>
      </c>
      <c r="D91" s="24" t="n">
        <f aca="false">C91*가정!$B$8</f>
        <v>15</v>
      </c>
      <c r="E91" s="24" t="n">
        <f aca="false">H90+D90</f>
        <v>70.3266331658291</v>
      </c>
      <c r="F91" s="11" t="n">
        <f aca="false">IF(가정!$B$11=1,MAX(0,MIN(가정!$B$16-C91,INT(E91/가정!$B$17))),0)</f>
        <v>0</v>
      </c>
      <c r="G91" s="24" t="n">
        <f aca="false">F91*가정!$B$17</f>
        <v>0</v>
      </c>
      <c r="H91" s="24" t="n">
        <f aca="false">E91-G91</f>
        <v>70.3266331658291</v>
      </c>
      <c r="I91" s="24" t="n">
        <f aca="false">I90+D91</f>
        <v>620</v>
      </c>
      <c r="J91" s="16" t="n">
        <f aca="false">(H91+D91)*가정!$B$10</f>
        <v>85.3266331658291</v>
      </c>
      <c r="K91" s="24" t="n">
        <f aca="false">A91*가정!$B$8*가정!$B$7</f>
        <v>435</v>
      </c>
      <c r="L91" s="11" t="n">
        <f aca="false">C91+F91</f>
        <v>3</v>
      </c>
    </row>
    <row r="92" customFormat="false" ht="15" hidden="false" customHeight="false" outlineLevel="0" collapsed="false">
      <c r="A92" s="11" t="n">
        <v>88</v>
      </c>
      <c r="B92" s="11" t="n">
        <f aca="false">MATCH(A92,월별!$C$6:$C$41,1)</f>
        <v>3</v>
      </c>
      <c r="C92" s="11" t="n">
        <f aca="false">L91</f>
        <v>3</v>
      </c>
      <c r="D92" s="24" t="n">
        <f aca="false">C92*가정!$B$8</f>
        <v>15</v>
      </c>
      <c r="E92" s="24" t="n">
        <f aca="false">H91+D91</f>
        <v>85.3266331658291</v>
      </c>
      <c r="F92" s="11" t="n">
        <f aca="false">IF(가정!$B$11=1,MAX(0,MIN(가정!$B$16-C92,INT(E92/가정!$B$17))),0)</f>
        <v>0</v>
      </c>
      <c r="G92" s="24" t="n">
        <f aca="false">F92*가정!$B$17</f>
        <v>0</v>
      </c>
      <c r="H92" s="24" t="n">
        <f aca="false">E92-G92</f>
        <v>85.3266331658291</v>
      </c>
      <c r="I92" s="24" t="n">
        <f aca="false">I91+D92</f>
        <v>635</v>
      </c>
      <c r="J92" s="16" t="n">
        <f aca="false">(H92+D92)*가정!$B$10</f>
        <v>100.326633165829</v>
      </c>
      <c r="K92" s="24" t="n">
        <f aca="false">A92*가정!$B$8*가정!$B$7</f>
        <v>440</v>
      </c>
      <c r="L92" s="11" t="n">
        <f aca="false">C92+F92</f>
        <v>3</v>
      </c>
    </row>
    <row r="93" customFormat="false" ht="15" hidden="false" customHeight="false" outlineLevel="0" collapsed="false">
      <c r="A93" s="11" t="n">
        <v>89</v>
      </c>
      <c r="B93" s="11" t="n">
        <f aca="false">MATCH(A93,월별!$C$6:$C$41,1)</f>
        <v>3</v>
      </c>
      <c r="C93" s="11" t="n">
        <f aca="false">L92</f>
        <v>3</v>
      </c>
      <c r="D93" s="24" t="n">
        <f aca="false">C93*가정!$B$8</f>
        <v>15</v>
      </c>
      <c r="E93" s="24" t="n">
        <f aca="false">H92+D92</f>
        <v>100.326633165829</v>
      </c>
      <c r="F93" s="11" t="n">
        <f aca="false">IF(가정!$B$11=1,MAX(0,MIN(가정!$B$16-C93,INT(E93/가정!$B$17))),0)</f>
        <v>0</v>
      </c>
      <c r="G93" s="24" t="n">
        <f aca="false">F93*가정!$B$17</f>
        <v>0</v>
      </c>
      <c r="H93" s="24" t="n">
        <f aca="false">E93-G93</f>
        <v>100.326633165829</v>
      </c>
      <c r="I93" s="24" t="n">
        <f aca="false">I92+D93</f>
        <v>650</v>
      </c>
      <c r="J93" s="16" t="n">
        <f aca="false">(H93+D93)*가정!$B$10</f>
        <v>115.326633165829</v>
      </c>
      <c r="K93" s="24" t="n">
        <f aca="false">A93*가정!$B$8*가정!$B$7</f>
        <v>445</v>
      </c>
      <c r="L93" s="11" t="n">
        <f aca="false">C93+F93</f>
        <v>3</v>
      </c>
    </row>
    <row r="94" customFormat="false" ht="15" hidden="false" customHeight="false" outlineLevel="0" collapsed="false">
      <c r="A94" s="11" t="n">
        <v>90</v>
      </c>
      <c r="B94" s="11" t="n">
        <f aca="false">MATCH(A94,월별!$C$6:$C$41,1)</f>
        <v>3</v>
      </c>
      <c r="C94" s="11" t="n">
        <f aca="false">L93</f>
        <v>3</v>
      </c>
      <c r="D94" s="24" t="n">
        <f aca="false">C94*가정!$B$8</f>
        <v>15</v>
      </c>
      <c r="E94" s="24" t="n">
        <f aca="false">H93+D93</f>
        <v>115.326633165829</v>
      </c>
      <c r="F94" s="11" t="n">
        <f aca="false">IF(가정!$B$11=1,MAX(0,MIN(가정!$B$16-C94,INT(E94/가정!$B$17))),0)</f>
        <v>0</v>
      </c>
      <c r="G94" s="24" t="n">
        <f aca="false">F94*가정!$B$17</f>
        <v>0</v>
      </c>
      <c r="H94" s="24" t="n">
        <f aca="false">E94-G94</f>
        <v>115.326633165829</v>
      </c>
      <c r="I94" s="24" t="n">
        <f aca="false">I93+D94</f>
        <v>665</v>
      </c>
      <c r="J94" s="16" t="n">
        <f aca="false">(H94+D94)*가정!$B$10</f>
        <v>130.326633165829</v>
      </c>
      <c r="K94" s="24" t="n">
        <f aca="false">A94*가정!$B$8*가정!$B$7</f>
        <v>450</v>
      </c>
      <c r="L94" s="11" t="n">
        <f aca="false">C94+F94</f>
        <v>3</v>
      </c>
    </row>
    <row r="95" customFormat="false" ht="15" hidden="false" customHeight="false" outlineLevel="0" collapsed="false">
      <c r="A95" s="11" t="n">
        <v>91</v>
      </c>
      <c r="B95" s="11" t="n">
        <f aca="false">MATCH(A95,월별!$C$6:$C$41,1)</f>
        <v>3</v>
      </c>
      <c r="C95" s="11" t="n">
        <f aca="false">L94</f>
        <v>3</v>
      </c>
      <c r="D95" s="24" t="n">
        <f aca="false">C95*가정!$B$8</f>
        <v>15</v>
      </c>
      <c r="E95" s="24" t="n">
        <f aca="false">H94+D94</f>
        <v>130.326633165829</v>
      </c>
      <c r="F95" s="11" t="n">
        <f aca="false">IF(가정!$B$11=1,MAX(0,MIN(가정!$B$16-C95,INT(E95/가정!$B$17))),0)</f>
        <v>0</v>
      </c>
      <c r="G95" s="24" t="n">
        <f aca="false">F95*가정!$B$17</f>
        <v>0</v>
      </c>
      <c r="H95" s="24" t="n">
        <f aca="false">E95-G95</f>
        <v>130.326633165829</v>
      </c>
      <c r="I95" s="24" t="n">
        <f aca="false">I94+D95</f>
        <v>680</v>
      </c>
      <c r="J95" s="16" t="n">
        <f aca="false">(H95+D95)*가정!$B$10</f>
        <v>145.326633165829</v>
      </c>
      <c r="K95" s="24" t="n">
        <f aca="false">A95*가정!$B$8*가정!$B$7</f>
        <v>455</v>
      </c>
      <c r="L95" s="11" t="n">
        <f aca="false">C95+F95</f>
        <v>3</v>
      </c>
    </row>
    <row r="96" customFormat="false" ht="15" hidden="false" customHeight="false" outlineLevel="0" collapsed="false">
      <c r="A96" s="11" t="n">
        <v>92</v>
      </c>
      <c r="B96" s="11" t="n">
        <f aca="false">MATCH(A96,월별!$C$6:$C$41,1)</f>
        <v>4</v>
      </c>
      <c r="C96" s="11" t="n">
        <f aca="false">L95</f>
        <v>3</v>
      </c>
      <c r="D96" s="24" t="n">
        <f aca="false">C96*가정!$B$8</f>
        <v>15</v>
      </c>
      <c r="E96" s="24" t="n">
        <f aca="false">H95+D95</f>
        <v>145.326633165829</v>
      </c>
      <c r="F96" s="11" t="n">
        <f aca="false">IF(가정!$B$11=1,MAX(0,MIN(가정!$B$16-C96,INT(E96/가정!$B$17))),0)</f>
        <v>0</v>
      </c>
      <c r="G96" s="24" t="n">
        <f aca="false">F96*가정!$B$17</f>
        <v>0</v>
      </c>
      <c r="H96" s="24" t="n">
        <f aca="false">E96-G96</f>
        <v>145.326633165829</v>
      </c>
      <c r="I96" s="24" t="n">
        <f aca="false">I95+D96</f>
        <v>695</v>
      </c>
      <c r="J96" s="16" t="n">
        <f aca="false">(H96+D96)*가정!$B$10</f>
        <v>160.326633165829</v>
      </c>
      <c r="K96" s="24" t="n">
        <f aca="false">A96*가정!$B$8*가정!$B$7</f>
        <v>460</v>
      </c>
      <c r="L96" s="11" t="n">
        <f aca="false">C96+F96</f>
        <v>3</v>
      </c>
    </row>
    <row r="97" customFormat="false" ht="15" hidden="false" customHeight="false" outlineLevel="0" collapsed="false">
      <c r="A97" s="11" t="n">
        <v>93</v>
      </c>
      <c r="B97" s="11" t="n">
        <f aca="false">MATCH(A97,월별!$C$6:$C$41,1)</f>
        <v>4</v>
      </c>
      <c r="C97" s="11" t="n">
        <f aca="false">L96</f>
        <v>3</v>
      </c>
      <c r="D97" s="24" t="n">
        <f aca="false">C97*가정!$B$8</f>
        <v>15</v>
      </c>
      <c r="E97" s="24" t="n">
        <f aca="false">H96+D96</f>
        <v>160.326633165829</v>
      </c>
      <c r="F97" s="11" t="n">
        <f aca="false">IF(가정!$B$11=1,MAX(0,MIN(가정!$B$16-C97,INT(E97/가정!$B$17))),0)</f>
        <v>0</v>
      </c>
      <c r="G97" s="24" t="n">
        <f aca="false">F97*가정!$B$17</f>
        <v>0</v>
      </c>
      <c r="H97" s="24" t="n">
        <f aca="false">E97-G97</f>
        <v>160.326633165829</v>
      </c>
      <c r="I97" s="24" t="n">
        <f aca="false">I96+D97</f>
        <v>710</v>
      </c>
      <c r="J97" s="16" t="n">
        <f aca="false">(H97+D97)*가정!$B$10</f>
        <v>175.326633165829</v>
      </c>
      <c r="K97" s="24" t="n">
        <f aca="false">A97*가정!$B$8*가정!$B$7</f>
        <v>465</v>
      </c>
      <c r="L97" s="11" t="n">
        <f aca="false">C97+F97</f>
        <v>3</v>
      </c>
    </row>
    <row r="98" customFormat="false" ht="15" hidden="false" customHeight="false" outlineLevel="0" collapsed="false">
      <c r="A98" s="11" t="n">
        <v>94</v>
      </c>
      <c r="B98" s="11" t="n">
        <f aca="false">MATCH(A98,월별!$C$6:$C$41,1)</f>
        <v>4</v>
      </c>
      <c r="C98" s="11" t="n">
        <f aca="false">L97</f>
        <v>3</v>
      </c>
      <c r="D98" s="24" t="n">
        <f aca="false">C98*가정!$B$8</f>
        <v>15</v>
      </c>
      <c r="E98" s="24" t="n">
        <f aca="false">H97+D97</f>
        <v>175.326633165829</v>
      </c>
      <c r="F98" s="11" t="n">
        <f aca="false">IF(가정!$B$11=1,MAX(0,MIN(가정!$B$16-C98,INT(E98/가정!$B$17))),0)</f>
        <v>0</v>
      </c>
      <c r="G98" s="24" t="n">
        <f aca="false">F98*가정!$B$17</f>
        <v>0</v>
      </c>
      <c r="H98" s="24" t="n">
        <f aca="false">E98-G98</f>
        <v>175.326633165829</v>
      </c>
      <c r="I98" s="24" t="n">
        <f aca="false">I97+D98</f>
        <v>725</v>
      </c>
      <c r="J98" s="16" t="n">
        <f aca="false">(H98+D98)*가정!$B$10</f>
        <v>190.326633165829</v>
      </c>
      <c r="K98" s="24" t="n">
        <f aca="false">A98*가정!$B$8*가정!$B$7</f>
        <v>470</v>
      </c>
      <c r="L98" s="11" t="n">
        <f aca="false">C98+F98</f>
        <v>3</v>
      </c>
    </row>
    <row r="99" customFormat="false" ht="15" hidden="false" customHeight="false" outlineLevel="0" collapsed="false">
      <c r="A99" s="11" t="n">
        <v>95</v>
      </c>
      <c r="B99" s="11" t="n">
        <f aca="false">MATCH(A99,월별!$C$6:$C$41,1)</f>
        <v>4</v>
      </c>
      <c r="C99" s="11" t="n">
        <f aca="false">L98</f>
        <v>3</v>
      </c>
      <c r="D99" s="24" t="n">
        <f aca="false">C99*가정!$B$8</f>
        <v>15</v>
      </c>
      <c r="E99" s="24" t="n">
        <f aca="false">H98+D98</f>
        <v>190.326633165829</v>
      </c>
      <c r="F99" s="11" t="n">
        <f aca="false">IF(가정!$B$11=1,MAX(0,MIN(가정!$B$16-C99,INT(E99/가정!$B$17))),0)</f>
        <v>0</v>
      </c>
      <c r="G99" s="24" t="n">
        <f aca="false">F99*가정!$B$17</f>
        <v>0</v>
      </c>
      <c r="H99" s="24" t="n">
        <f aca="false">E99-G99</f>
        <v>190.326633165829</v>
      </c>
      <c r="I99" s="24" t="n">
        <f aca="false">I98+D99</f>
        <v>740</v>
      </c>
      <c r="J99" s="16" t="n">
        <f aca="false">(H99+D99)*가정!$B$10</f>
        <v>205.326633165829</v>
      </c>
      <c r="K99" s="24" t="n">
        <f aca="false">A99*가정!$B$8*가정!$B$7</f>
        <v>475</v>
      </c>
      <c r="L99" s="11" t="n">
        <f aca="false">C99+F99</f>
        <v>3</v>
      </c>
    </row>
    <row r="100" customFormat="false" ht="15" hidden="false" customHeight="false" outlineLevel="0" collapsed="false">
      <c r="A100" s="11" t="n">
        <v>96</v>
      </c>
      <c r="B100" s="11" t="n">
        <f aca="false">MATCH(A100,월별!$C$6:$C$41,1)</f>
        <v>4</v>
      </c>
      <c r="C100" s="11" t="n">
        <f aca="false">L99</f>
        <v>3</v>
      </c>
      <c r="D100" s="24" t="n">
        <f aca="false">C100*가정!$B$8</f>
        <v>15</v>
      </c>
      <c r="E100" s="24" t="n">
        <f aca="false">H99+D99</f>
        <v>205.326633165829</v>
      </c>
      <c r="F100" s="11" t="n">
        <f aca="false">IF(가정!$B$11=1,MAX(0,MIN(가정!$B$16-C100,INT(E100/가정!$B$17))),0)</f>
        <v>0</v>
      </c>
      <c r="G100" s="24" t="n">
        <f aca="false">F100*가정!$B$17</f>
        <v>0</v>
      </c>
      <c r="H100" s="24" t="n">
        <f aca="false">E100-G100</f>
        <v>205.326633165829</v>
      </c>
      <c r="I100" s="24" t="n">
        <f aca="false">I99+D100</f>
        <v>755</v>
      </c>
      <c r="J100" s="16" t="n">
        <f aca="false">(H100+D100)*가정!$B$10</f>
        <v>220.326633165829</v>
      </c>
      <c r="K100" s="24" t="n">
        <f aca="false">A100*가정!$B$8*가정!$B$7</f>
        <v>480</v>
      </c>
      <c r="L100" s="11" t="n">
        <f aca="false">C100+F100</f>
        <v>3</v>
      </c>
    </row>
    <row r="101" customFormat="false" ht="15" hidden="false" customHeight="false" outlineLevel="0" collapsed="false">
      <c r="A101" s="11" t="n">
        <v>97</v>
      </c>
      <c r="B101" s="11" t="n">
        <f aca="false">MATCH(A101,월별!$C$6:$C$41,1)</f>
        <v>4</v>
      </c>
      <c r="C101" s="11" t="n">
        <f aca="false">L100</f>
        <v>3</v>
      </c>
      <c r="D101" s="24" t="n">
        <f aca="false">C101*가정!$B$8</f>
        <v>15</v>
      </c>
      <c r="E101" s="24" t="n">
        <f aca="false">H100+D100</f>
        <v>220.326633165829</v>
      </c>
      <c r="F101" s="11" t="n">
        <f aca="false">IF(가정!$B$11=1,MAX(0,MIN(가정!$B$16-C101,INT(E101/가정!$B$17))),0)</f>
        <v>0</v>
      </c>
      <c r="G101" s="24" t="n">
        <f aca="false">F101*가정!$B$17</f>
        <v>0</v>
      </c>
      <c r="H101" s="24" t="n">
        <f aca="false">E101-G101</f>
        <v>220.326633165829</v>
      </c>
      <c r="I101" s="24" t="n">
        <f aca="false">I100+D101</f>
        <v>770</v>
      </c>
      <c r="J101" s="16" t="n">
        <f aca="false">(H101+D101)*가정!$B$10</f>
        <v>235.326633165829</v>
      </c>
      <c r="K101" s="24" t="n">
        <f aca="false">A101*가정!$B$8*가정!$B$7</f>
        <v>485</v>
      </c>
      <c r="L101" s="11" t="n">
        <f aca="false">C101+F101</f>
        <v>3</v>
      </c>
    </row>
    <row r="102" customFormat="false" ht="15" hidden="false" customHeight="false" outlineLevel="0" collapsed="false">
      <c r="A102" s="11" t="n">
        <v>98</v>
      </c>
      <c r="B102" s="11" t="n">
        <f aca="false">MATCH(A102,월별!$C$6:$C$41,1)</f>
        <v>4</v>
      </c>
      <c r="C102" s="11" t="n">
        <f aca="false">L101</f>
        <v>3</v>
      </c>
      <c r="D102" s="24" t="n">
        <f aca="false">C102*가정!$B$8</f>
        <v>15</v>
      </c>
      <c r="E102" s="24" t="n">
        <f aca="false">H101+D101</f>
        <v>235.326633165829</v>
      </c>
      <c r="F102" s="11" t="n">
        <f aca="false">IF(가정!$B$11=1,MAX(0,MIN(가정!$B$16-C102,INT(E102/가정!$B$17))),0)</f>
        <v>0</v>
      </c>
      <c r="G102" s="24" t="n">
        <f aca="false">F102*가정!$B$17</f>
        <v>0</v>
      </c>
      <c r="H102" s="24" t="n">
        <f aca="false">E102-G102</f>
        <v>235.326633165829</v>
      </c>
      <c r="I102" s="24" t="n">
        <f aca="false">I101+D102</f>
        <v>785</v>
      </c>
      <c r="J102" s="16" t="n">
        <f aca="false">(H102+D102)*가정!$B$10</f>
        <v>250.326633165829</v>
      </c>
      <c r="K102" s="24" t="n">
        <f aca="false">A102*가정!$B$8*가정!$B$7</f>
        <v>490</v>
      </c>
      <c r="L102" s="11" t="n">
        <f aca="false">C102+F102</f>
        <v>3</v>
      </c>
    </row>
    <row r="103" customFormat="false" ht="15" hidden="false" customHeight="false" outlineLevel="0" collapsed="false">
      <c r="A103" s="11" t="n">
        <v>99</v>
      </c>
      <c r="B103" s="11" t="n">
        <f aca="false">MATCH(A103,월별!$C$6:$C$41,1)</f>
        <v>4</v>
      </c>
      <c r="C103" s="11" t="n">
        <f aca="false">L102</f>
        <v>3</v>
      </c>
      <c r="D103" s="24" t="n">
        <f aca="false">C103*가정!$B$8</f>
        <v>15</v>
      </c>
      <c r="E103" s="24" t="n">
        <f aca="false">H102+D102</f>
        <v>250.326633165829</v>
      </c>
      <c r="F103" s="11" t="n">
        <f aca="false">IF(가정!$B$11=1,MAX(0,MIN(가정!$B$16-C103,INT(E103/가정!$B$17))),0)</f>
        <v>0</v>
      </c>
      <c r="G103" s="24" t="n">
        <f aca="false">F103*가정!$B$17</f>
        <v>0</v>
      </c>
      <c r="H103" s="24" t="n">
        <f aca="false">E103-G103</f>
        <v>250.326633165829</v>
      </c>
      <c r="I103" s="24" t="n">
        <f aca="false">I102+D103</f>
        <v>800</v>
      </c>
      <c r="J103" s="16" t="n">
        <f aca="false">(H103+D103)*가정!$B$10</f>
        <v>265.326633165829</v>
      </c>
      <c r="K103" s="24" t="n">
        <f aca="false">A103*가정!$B$8*가정!$B$7</f>
        <v>495</v>
      </c>
      <c r="L103" s="11" t="n">
        <f aca="false">C103+F103</f>
        <v>3</v>
      </c>
    </row>
    <row r="104" customFormat="false" ht="15" hidden="false" customHeight="false" outlineLevel="0" collapsed="false">
      <c r="A104" s="11" t="n">
        <v>100</v>
      </c>
      <c r="B104" s="11" t="n">
        <f aca="false">MATCH(A104,월별!$C$6:$C$41,1)</f>
        <v>4</v>
      </c>
      <c r="C104" s="11" t="n">
        <f aca="false">L103</f>
        <v>3</v>
      </c>
      <c r="D104" s="24" t="n">
        <f aca="false">C104*가정!$B$8</f>
        <v>15</v>
      </c>
      <c r="E104" s="24" t="n">
        <f aca="false">H103+D103</f>
        <v>265.326633165829</v>
      </c>
      <c r="F104" s="11" t="n">
        <f aca="false">IF(가정!$B$11=1,MAX(0,MIN(가정!$B$16-C104,INT(E104/가정!$B$17))),0)</f>
        <v>0</v>
      </c>
      <c r="G104" s="24" t="n">
        <f aca="false">F104*가정!$B$17</f>
        <v>0</v>
      </c>
      <c r="H104" s="24" t="n">
        <f aca="false">E104-G104</f>
        <v>265.326633165829</v>
      </c>
      <c r="I104" s="24" t="n">
        <f aca="false">I103+D104</f>
        <v>815</v>
      </c>
      <c r="J104" s="16" t="n">
        <f aca="false">(H104+D104)*가정!$B$10</f>
        <v>280.326633165829</v>
      </c>
      <c r="K104" s="24" t="n">
        <f aca="false">A104*가정!$B$8*가정!$B$7</f>
        <v>500</v>
      </c>
      <c r="L104" s="11" t="n">
        <f aca="false">C104+F104</f>
        <v>3</v>
      </c>
    </row>
    <row r="105" customFormat="false" ht="15" hidden="false" customHeight="false" outlineLevel="0" collapsed="false">
      <c r="A105" s="11" t="n">
        <v>101</v>
      </c>
      <c r="B105" s="11" t="n">
        <f aca="false">MATCH(A105,월별!$C$6:$C$41,1)</f>
        <v>4</v>
      </c>
      <c r="C105" s="11" t="n">
        <f aca="false">L104</f>
        <v>3</v>
      </c>
      <c r="D105" s="24" t="n">
        <f aca="false">C105*가정!$B$8</f>
        <v>15</v>
      </c>
      <c r="E105" s="24" t="n">
        <f aca="false">H104+D104</f>
        <v>280.326633165829</v>
      </c>
      <c r="F105" s="11" t="n">
        <f aca="false">IF(가정!$B$11=1,MAX(0,MIN(가정!$B$16-C105,INT(E105/가정!$B$17))),0)</f>
        <v>1</v>
      </c>
      <c r="G105" s="24" t="n">
        <f aca="false">F105*가정!$B$17</f>
        <v>267.336683417085</v>
      </c>
      <c r="H105" s="24" t="n">
        <f aca="false">E105-G105</f>
        <v>12.9899497487436</v>
      </c>
      <c r="I105" s="24" t="n">
        <f aca="false">I104+D105</f>
        <v>830</v>
      </c>
      <c r="J105" s="16" t="n">
        <f aca="false">(H105+D105)*가정!$B$10</f>
        <v>27.9899497487436</v>
      </c>
      <c r="K105" s="24" t="n">
        <f aca="false">A105*가정!$B$8*가정!$B$7</f>
        <v>505</v>
      </c>
      <c r="L105" s="11" t="n">
        <f aca="false">C105+F105</f>
        <v>4</v>
      </c>
    </row>
    <row r="106" customFormat="false" ht="15" hidden="false" customHeight="false" outlineLevel="0" collapsed="false">
      <c r="A106" s="11" t="n">
        <v>102</v>
      </c>
      <c r="B106" s="11" t="n">
        <f aca="false">MATCH(A106,월별!$C$6:$C$41,1)</f>
        <v>4</v>
      </c>
      <c r="C106" s="11" t="n">
        <f aca="false">L105</f>
        <v>4</v>
      </c>
      <c r="D106" s="24" t="n">
        <f aca="false">C106*가정!$B$8</f>
        <v>20</v>
      </c>
      <c r="E106" s="24" t="n">
        <f aca="false">H105+D105</f>
        <v>27.9899497487436</v>
      </c>
      <c r="F106" s="11" t="n">
        <f aca="false">IF(가정!$B$11=1,MAX(0,MIN(가정!$B$16-C106,INT(E106/가정!$B$17))),0)</f>
        <v>0</v>
      </c>
      <c r="G106" s="24" t="n">
        <f aca="false">F106*가정!$B$17</f>
        <v>0</v>
      </c>
      <c r="H106" s="24" t="n">
        <f aca="false">E106-G106</f>
        <v>27.9899497487436</v>
      </c>
      <c r="I106" s="24" t="n">
        <f aca="false">I105+D106</f>
        <v>850</v>
      </c>
      <c r="J106" s="16" t="n">
        <f aca="false">(H106+D106)*가정!$B$10</f>
        <v>47.9899497487436</v>
      </c>
      <c r="K106" s="24" t="n">
        <f aca="false">A106*가정!$B$8*가정!$B$7</f>
        <v>510</v>
      </c>
      <c r="L106" s="11" t="n">
        <f aca="false">C106+F106</f>
        <v>4</v>
      </c>
    </row>
    <row r="107" customFormat="false" ht="15" hidden="false" customHeight="false" outlineLevel="0" collapsed="false">
      <c r="A107" s="11" t="n">
        <v>103</v>
      </c>
      <c r="B107" s="11" t="n">
        <f aca="false">MATCH(A107,월별!$C$6:$C$41,1)</f>
        <v>4</v>
      </c>
      <c r="C107" s="11" t="n">
        <f aca="false">L106</f>
        <v>4</v>
      </c>
      <c r="D107" s="24" t="n">
        <f aca="false">C107*가정!$B$8</f>
        <v>20</v>
      </c>
      <c r="E107" s="24" t="n">
        <f aca="false">H106+D106</f>
        <v>47.9899497487436</v>
      </c>
      <c r="F107" s="11" t="n">
        <f aca="false">IF(가정!$B$11=1,MAX(0,MIN(가정!$B$16-C107,INT(E107/가정!$B$17))),0)</f>
        <v>0</v>
      </c>
      <c r="G107" s="24" t="n">
        <f aca="false">F107*가정!$B$17</f>
        <v>0</v>
      </c>
      <c r="H107" s="24" t="n">
        <f aca="false">E107-G107</f>
        <v>47.9899497487436</v>
      </c>
      <c r="I107" s="24" t="n">
        <f aca="false">I106+D107</f>
        <v>870</v>
      </c>
      <c r="J107" s="16" t="n">
        <f aca="false">(H107+D107)*가정!$B$10</f>
        <v>67.9899497487436</v>
      </c>
      <c r="K107" s="24" t="n">
        <f aca="false">A107*가정!$B$8*가정!$B$7</f>
        <v>515</v>
      </c>
      <c r="L107" s="11" t="n">
        <f aca="false">C107+F107</f>
        <v>4</v>
      </c>
    </row>
    <row r="108" customFormat="false" ht="15" hidden="false" customHeight="false" outlineLevel="0" collapsed="false">
      <c r="A108" s="11" t="n">
        <v>104</v>
      </c>
      <c r="B108" s="11" t="n">
        <f aca="false">MATCH(A108,월별!$C$6:$C$41,1)</f>
        <v>4</v>
      </c>
      <c r="C108" s="11" t="n">
        <f aca="false">L107</f>
        <v>4</v>
      </c>
      <c r="D108" s="24" t="n">
        <f aca="false">C108*가정!$B$8</f>
        <v>20</v>
      </c>
      <c r="E108" s="24" t="n">
        <f aca="false">H107+D107</f>
        <v>67.9899497487436</v>
      </c>
      <c r="F108" s="11" t="n">
        <f aca="false">IF(가정!$B$11=1,MAX(0,MIN(가정!$B$16-C108,INT(E108/가정!$B$17))),0)</f>
        <v>0</v>
      </c>
      <c r="G108" s="24" t="n">
        <f aca="false">F108*가정!$B$17</f>
        <v>0</v>
      </c>
      <c r="H108" s="24" t="n">
        <f aca="false">E108-G108</f>
        <v>67.9899497487436</v>
      </c>
      <c r="I108" s="24" t="n">
        <f aca="false">I107+D108</f>
        <v>890</v>
      </c>
      <c r="J108" s="16" t="n">
        <f aca="false">(H108+D108)*가정!$B$10</f>
        <v>87.9899497487436</v>
      </c>
      <c r="K108" s="24" t="n">
        <f aca="false">A108*가정!$B$8*가정!$B$7</f>
        <v>520</v>
      </c>
      <c r="L108" s="11" t="n">
        <f aca="false">C108+F108</f>
        <v>4</v>
      </c>
    </row>
    <row r="109" customFormat="false" ht="15" hidden="false" customHeight="false" outlineLevel="0" collapsed="false">
      <c r="A109" s="11" t="n">
        <v>105</v>
      </c>
      <c r="B109" s="11" t="n">
        <f aca="false">MATCH(A109,월별!$C$6:$C$41,1)</f>
        <v>4</v>
      </c>
      <c r="C109" s="11" t="n">
        <f aca="false">L108</f>
        <v>4</v>
      </c>
      <c r="D109" s="24" t="n">
        <f aca="false">C109*가정!$B$8</f>
        <v>20</v>
      </c>
      <c r="E109" s="24" t="n">
        <f aca="false">H108+D108</f>
        <v>87.9899497487436</v>
      </c>
      <c r="F109" s="11" t="n">
        <f aca="false">IF(가정!$B$11=1,MAX(0,MIN(가정!$B$16-C109,INT(E109/가정!$B$17))),0)</f>
        <v>0</v>
      </c>
      <c r="G109" s="24" t="n">
        <f aca="false">F109*가정!$B$17</f>
        <v>0</v>
      </c>
      <c r="H109" s="24" t="n">
        <f aca="false">E109-G109</f>
        <v>87.9899497487436</v>
      </c>
      <c r="I109" s="24" t="n">
        <f aca="false">I108+D109</f>
        <v>910</v>
      </c>
      <c r="J109" s="16" t="n">
        <f aca="false">(H109+D109)*가정!$B$10</f>
        <v>107.989949748744</v>
      </c>
      <c r="K109" s="24" t="n">
        <f aca="false">A109*가정!$B$8*가정!$B$7</f>
        <v>525</v>
      </c>
      <c r="L109" s="11" t="n">
        <f aca="false">C109+F109</f>
        <v>4</v>
      </c>
    </row>
    <row r="110" customFormat="false" ht="15" hidden="false" customHeight="false" outlineLevel="0" collapsed="false">
      <c r="A110" s="11" t="n">
        <v>106</v>
      </c>
      <c r="B110" s="11" t="n">
        <f aca="false">MATCH(A110,월별!$C$6:$C$41,1)</f>
        <v>4</v>
      </c>
      <c r="C110" s="11" t="n">
        <f aca="false">L109</f>
        <v>4</v>
      </c>
      <c r="D110" s="24" t="n">
        <f aca="false">C110*가정!$B$8</f>
        <v>20</v>
      </c>
      <c r="E110" s="24" t="n">
        <f aca="false">H109+D109</f>
        <v>107.989949748744</v>
      </c>
      <c r="F110" s="11" t="n">
        <f aca="false">IF(가정!$B$11=1,MAX(0,MIN(가정!$B$16-C110,INT(E110/가정!$B$17))),0)</f>
        <v>0</v>
      </c>
      <c r="G110" s="24" t="n">
        <f aca="false">F110*가정!$B$17</f>
        <v>0</v>
      </c>
      <c r="H110" s="24" t="n">
        <f aca="false">E110-G110</f>
        <v>107.989949748744</v>
      </c>
      <c r="I110" s="24" t="n">
        <f aca="false">I109+D110</f>
        <v>930</v>
      </c>
      <c r="J110" s="16" t="n">
        <f aca="false">(H110+D110)*가정!$B$10</f>
        <v>127.989949748744</v>
      </c>
      <c r="K110" s="24" t="n">
        <f aca="false">A110*가정!$B$8*가정!$B$7</f>
        <v>530</v>
      </c>
      <c r="L110" s="11" t="n">
        <f aca="false">C110+F110</f>
        <v>4</v>
      </c>
    </row>
    <row r="111" customFormat="false" ht="15" hidden="false" customHeight="false" outlineLevel="0" collapsed="false">
      <c r="A111" s="11" t="n">
        <v>107</v>
      </c>
      <c r="B111" s="11" t="n">
        <f aca="false">MATCH(A111,월별!$C$6:$C$41,1)</f>
        <v>4</v>
      </c>
      <c r="C111" s="11" t="n">
        <f aca="false">L110</f>
        <v>4</v>
      </c>
      <c r="D111" s="24" t="n">
        <f aca="false">C111*가정!$B$8</f>
        <v>20</v>
      </c>
      <c r="E111" s="24" t="n">
        <f aca="false">H110+D110</f>
        <v>127.989949748744</v>
      </c>
      <c r="F111" s="11" t="n">
        <f aca="false">IF(가정!$B$11=1,MAX(0,MIN(가정!$B$16-C111,INT(E111/가정!$B$17))),0)</f>
        <v>0</v>
      </c>
      <c r="G111" s="24" t="n">
        <f aca="false">F111*가정!$B$17</f>
        <v>0</v>
      </c>
      <c r="H111" s="24" t="n">
        <f aca="false">E111-G111</f>
        <v>127.989949748744</v>
      </c>
      <c r="I111" s="24" t="n">
        <f aca="false">I110+D111</f>
        <v>950</v>
      </c>
      <c r="J111" s="16" t="n">
        <f aca="false">(H111+D111)*가정!$B$10</f>
        <v>147.989949748744</v>
      </c>
      <c r="K111" s="24" t="n">
        <f aca="false">A111*가정!$B$8*가정!$B$7</f>
        <v>535</v>
      </c>
      <c r="L111" s="11" t="n">
        <f aca="false">C111+F111</f>
        <v>4</v>
      </c>
    </row>
    <row r="112" customFormat="false" ht="15" hidden="false" customHeight="false" outlineLevel="0" collapsed="false">
      <c r="A112" s="11" t="n">
        <v>108</v>
      </c>
      <c r="B112" s="11" t="n">
        <f aca="false">MATCH(A112,월별!$C$6:$C$41,1)</f>
        <v>4</v>
      </c>
      <c r="C112" s="11" t="n">
        <f aca="false">L111</f>
        <v>4</v>
      </c>
      <c r="D112" s="24" t="n">
        <f aca="false">C112*가정!$B$8</f>
        <v>20</v>
      </c>
      <c r="E112" s="24" t="n">
        <f aca="false">H111+D111</f>
        <v>147.989949748744</v>
      </c>
      <c r="F112" s="11" t="n">
        <f aca="false">IF(가정!$B$11=1,MAX(0,MIN(가정!$B$16-C112,INT(E112/가정!$B$17))),0)</f>
        <v>0</v>
      </c>
      <c r="G112" s="24" t="n">
        <f aca="false">F112*가정!$B$17</f>
        <v>0</v>
      </c>
      <c r="H112" s="24" t="n">
        <f aca="false">E112-G112</f>
        <v>147.989949748744</v>
      </c>
      <c r="I112" s="24" t="n">
        <f aca="false">I111+D112</f>
        <v>970</v>
      </c>
      <c r="J112" s="16" t="n">
        <f aca="false">(H112+D112)*가정!$B$10</f>
        <v>167.989949748744</v>
      </c>
      <c r="K112" s="24" t="n">
        <f aca="false">A112*가정!$B$8*가정!$B$7</f>
        <v>540</v>
      </c>
      <c r="L112" s="11" t="n">
        <f aca="false">C112+F112</f>
        <v>4</v>
      </c>
    </row>
    <row r="113" customFormat="false" ht="15" hidden="false" customHeight="false" outlineLevel="0" collapsed="false">
      <c r="A113" s="11" t="n">
        <v>109</v>
      </c>
      <c r="B113" s="11" t="n">
        <f aca="false">MATCH(A113,월별!$C$6:$C$41,1)</f>
        <v>4</v>
      </c>
      <c r="C113" s="11" t="n">
        <f aca="false">L112</f>
        <v>4</v>
      </c>
      <c r="D113" s="24" t="n">
        <f aca="false">C113*가정!$B$8</f>
        <v>20</v>
      </c>
      <c r="E113" s="24" t="n">
        <f aca="false">H112+D112</f>
        <v>167.989949748744</v>
      </c>
      <c r="F113" s="11" t="n">
        <f aca="false">IF(가정!$B$11=1,MAX(0,MIN(가정!$B$16-C113,INT(E113/가정!$B$17))),0)</f>
        <v>0</v>
      </c>
      <c r="G113" s="24" t="n">
        <f aca="false">F113*가정!$B$17</f>
        <v>0</v>
      </c>
      <c r="H113" s="24" t="n">
        <f aca="false">E113-G113</f>
        <v>167.989949748744</v>
      </c>
      <c r="I113" s="24" t="n">
        <f aca="false">I112+D113</f>
        <v>990</v>
      </c>
      <c r="J113" s="16" t="n">
        <f aca="false">(H113+D113)*가정!$B$10</f>
        <v>187.989949748744</v>
      </c>
      <c r="K113" s="24" t="n">
        <f aca="false">A113*가정!$B$8*가정!$B$7</f>
        <v>545</v>
      </c>
      <c r="L113" s="11" t="n">
        <f aca="false">C113+F113</f>
        <v>4</v>
      </c>
    </row>
    <row r="114" customFormat="false" ht="15" hidden="false" customHeight="false" outlineLevel="0" collapsed="false">
      <c r="A114" s="11" t="n">
        <v>110</v>
      </c>
      <c r="B114" s="11" t="n">
        <f aca="false">MATCH(A114,월별!$C$6:$C$41,1)</f>
        <v>4</v>
      </c>
      <c r="C114" s="11" t="n">
        <f aca="false">L113</f>
        <v>4</v>
      </c>
      <c r="D114" s="24" t="n">
        <f aca="false">C114*가정!$B$8</f>
        <v>20</v>
      </c>
      <c r="E114" s="24" t="n">
        <f aca="false">H113+D113</f>
        <v>187.989949748744</v>
      </c>
      <c r="F114" s="11" t="n">
        <f aca="false">IF(가정!$B$11=1,MAX(0,MIN(가정!$B$16-C114,INT(E114/가정!$B$17))),0)</f>
        <v>0</v>
      </c>
      <c r="G114" s="24" t="n">
        <f aca="false">F114*가정!$B$17</f>
        <v>0</v>
      </c>
      <c r="H114" s="24" t="n">
        <f aca="false">E114-G114</f>
        <v>187.989949748744</v>
      </c>
      <c r="I114" s="24" t="n">
        <f aca="false">I113+D114</f>
        <v>1010</v>
      </c>
      <c r="J114" s="16" t="n">
        <f aca="false">(H114+D114)*가정!$B$10</f>
        <v>207.989949748744</v>
      </c>
      <c r="K114" s="24" t="n">
        <f aca="false">A114*가정!$B$8*가정!$B$7</f>
        <v>550</v>
      </c>
      <c r="L114" s="11" t="n">
        <f aca="false">C114+F114</f>
        <v>4</v>
      </c>
    </row>
    <row r="115" customFormat="false" ht="15" hidden="false" customHeight="false" outlineLevel="0" collapsed="false">
      <c r="A115" s="11" t="n">
        <v>111</v>
      </c>
      <c r="B115" s="11" t="n">
        <f aca="false">MATCH(A115,월별!$C$6:$C$41,1)</f>
        <v>4</v>
      </c>
      <c r="C115" s="11" t="n">
        <f aca="false">L114</f>
        <v>4</v>
      </c>
      <c r="D115" s="24" t="n">
        <f aca="false">C115*가정!$B$8</f>
        <v>20</v>
      </c>
      <c r="E115" s="24" t="n">
        <f aca="false">H114+D114</f>
        <v>207.989949748744</v>
      </c>
      <c r="F115" s="11" t="n">
        <f aca="false">IF(가정!$B$11=1,MAX(0,MIN(가정!$B$16-C115,INT(E115/가정!$B$17))),0)</f>
        <v>0</v>
      </c>
      <c r="G115" s="24" t="n">
        <f aca="false">F115*가정!$B$17</f>
        <v>0</v>
      </c>
      <c r="H115" s="24" t="n">
        <f aca="false">E115-G115</f>
        <v>207.989949748744</v>
      </c>
      <c r="I115" s="24" t="n">
        <f aca="false">I114+D115</f>
        <v>1030</v>
      </c>
      <c r="J115" s="16" t="n">
        <f aca="false">(H115+D115)*가정!$B$10</f>
        <v>227.989949748744</v>
      </c>
      <c r="K115" s="24" t="n">
        <f aca="false">A115*가정!$B$8*가정!$B$7</f>
        <v>555</v>
      </c>
      <c r="L115" s="11" t="n">
        <f aca="false">C115+F115</f>
        <v>4</v>
      </c>
    </row>
    <row r="116" customFormat="false" ht="15" hidden="false" customHeight="false" outlineLevel="0" collapsed="false">
      <c r="A116" s="11" t="n">
        <v>112</v>
      </c>
      <c r="B116" s="11" t="n">
        <f aca="false">MATCH(A116,월별!$C$6:$C$41,1)</f>
        <v>4</v>
      </c>
      <c r="C116" s="11" t="n">
        <f aca="false">L115</f>
        <v>4</v>
      </c>
      <c r="D116" s="24" t="n">
        <f aca="false">C116*가정!$B$8</f>
        <v>20</v>
      </c>
      <c r="E116" s="24" t="n">
        <f aca="false">H115+D115</f>
        <v>227.989949748744</v>
      </c>
      <c r="F116" s="11" t="n">
        <f aca="false">IF(가정!$B$11=1,MAX(0,MIN(가정!$B$16-C116,INT(E116/가정!$B$17))),0)</f>
        <v>0</v>
      </c>
      <c r="G116" s="24" t="n">
        <f aca="false">F116*가정!$B$17</f>
        <v>0</v>
      </c>
      <c r="H116" s="24" t="n">
        <f aca="false">E116-G116</f>
        <v>227.989949748744</v>
      </c>
      <c r="I116" s="24" t="n">
        <f aca="false">I115+D116</f>
        <v>1050</v>
      </c>
      <c r="J116" s="16" t="n">
        <f aca="false">(H116+D116)*가정!$B$10</f>
        <v>247.989949748744</v>
      </c>
      <c r="K116" s="24" t="n">
        <f aca="false">A116*가정!$B$8*가정!$B$7</f>
        <v>560</v>
      </c>
      <c r="L116" s="11" t="n">
        <f aca="false">C116+F116</f>
        <v>4</v>
      </c>
    </row>
    <row r="117" customFormat="false" ht="15" hidden="false" customHeight="false" outlineLevel="0" collapsed="false">
      <c r="A117" s="11" t="n">
        <v>113</v>
      </c>
      <c r="B117" s="11" t="n">
        <f aca="false">MATCH(A117,월별!$C$6:$C$41,1)</f>
        <v>4</v>
      </c>
      <c r="C117" s="11" t="n">
        <f aca="false">L116</f>
        <v>4</v>
      </c>
      <c r="D117" s="24" t="n">
        <f aca="false">C117*가정!$B$8</f>
        <v>20</v>
      </c>
      <c r="E117" s="24" t="n">
        <f aca="false">H116+D116</f>
        <v>247.989949748744</v>
      </c>
      <c r="F117" s="11" t="n">
        <f aca="false">IF(가정!$B$11=1,MAX(0,MIN(가정!$B$16-C117,INT(E117/가정!$B$17))),0)</f>
        <v>0</v>
      </c>
      <c r="G117" s="24" t="n">
        <f aca="false">F117*가정!$B$17</f>
        <v>0</v>
      </c>
      <c r="H117" s="24" t="n">
        <f aca="false">E117-G117</f>
        <v>247.989949748744</v>
      </c>
      <c r="I117" s="24" t="n">
        <f aca="false">I116+D117</f>
        <v>1070</v>
      </c>
      <c r="J117" s="16" t="n">
        <f aca="false">(H117+D117)*가정!$B$10</f>
        <v>267.989949748744</v>
      </c>
      <c r="K117" s="24" t="n">
        <f aca="false">A117*가정!$B$8*가정!$B$7</f>
        <v>565</v>
      </c>
      <c r="L117" s="11" t="n">
        <f aca="false">C117+F117</f>
        <v>4</v>
      </c>
    </row>
    <row r="118" customFormat="false" ht="15" hidden="false" customHeight="false" outlineLevel="0" collapsed="false">
      <c r="A118" s="11" t="n">
        <v>114</v>
      </c>
      <c r="B118" s="11" t="n">
        <f aca="false">MATCH(A118,월별!$C$6:$C$41,1)</f>
        <v>4</v>
      </c>
      <c r="C118" s="11" t="n">
        <f aca="false">L117</f>
        <v>4</v>
      </c>
      <c r="D118" s="24" t="n">
        <f aca="false">C118*가정!$B$8</f>
        <v>20</v>
      </c>
      <c r="E118" s="24" t="n">
        <f aca="false">H117+D117</f>
        <v>267.989949748744</v>
      </c>
      <c r="F118" s="11" t="n">
        <f aca="false">IF(가정!$B$11=1,MAX(0,MIN(가정!$B$16-C118,INT(E118/가정!$B$17))),0)</f>
        <v>1</v>
      </c>
      <c r="G118" s="24" t="n">
        <f aca="false">F118*가정!$B$17</f>
        <v>267.336683417085</v>
      </c>
      <c r="H118" s="24" t="n">
        <f aca="false">E118-G118</f>
        <v>0.653266331658188</v>
      </c>
      <c r="I118" s="24" t="n">
        <f aca="false">I117+D118</f>
        <v>1090</v>
      </c>
      <c r="J118" s="16" t="n">
        <f aca="false">(H118+D118)*가정!$B$10</f>
        <v>20.6532663316582</v>
      </c>
      <c r="K118" s="24" t="n">
        <f aca="false">A118*가정!$B$8*가정!$B$7</f>
        <v>570</v>
      </c>
      <c r="L118" s="11" t="n">
        <f aca="false">C118+F118</f>
        <v>5</v>
      </c>
    </row>
    <row r="119" customFormat="false" ht="15" hidden="false" customHeight="false" outlineLevel="0" collapsed="false">
      <c r="A119" s="11" t="n">
        <v>115</v>
      </c>
      <c r="B119" s="11" t="n">
        <f aca="false">MATCH(A119,월별!$C$6:$C$41,1)</f>
        <v>4</v>
      </c>
      <c r="C119" s="11" t="n">
        <f aca="false">L118</f>
        <v>5</v>
      </c>
      <c r="D119" s="24" t="n">
        <f aca="false">C119*가정!$B$8</f>
        <v>25</v>
      </c>
      <c r="E119" s="24" t="n">
        <f aca="false">H118+D118</f>
        <v>20.6532663316582</v>
      </c>
      <c r="F119" s="11" t="n">
        <f aca="false">IF(가정!$B$11=1,MAX(0,MIN(가정!$B$16-C119,INT(E119/가정!$B$17))),0)</f>
        <v>0</v>
      </c>
      <c r="G119" s="24" t="n">
        <f aca="false">F119*가정!$B$17</f>
        <v>0</v>
      </c>
      <c r="H119" s="24" t="n">
        <f aca="false">E119-G119</f>
        <v>20.6532663316582</v>
      </c>
      <c r="I119" s="24" t="n">
        <f aca="false">I118+D119</f>
        <v>1115</v>
      </c>
      <c r="J119" s="16" t="n">
        <f aca="false">(H119+D119)*가정!$B$10</f>
        <v>45.6532663316582</v>
      </c>
      <c r="K119" s="24" t="n">
        <f aca="false">A119*가정!$B$8*가정!$B$7</f>
        <v>575</v>
      </c>
      <c r="L119" s="11" t="n">
        <f aca="false">C119+F119</f>
        <v>5</v>
      </c>
    </row>
    <row r="120" customFormat="false" ht="15" hidden="false" customHeight="false" outlineLevel="0" collapsed="false">
      <c r="A120" s="11" t="n">
        <v>116</v>
      </c>
      <c r="B120" s="11" t="n">
        <f aca="false">MATCH(A120,월별!$C$6:$C$41,1)</f>
        <v>4</v>
      </c>
      <c r="C120" s="11" t="n">
        <f aca="false">L119</f>
        <v>5</v>
      </c>
      <c r="D120" s="24" t="n">
        <f aca="false">C120*가정!$B$8</f>
        <v>25</v>
      </c>
      <c r="E120" s="24" t="n">
        <f aca="false">H119+D119</f>
        <v>45.6532663316582</v>
      </c>
      <c r="F120" s="11" t="n">
        <f aca="false">IF(가정!$B$11=1,MAX(0,MIN(가정!$B$16-C120,INT(E120/가정!$B$17))),0)</f>
        <v>0</v>
      </c>
      <c r="G120" s="24" t="n">
        <f aca="false">F120*가정!$B$17</f>
        <v>0</v>
      </c>
      <c r="H120" s="24" t="n">
        <f aca="false">E120-G120</f>
        <v>45.6532663316582</v>
      </c>
      <c r="I120" s="24" t="n">
        <f aca="false">I119+D120</f>
        <v>1140</v>
      </c>
      <c r="J120" s="16" t="n">
        <f aca="false">(H120+D120)*가정!$B$10</f>
        <v>70.6532663316582</v>
      </c>
      <c r="K120" s="24" t="n">
        <f aca="false">A120*가정!$B$8*가정!$B$7</f>
        <v>580</v>
      </c>
      <c r="L120" s="11" t="n">
        <f aca="false">C120+F120</f>
        <v>5</v>
      </c>
    </row>
    <row r="121" customFormat="false" ht="15" hidden="false" customHeight="false" outlineLevel="0" collapsed="false">
      <c r="A121" s="11" t="n">
        <v>117</v>
      </c>
      <c r="B121" s="11" t="n">
        <f aca="false">MATCH(A121,월별!$C$6:$C$41,1)</f>
        <v>4</v>
      </c>
      <c r="C121" s="11" t="n">
        <f aca="false">L120</f>
        <v>5</v>
      </c>
      <c r="D121" s="24" t="n">
        <f aca="false">C121*가정!$B$8</f>
        <v>25</v>
      </c>
      <c r="E121" s="24" t="n">
        <f aca="false">H120+D120</f>
        <v>70.6532663316582</v>
      </c>
      <c r="F121" s="11" t="n">
        <f aca="false">IF(가정!$B$11=1,MAX(0,MIN(가정!$B$16-C121,INT(E121/가정!$B$17))),0)</f>
        <v>0</v>
      </c>
      <c r="G121" s="24" t="n">
        <f aca="false">F121*가정!$B$17</f>
        <v>0</v>
      </c>
      <c r="H121" s="24" t="n">
        <f aca="false">E121-G121</f>
        <v>70.6532663316582</v>
      </c>
      <c r="I121" s="24" t="n">
        <f aca="false">I120+D121</f>
        <v>1165</v>
      </c>
      <c r="J121" s="16" t="n">
        <f aca="false">(H121+D121)*가정!$B$10</f>
        <v>95.6532663316582</v>
      </c>
      <c r="K121" s="24" t="n">
        <f aca="false">A121*가정!$B$8*가정!$B$7</f>
        <v>585</v>
      </c>
      <c r="L121" s="11" t="n">
        <f aca="false">C121+F121</f>
        <v>5</v>
      </c>
    </row>
    <row r="122" customFormat="false" ht="15" hidden="false" customHeight="false" outlineLevel="0" collapsed="false">
      <c r="A122" s="11" t="n">
        <v>118</v>
      </c>
      <c r="B122" s="11" t="n">
        <f aca="false">MATCH(A122,월별!$C$6:$C$41,1)</f>
        <v>4</v>
      </c>
      <c r="C122" s="11" t="n">
        <f aca="false">L121</f>
        <v>5</v>
      </c>
      <c r="D122" s="24" t="n">
        <f aca="false">C122*가정!$B$8</f>
        <v>25</v>
      </c>
      <c r="E122" s="24" t="n">
        <f aca="false">H121+D121</f>
        <v>95.6532663316582</v>
      </c>
      <c r="F122" s="11" t="n">
        <f aca="false">IF(가정!$B$11=1,MAX(0,MIN(가정!$B$16-C122,INT(E122/가정!$B$17))),0)</f>
        <v>0</v>
      </c>
      <c r="G122" s="24" t="n">
        <f aca="false">F122*가정!$B$17</f>
        <v>0</v>
      </c>
      <c r="H122" s="24" t="n">
        <f aca="false">E122-G122</f>
        <v>95.6532663316582</v>
      </c>
      <c r="I122" s="24" t="n">
        <f aca="false">I121+D122</f>
        <v>1190</v>
      </c>
      <c r="J122" s="16" t="n">
        <f aca="false">(H122+D122)*가정!$B$10</f>
        <v>120.653266331658</v>
      </c>
      <c r="K122" s="24" t="n">
        <f aca="false">A122*가정!$B$8*가정!$B$7</f>
        <v>590</v>
      </c>
      <c r="L122" s="11" t="n">
        <f aca="false">C122+F122</f>
        <v>5</v>
      </c>
    </row>
    <row r="123" customFormat="false" ht="15" hidden="false" customHeight="false" outlineLevel="0" collapsed="false">
      <c r="A123" s="11" t="n">
        <v>119</v>
      </c>
      <c r="B123" s="11" t="n">
        <f aca="false">MATCH(A123,월별!$C$6:$C$41,1)</f>
        <v>4</v>
      </c>
      <c r="C123" s="11" t="n">
        <f aca="false">L122</f>
        <v>5</v>
      </c>
      <c r="D123" s="24" t="n">
        <f aca="false">C123*가정!$B$8</f>
        <v>25</v>
      </c>
      <c r="E123" s="24" t="n">
        <f aca="false">H122+D122</f>
        <v>120.653266331658</v>
      </c>
      <c r="F123" s="11" t="n">
        <f aca="false">IF(가정!$B$11=1,MAX(0,MIN(가정!$B$16-C123,INT(E123/가정!$B$17))),0)</f>
        <v>0</v>
      </c>
      <c r="G123" s="24" t="n">
        <f aca="false">F123*가정!$B$17</f>
        <v>0</v>
      </c>
      <c r="H123" s="24" t="n">
        <f aca="false">E123-G123</f>
        <v>120.653266331658</v>
      </c>
      <c r="I123" s="24" t="n">
        <f aca="false">I122+D123</f>
        <v>1215</v>
      </c>
      <c r="J123" s="16" t="n">
        <f aca="false">(H123+D123)*가정!$B$10</f>
        <v>145.653266331658</v>
      </c>
      <c r="K123" s="24" t="n">
        <f aca="false">A123*가정!$B$8*가정!$B$7</f>
        <v>595</v>
      </c>
      <c r="L123" s="11" t="n">
        <f aca="false">C123+F123</f>
        <v>5</v>
      </c>
    </row>
    <row r="124" customFormat="false" ht="15" hidden="false" customHeight="false" outlineLevel="0" collapsed="false">
      <c r="A124" s="11" t="n">
        <v>120</v>
      </c>
      <c r="B124" s="11" t="n">
        <f aca="false">MATCH(A124,월별!$C$6:$C$41,1)</f>
        <v>4</v>
      </c>
      <c r="C124" s="11" t="n">
        <f aca="false">L123</f>
        <v>5</v>
      </c>
      <c r="D124" s="24" t="n">
        <f aca="false">C124*가정!$B$8</f>
        <v>25</v>
      </c>
      <c r="E124" s="24" t="n">
        <f aca="false">H123+D123</f>
        <v>145.653266331658</v>
      </c>
      <c r="F124" s="11" t="n">
        <f aca="false">IF(가정!$B$11=1,MAX(0,MIN(가정!$B$16-C124,INT(E124/가정!$B$17))),0)</f>
        <v>0</v>
      </c>
      <c r="G124" s="24" t="n">
        <f aca="false">F124*가정!$B$17</f>
        <v>0</v>
      </c>
      <c r="H124" s="24" t="n">
        <f aca="false">E124-G124</f>
        <v>145.653266331658</v>
      </c>
      <c r="I124" s="24" t="n">
        <f aca="false">I123+D124</f>
        <v>1240</v>
      </c>
      <c r="J124" s="16" t="n">
        <f aca="false">(H124+D124)*가정!$B$10</f>
        <v>170.653266331658</v>
      </c>
      <c r="K124" s="24" t="n">
        <f aca="false">A124*가정!$B$8*가정!$B$7</f>
        <v>600</v>
      </c>
      <c r="L124" s="11" t="n">
        <f aca="false">C124+F124</f>
        <v>5</v>
      </c>
    </row>
    <row r="125" customFormat="false" ht="15" hidden="false" customHeight="false" outlineLevel="0" collapsed="false">
      <c r="A125" s="11" t="n">
        <v>121</v>
      </c>
      <c r="B125" s="11" t="n">
        <f aca="false">MATCH(A125,월별!$C$6:$C$41,1)</f>
        <v>4</v>
      </c>
      <c r="C125" s="11" t="n">
        <f aca="false">L124</f>
        <v>5</v>
      </c>
      <c r="D125" s="24" t="n">
        <f aca="false">C125*가정!$B$8</f>
        <v>25</v>
      </c>
      <c r="E125" s="24" t="n">
        <f aca="false">H124+D124</f>
        <v>170.653266331658</v>
      </c>
      <c r="F125" s="11" t="n">
        <f aca="false">IF(가정!$B$11=1,MAX(0,MIN(가정!$B$16-C125,INT(E125/가정!$B$17))),0)</f>
        <v>0</v>
      </c>
      <c r="G125" s="24" t="n">
        <f aca="false">F125*가정!$B$17</f>
        <v>0</v>
      </c>
      <c r="H125" s="24" t="n">
        <f aca="false">E125-G125</f>
        <v>170.653266331658</v>
      </c>
      <c r="I125" s="24" t="n">
        <f aca="false">I124+D125</f>
        <v>1265</v>
      </c>
      <c r="J125" s="16" t="n">
        <f aca="false">(H125+D125)*가정!$B$10</f>
        <v>195.653266331658</v>
      </c>
      <c r="K125" s="24" t="n">
        <f aca="false">A125*가정!$B$8*가정!$B$7</f>
        <v>605</v>
      </c>
      <c r="L125" s="11" t="n">
        <f aca="false">C125+F125</f>
        <v>5</v>
      </c>
    </row>
    <row r="126" customFormat="false" ht="15" hidden="false" customHeight="false" outlineLevel="0" collapsed="false">
      <c r="A126" s="11" t="n">
        <v>122</v>
      </c>
      <c r="B126" s="11" t="n">
        <f aca="false">MATCH(A126,월별!$C$6:$C$41,1)</f>
        <v>4</v>
      </c>
      <c r="C126" s="11" t="n">
        <f aca="false">L125</f>
        <v>5</v>
      </c>
      <c r="D126" s="24" t="n">
        <f aca="false">C126*가정!$B$8</f>
        <v>25</v>
      </c>
      <c r="E126" s="24" t="n">
        <f aca="false">H125+D125</f>
        <v>195.653266331658</v>
      </c>
      <c r="F126" s="11" t="n">
        <f aca="false">IF(가정!$B$11=1,MAX(0,MIN(가정!$B$16-C126,INT(E126/가정!$B$17))),0)</f>
        <v>0</v>
      </c>
      <c r="G126" s="24" t="n">
        <f aca="false">F126*가정!$B$17</f>
        <v>0</v>
      </c>
      <c r="H126" s="24" t="n">
        <f aca="false">E126-G126</f>
        <v>195.653266331658</v>
      </c>
      <c r="I126" s="24" t="n">
        <f aca="false">I125+D126</f>
        <v>1290</v>
      </c>
      <c r="J126" s="16" t="n">
        <f aca="false">(H126+D126)*가정!$B$10</f>
        <v>220.653266331658</v>
      </c>
      <c r="K126" s="24" t="n">
        <f aca="false">A126*가정!$B$8*가정!$B$7</f>
        <v>610</v>
      </c>
      <c r="L126" s="11" t="n">
        <f aca="false">C126+F126</f>
        <v>5</v>
      </c>
    </row>
    <row r="127" customFormat="false" ht="15" hidden="false" customHeight="false" outlineLevel="0" collapsed="false">
      <c r="A127" s="11" t="n">
        <v>123</v>
      </c>
      <c r="B127" s="11" t="n">
        <f aca="false">MATCH(A127,월별!$C$6:$C$41,1)</f>
        <v>5</v>
      </c>
      <c r="C127" s="11" t="n">
        <f aca="false">L126</f>
        <v>5</v>
      </c>
      <c r="D127" s="24" t="n">
        <f aca="false">C127*가정!$B$8</f>
        <v>25</v>
      </c>
      <c r="E127" s="24" t="n">
        <f aca="false">H126+D126</f>
        <v>220.653266331658</v>
      </c>
      <c r="F127" s="11" t="n">
        <f aca="false">IF(가정!$B$11=1,MAX(0,MIN(가정!$B$16-C127,INT(E127/가정!$B$17))),0)</f>
        <v>0</v>
      </c>
      <c r="G127" s="24" t="n">
        <f aca="false">F127*가정!$B$17</f>
        <v>0</v>
      </c>
      <c r="H127" s="24" t="n">
        <f aca="false">E127-G127</f>
        <v>220.653266331658</v>
      </c>
      <c r="I127" s="24" t="n">
        <f aca="false">I126+D127</f>
        <v>1315</v>
      </c>
      <c r="J127" s="16" t="n">
        <f aca="false">(H127+D127)*가정!$B$10</f>
        <v>245.653266331658</v>
      </c>
      <c r="K127" s="24" t="n">
        <f aca="false">A127*가정!$B$8*가정!$B$7</f>
        <v>615</v>
      </c>
      <c r="L127" s="11" t="n">
        <f aca="false">C127+F127</f>
        <v>5</v>
      </c>
    </row>
    <row r="128" customFormat="false" ht="15" hidden="false" customHeight="false" outlineLevel="0" collapsed="false">
      <c r="A128" s="11" t="n">
        <v>124</v>
      </c>
      <c r="B128" s="11" t="n">
        <f aca="false">MATCH(A128,월별!$C$6:$C$41,1)</f>
        <v>5</v>
      </c>
      <c r="C128" s="11" t="n">
        <f aca="false">L127</f>
        <v>5</v>
      </c>
      <c r="D128" s="24" t="n">
        <f aca="false">C128*가정!$B$8</f>
        <v>25</v>
      </c>
      <c r="E128" s="24" t="n">
        <f aca="false">H127+D127</f>
        <v>245.653266331658</v>
      </c>
      <c r="F128" s="11" t="n">
        <f aca="false">IF(가정!$B$11=1,MAX(0,MIN(가정!$B$16-C128,INT(E128/가정!$B$17))),0)</f>
        <v>0</v>
      </c>
      <c r="G128" s="24" t="n">
        <f aca="false">F128*가정!$B$17</f>
        <v>0</v>
      </c>
      <c r="H128" s="24" t="n">
        <f aca="false">E128-G128</f>
        <v>245.653266331658</v>
      </c>
      <c r="I128" s="24" t="n">
        <f aca="false">I127+D128</f>
        <v>1340</v>
      </c>
      <c r="J128" s="16" t="n">
        <f aca="false">(H128+D128)*가정!$B$10</f>
        <v>270.653266331658</v>
      </c>
      <c r="K128" s="24" t="n">
        <f aca="false">A128*가정!$B$8*가정!$B$7</f>
        <v>620</v>
      </c>
      <c r="L128" s="11" t="n">
        <f aca="false">C128+F128</f>
        <v>5</v>
      </c>
    </row>
    <row r="129" customFormat="false" ht="15" hidden="false" customHeight="false" outlineLevel="0" collapsed="false">
      <c r="A129" s="11" t="n">
        <v>125</v>
      </c>
      <c r="B129" s="11" t="n">
        <f aca="false">MATCH(A129,월별!$C$6:$C$41,1)</f>
        <v>5</v>
      </c>
      <c r="C129" s="11" t="n">
        <f aca="false">L128</f>
        <v>5</v>
      </c>
      <c r="D129" s="24" t="n">
        <f aca="false">C129*가정!$B$8</f>
        <v>25</v>
      </c>
      <c r="E129" s="24" t="n">
        <f aca="false">H128+D128</f>
        <v>270.653266331658</v>
      </c>
      <c r="F129" s="11" t="n">
        <f aca="false">IF(가정!$B$11=1,MAX(0,MIN(가정!$B$16-C129,INT(E129/가정!$B$17))),0)</f>
        <v>1</v>
      </c>
      <c r="G129" s="24" t="n">
        <f aca="false">F129*가정!$B$17</f>
        <v>267.336683417085</v>
      </c>
      <c r="H129" s="24" t="n">
        <f aca="false">E129-G129</f>
        <v>3.31658291457273</v>
      </c>
      <c r="I129" s="24" t="n">
        <f aca="false">I128+D129</f>
        <v>1365</v>
      </c>
      <c r="J129" s="16" t="n">
        <f aca="false">(H129+D129)*가정!$B$10</f>
        <v>28.3165829145727</v>
      </c>
      <c r="K129" s="24" t="n">
        <f aca="false">A129*가정!$B$8*가정!$B$7</f>
        <v>625</v>
      </c>
      <c r="L129" s="11" t="n">
        <f aca="false">C129+F129</f>
        <v>6</v>
      </c>
    </row>
    <row r="130" customFormat="false" ht="15" hidden="false" customHeight="false" outlineLevel="0" collapsed="false">
      <c r="A130" s="11" t="n">
        <v>126</v>
      </c>
      <c r="B130" s="11" t="n">
        <f aca="false">MATCH(A130,월별!$C$6:$C$41,1)</f>
        <v>5</v>
      </c>
      <c r="C130" s="11" t="n">
        <f aca="false">L129</f>
        <v>6</v>
      </c>
      <c r="D130" s="24" t="n">
        <f aca="false">C130*가정!$B$8</f>
        <v>30</v>
      </c>
      <c r="E130" s="24" t="n">
        <f aca="false">H129+D129</f>
        <v>28.3165829145727</v>
      </c>
      <c r="F130" s="11" t="n">
        <f aca="false">IF(가정!$B$11=1,MAX(0,MIN(가정!$B$16-C130,INT(E130/가정!$B$17))),0)</f>
        <v>0</v>
      </c>
      <c r="G130" s="24" t="n">
        <f aca="false">F130*가정!$B$17</f>
        <v>0</v>
      </c>
      <c r="H130" s="24" t="n">
        <f aca="false">E130-G130</f>
        <v>28.3165829145727</v>
      </c>
      <c r="I130" s="24" t="n">
        <f aca="false">I129+D130</f>
        <v>1395</v>
      </c>
      <c r="J130" s="16" t="n">
        <f aca="false">(H130+D130)*가정!$B$10</f>
        <v>58.3165829145727</v>
      </c>
      <c r="K130" s="24" t="n">
        <f aca="false">A130*가정!$B$8*가정!$B$7</f>
        <v>630</v>
      </c>
      <c r="L130" s="11" t="n">
        <f aca="false">C130+F130</f>
        <v>6</v>
      </c>
    </row>
    <row r="131" customFormat="false" ht="15" hidden="false" customHeight="false" outlineLevel="0" collapsed="false">
      <c r="A131" s="11" t="n">
        <v>127</v>
      </c>
      <c r="B131" s="11" t="n">
        <f aca="false">MATCH(A131,월별!$C$6:$C$41,1)</f>
        <v>5</v>
      </c>
      <c r="C131" s="11" t="n">
        <f aca="false">L130</f>
        <v>6</v>
      </c>
      <c r="D131" s="24" t="n">
        <f aca="false">C131*가정!$B$8</f>
        <v>30</v>
      </c>
      <c r="E131" s="24" t="n">
        <f aca="false">H130+D130</f>
        <v>58.3165829145727</v>
      </c>
      <c r="F131" s="11" t="n">
        <f aca="false">IF(가정!$B$11=1,MAX(0,MIN(가정!$B$16-C131,INT(E131/가정!$B$17))),0)</f>
        <v>0</v>
      </c>
      <c r="G131" s="24" t="n">
        <f aca="false">F131*가정!$B$17</f>
        <v>0</v>
      </c>
      <c r="H131" s="24" t="n">
        <f aca="false">E131-G131</f>
        <v>58.3165829145727</v>
      </c>
      <c r="I131" s="24" t="n">
        <f aca="false">I130+D131</f>
        <v>1425</v>
      </c>
      <c r="J131" s="16" t="n">
        <f aca="false">(H131+D131)*가정!$B$10</f>
        <v>88.3165829145727</v>
      </c>
      <c r="K131" s="24" t="n">
        <f aca="false">A131*가정!$B$8*가정!$B$7</f>
        <v>635</v>
      </c>
      <c r="L131" s="11" t="n">
        <f aca="false">C131+F131</f>
        <v>6</v>
      </c>
    </row>
    <row r="132" customFormat="false" ht="15" hidden="false" customHeight="false" outlineLevel="0" collapsed="false">
      <c r="A132" s="11" t="n">
        <v>128</v>
      </c>
      <c r="B132" s="11" t="n">
        <f aca="false">MATCH(A132,월별!$C$6:$C$41,1)</f>
        <v>5</v>
      </c>
      <c r="C132" s="11" t="n">
        <f aca="false">L131</f>
        <v>6</v>
      </c>
      <c r="D132" s="24" t="n">
        <f aca="false">C132*가정!$B$8</f>
        <v>30</v>
      </c>
      <c r="E132" s="24" t="n">
        <f aca="false">H131+D131</f>
        <v>88.3165829145727</v>
      </c>
      <c r="F132" s="11" t="n">
        <f aca="false">IF(가정!$B$11=1,MAX(0,MIN(가정!$B$16-C132,INT(E132/가정!$B$17))),0)</f>
        <v>0</v>
      </c>
      <c r="G132" s="24" t="n">
        <f aca="false">F132*가정!$B$17</f>
        <v>0</v>
      </c>
      <c r="H132" s="24" t="n">
        <f aca="false">E132-G132</f>
        <v>88.3165829145727</v>
      </c>
      <c r="I132" s="24" t="n">
        <f aca="false">I131+D132</f>
        <v>1455</v>
      </c>
      <c r="J132" s="16" t="n">
        <f aca="false">(H132+D132)*가정!$B$10</f>
        <v>118.316582914573</v>
      </c>
      <c r="K132" s="24" t="n">
        <f aca="false">A132*가정!$B$8*가정!$B$7</f>
        <v>640</v>
      </c>
      <c r="L132" s="11" t="n">
        <f aca="false">C132+F132</f>
        <v>6</v>
      </c>
    </row>
    <row r="133" customFormat="false" ht="15" hidden="false" customHeight="false" outlineLevel="0" collapsed="false">
      <c r="A133" s="11" t="n">
        <v>129</v>
      </c>
      <c r="B133" s="11" t="n">
        <f aca="false">MATCH(A133,월별!$C$6:$C$41,1)</f>
        <v>5</v>
      </c>
      <c r="C133" s="11" t="n">
        <f aca="false">L132</f>
        <v>6</v>
      </c>
      <c r="D133" s="24" t="n">
        <f aca="false">C133*가정!$B$8</f>
        <v>30</v>
      </c>
      <c r="E133" s="24" t="n">
        <f aca="false">H132+D132</f>
        <v>118.316582914573</v>
      </c>
      <c r="F133" s="11" t="n">
        <f aca="false">IF(가정!$B$11=1,MAX(0,MIN(가정!$B$16-C133,INT(E133/가정!$B$17))),0)</f>
        <v>0</v>
      </c>
      <c r="G133" s="24" t="n">
        <f aca="false">F133*가정!$B$17</f>
        <v>0</v>
      </c>
      <c r="H133" s="24" t="n">
        <f aca="false">E133-G133</f>
        <v>118.316582914573</v>
      </c>
      <c r="I133" s="24" t="n">
        <f aca="false">I132+D133</f>
        <v>1485</v>
      </c>
      <c r="J133" s="16" t="n">
        <f aca="false">(H133+D133)*가정!$B$10</f>
        <v>148.316582914573</v>
      </c>
      <c r="K133" s="24" t="n">
        <f aca="false">A133*가정!$B$8*가정!$B$7</f>
        <v>645</v>
      </c>
      <c r="L133" s="11" t="n">
        <f aca="false">C133+F133</f>
        <v>6</v>
      </c>
    </row>
    <row r="134" customFormat="false" ht="15" hidden="false" customHeight="false" outlineLevel="0" collapsed="false">
      <c r="A134" s="11" t="n">
        <v>130</v>
      </c>
      <c r="B134" s="11" t="n">
        <f aca="false">MATCH(A134,월별!$C$6:$C$41,1)</f>
        <v>5</v>
      </c>
      <c r="C134" s="11" t="n">
        <f aca="false">L133</f>
        <v>6</v>
      </c>
      <c r="D134" s="24" t="n">
        <f aca="false">C134*가정!$B$8</f>
        <v>30</v>
      </c>
      <c r="E134" s="24" t="n">
        <f aca="false">H133+D133</f>
        <v>148.316582914573</v>
      </c>
      <c r="F134" s="11" t="n">
        <f aca="false">IF(가정!$B$11=1,MAX(0,MIN(가정!$B$16-C134,INT(E134/가정!$B$17))),0)</f>
        <v>0</v>
      </c>
      <c r="G134" s="24" t="n">
        <f aca="false">F134*가정!$B$17</f>
        <v>0</v>
      </c>
      <c r="H134" s="24" t="n">
        <f aca="false">E134-G134</f>
        <v>148.316582914573</v>
      </c>
      <c r="I134" s="24" t="n">
        <f aca="false">I133+D134</f>
        <v>1515</v>
      </c>
      <c r="J134" s="16" t="n">
        <f aca="false">(H134+D134)*가정!$B$10</f>
        <v>178.316582914573</v>
      </c>
      <c r="K134" s="24" t="n">
        <f aca="false">A134*가정!$B$8*가정!$B$7</f>
        <v>650</v>
      </c>
      <c r="L134" s="11" t="n">
        <f aca="false">C134+F134</f>
        <v>6</v>
      </c>
    </row>
    <row r="135" customFormat="false" ht="15" hidden="false" customHeight="false" outlineLevel="0" collapsed="false">
      <c r="A135" s="11" t="n">
        <v>131</v>
      </c>
      <c r="B135" s="11" t="n">
        <f aca="false">MATCH(A135,월별!$C$6:$C$41,1)</f>
        <v>5</v>
      </c>
      <c r="C135" s="11" t="n">
        <f aca="false">L134</f>
        <v>6</v>
      </c>
      <c r="D135" s="24" t="n">
        <f aca="false">C135*가정!$B$8</f>
        <v>30</v>
      </c>
      <c r="E135" s="24" t="n">
        <f aca="false">H134+D134</f>
        <v>178.316582914573</v>
      </c>
      <c r="F135" s="11" t="n">
        <f aca="false">IF(가정!$B$11=1,MAX(0,MIN(가정!$B$16-C135,INT(E135/가정!$B$17))),0)</f>
        <v>0</v>
      </c>
      <c r="G135" s="24" t="n">
        <f aca="false">F135*가정!$B$17</f>
        <v>0</v>
      </c>
      <c r="H135" s="24" t="n">
        <f aca="false">E135-G135</f>
        <v>178.316582914573</v>
      </c>
      <c r="I135" s="24" t="n">
        <f aca="false">I134+D135</f>
        <v>1545</v>
      </c>
      <c r="J135" s="16" t="n">
        <f aca="false">(H135+D135)*가정!$B$10</f>
        <v>208.316582914573</v>
      </c>
      <c r="K135" s="24" t="n">
        <f aca="false">A135*가정!$B$8*가정!$B$7</f>
        <v>655</v>
      </c>
      <c r="L135" s="11" t="n">
        <f aca="false">C135+F135</f>
        <v>6</v>
      </c>
    </row>
    <row r="136" customFormat="false" ht="15" hidden="false" customHeight="false" outlineLevel="0" collapsed="false">
      <c r="A136" s="11" t="n">
        <v>132</v>
      </c>
      <c r="B136" s="11" t="n">
        <f aca="false">MATCH(A136,월별!$C$6:$C$41,1)</f>
        <v>5</v>
      </c>
      <c r="C136" s="11" t="n">
        <f aca="false">L135</f>
        <v>6</v>
      </c>
      <c r="D136" s="24" t="n">
        <f aca="false">C136*가정!$B$8</f>
        <v>30</v>
      </c>
      <c r="E136" s="24" t="n">
        <f aca="false">H135+D135</f>
        <v>208.316582914573</v>
      </c>
      <c r="F136" s="11" t="n">
        <f aca="false">IF(가정!$B$11=1,MAX(0,MIN(가정!$B$16-C136,INT(E136/가정!$B$17))),0)</f>
        <v>0</v>
      </c>
      <c r="G136" s="24" t="n">
        <f aca="false">F136*가정!$B$17</f>
        <v>0</v>
      </c>
      <c r="H136" s="24" t="n">
        <f aca="false">E136-G136</f>
        <v>208.316582914573</v>
      </c>
      <c r="I136" s="24" t="n">
        <f aca="false">I135+D136</f>
        <v>1575</v>
      </c>
      <c r="J136" s="16" t="n">
        <f aca="false">(H136+D136)*가정!$B$10</f>
        <v>238.316582914573</v>
      </c>
      <c r="K136" s="24" t="n">
        <f aca="false">A136*가정!$B$8*가정!$B$7</f>
        <v>660</v>
      </c>
      <c r="L136" s="11" t="n">
        <f aca="false">C136+F136</f>
        <v>6</v>
      </c>
    </row>
    <row r="137" customFormat="false" ht="15" hidden="false" customHeight="false" outlineLevel="0" collapsed="false">
      <c r="A137" s="11" t="n">
        <v>133</v>
      </c>
      <c r="B137" s="11" t="n">
        <f aca="false">MATCH(A137,월별!$C$6:$C$41,1)</f>
        <v>5</v>
      </c>
      <c r="C137" s="11" t="n">
        <f aca="false">L136</f>
        <v>6</v>
      </c>
      <c r="D137" s="24" t="n">
        <f aca="false">C137*가정!$B$8</f>
        <v>30</v>
      </c>
      <c r="E137" s="24" t="n">
        <f aca="false">H136+D136</f>
        <v>238.316582914573</v>
      </c>
      <c r="F137" s="11" t="n">
        <f aca="false">IF(가정!$B$11=1,MAX(0,MIN(가정!$B$16-C137,INT(E137/가정!$B$17))),0)</f>
        <v>0</v>
      </c>
      <c r="G137" s="24" t="n">
        <f aca="false">F137*가정!$B$17</f>
        <v>0</v>
      </c>
      <c r="H137" s="24" t="n">
        <f aca="false">E137-G137</f>
        <v>238.316582914573</v>
      </c>
      <c r="I137" s="24" t="n">
        <f aca="false">I136+D137</f>
        <v>1605</v>
      </c>
      <c r="J137" s="16" t="n">
        <f aca="false">(H137+D137)*가정!$B$10</f>
        <v>268.316582914573</v>
      </c>
      <c r="K137" s="24" t="n">
        <f aca="false">A137*가정!$B$8*가정!$B$7</f>
        <v>665</v>
      </c>
      <c r="L137" s="11" t="n">
        <f aca="false">C137+F137</f>
        <v>6</v>
      </c>
    </row>
    <row r="138" customFormat="false" ht="15" hidden="false" customHeight="false" outlineLevel="0" collapsed="false">
      <c r="A138" s="11" t="n">
        <v>134</v>
      </c>
      <c r="B138" s="11" t="n">
        <f aca="false">MATCH(A138,월별!$C$6:$C$41,1)</f>
        <v>5</v>
      </c>
      <c r="C138" s="11" t="n">
        <f aca="false">L137</f>
        <v>6</v>
      </c>
      <c r="D138" s="24" t="n">
        <f aca="false">C138*가정!$B$8</f>
        <v>30</v>
      </c>
      <c r="E138" s="24" t="n">
        <f aca="false">H137+D137</f>
        <v>268.316582914573</v>
      </c>
      <c r="F138" s="11" t="n">
        <f aca="false">IF(가정!$B$11=1,MAX(0,MIN(가정!$B$16-C138,INT(E138/가정!$B$17))),0)</f>
        <v>1</v>
      </c>
      <c r="G138" s="24" t="n">
        <f aca="false">F138*가정!$B$17</f>
        <v>267.336683417085</v>
      </c>
      <c r="H138" s="24" t="n">
        <f aca="false">E138-G138</f>
        <v>0.979899497487281</v>
      </c>
      <c r="I138" s="24" t="n">
        <f aca="false">I137+D138</f>
        <v>1635</v>
      </c>
      <c r="J138" s="16" t="n">
        <f aca="false">(H138+D138)*가정!$B$10</f>
        <v>30.9798994974873</v>
      </c>
      <c r="K138" s="24" t="n">
        <f aca="false">A138*가정!$B$8*가정!$B$7</f>
        <v>670</v>
      </c>
      <c r="L138" s="11" t="n">
        <f aca="false">C138+F138</f>
        <v>7</v>
      </c>
    </row>
    <row r="139" customFormat="false" ht="15" hidden="false" customHeight="false" outlineLevel="0" collapsed="false">
      <c r="A139" s="11" t="n">
        <v>135</v>
      </c>
      <c r="B139" s="11" t="n">
        <f aca="false">MATCH(A139,월별!$C$6:$C$41,1)</f>
        <v>5</v>
      </c>
      <c r="C139" s="11" t="n">
        <f aca="false">L138</f>
        <v>7</v>
      </c>
      <c r="D139" s="24" t="n">
        <f aca="false">C139*가정!$B$8</f>
        <v>35</v>
      </c>
      <c r="E139" s="24" t="n">
        <f aca="false">H138+D138</f>
        <v>30.9798994974873</v>
      </c>
      <c r="F139" s="11" t="n">
        <f aca="false">IF(가정!$B$11=1,MAX(0,MIN(가정!$B$16-C139,INT(E139/가정!$B$17))),0)</f>
        <v>0</v>
      </c>
      <c r="G139" s="24" t="n">
        <f aca="false">F139*가정!$B$17</f>
        <v>0</v>
      </c>
      <c r="H139" s="24" t="n">
        <f aca="false">E139-G139</f>
        <v>30.9798994974873</v>
      </c>
      <c r="I139" s="24" t="n">
        <f aca="false">I138+D139</f>
        <v>1670</v>
      </c>
      <c r="J139" s="16" t="n">
        <f aca="false">(H139+D139)*가정!$B$10</f>
        <v>65.9798994974873</v>
      </c>
      <c r="K139" s="24" t="n">
        <f aca="false">A139*가정!$B$8*가정!$B$7</f>
        <v>675</v>
      </c>
      <c r="L139" s="11" t="n">
        <f aca="false">C139+F139</f>
        <v>7</v>
      </c>
    </row>
    <row r="140" customFormat="false" ht="15" hidden="false" customHeight="false" outlineLevel="0" collapsed="false">
      <c r="A140" s="11" t="n">
        <v>136</v>
      </c>
      <c r="B140" s="11" t="n">
        <f aca="false">MATCH(A140,월별!$C$6:$C$41,1)</f>
        <v>5</v>
      </c>
      <c r="C140" s="11" t="n">
        <f aca="false">L139</f>
        <v>7</v>
      </c>
      <c r="D140" s="24" t="n">
        <f aca="false">C140*가정!$B$8</f>
        <v>35</v>
      </c>
      <c r="E140" s="24" t="n">
        <f aca="false">H139+D139</f>
        <v>65.9798994974873</v>
      </c>
      <c r="F140" s="11" t="n">
        <f aca="false">IF(가정!$B$11=1,MAX(0,MIN(가정!$B$16-C140,INT(E140/가정!$B$17))),0)</f>
        <v>0</v>
      </c>
      <c r="G140" s="24" t="n">
        <f aca="false">F140*가정!$B$17</f>
        <v>0</v>
      </c>
      <c r="H140" s="24" t="n">
        <f aca="false">E140-G140</f>
        <v>65.9798994974873</v>
      </c>
      <c r="I140" s="24" t="n">
        <f aca="false">I139+D140</f>
        <v>1705</v>
      </c>
      <c r="J140" s="16" t="n">
        <f aca="false">(H140+D140)*가정!$B$10</f>
        <v>100.979899497487</v>
      </c>
      <c r="K140" s="24" t="n">
        <f aca="false">A140*가정!$B$8*가정!$B$7</f>
        <v>680</v>
      </c>
      <c r="L140" s="11" t="n">
        <f aca="false">C140+F140</f>
        <v>7</v>
      </c>
    </row>
    <row r="141" customFormat="false" ht="15" hidden="false" customHeight="false" outlineLevel="0" collapsed="false">
      <c r="A141" s="11" t="n">
        <v>137</v>
      </c>
      <c r="B141" s="11" t="n">
        <f aca="false">MATCH(A141,월별!$C$6:$C$41,1)</f>
        <v>5</v>
      </c>
      <c r="C141" s="11" t="n">
        <f aca="false">L140</f>
        <v>7</v>
      </c>
      <c r="D141" s="24" t="n">
        <f aca="false">C141*가정!$B$8</f>
        <v>35</v>
      </c>
      <c r="E141" s="24" t="n">
        <f aca="false">H140+D140</f>
        <v>100.979899497487</v>
      </c>
      <c r="F141" s="11" t="n">
        <f aca="false">IF(가정!$B$11=1,MAX(0,MIN(가정!$B$16-C141,INT(E141/가정!$B$17))),0)</f>
        <v>0</v>
      </c>
      <c r="G141" s="24" t="n">
        <f aca="false">F141*가정!$B$17</f>
        <v>0</v>
      </c>
      <c r="H141" s="24" t="n">
        <f aca="false">E141-G141</f>
        <v>100.979899497487</v>
      </c>
      <c r="I141" s="24" t="n">
        <f aca="false">I140+D141</f>
        <v>1740</v>
      </c>
      <c r="J141" s="16" t="n">
        <f aca="false">(H141+D141)*가정!$B$10</f>
        <v>135.979899497487</v>
      </c>
      <c r="K141" s="24" t="n">
        <f aca="false">A141*가정!$B$8*가정!$B$7</f>
        <v>685</v>
      </c>
      <c r="L141" s="11" t="n">
        <f aca="false">C141+F141</f>
        <v>7</v>
      </c>
    </row>
    <row r="142" customFormat="false" ht="15" hidden="false" customHeight="false" outlineLevel="0" collapsed="false">
      <c r="A142" s="11" t="n">
        <v>138</v>
      </c>
      <c r="B142" s="11" t="n">
        <f aca="false">MATCH(A142,월별!$C$6:$C$41,1)</f>
        <v>5</v>
      </c>
      <c r="C142" s="11" t="n">
        <f aca="false">L141</f>
        <v>7</v>
      </c>
      <c r="D142" s="24" t="n">
        <f aca="false">C142*가정!$B$8</f>
        <v>35</v>
      </c>
      <c r="E142" s="24" t="n">
        <f aca="false">H141+D141</f>
        <v>135.979899497487</v>
      </c>
      <c r="F142" s="11" t="n">
        <f aca="false">IF(가정!$B$11=1,MAX(0,MIN(가정!$B$16-C142,INT(E142/가정!$B$17))),0)</f>
        <v>0</v>
      </c>
      <c r="G142" s="24" t="n">
        <f aca="false">F142*가정!$B$17</f>
        <v>0</v>
      </c>
      <c r="H142" s="24" t="n">
        <f aca="false">E142-G142</f>
        <v>135.979899497487</v>
      </c>
      <c r="I142" s="24" t="n">
        <f aca="false">I141+D142</f>
        <v>1775</v>
      </c>
      <c r="J142" s="16" t="n">
        <f aca="false">(H142+D142)*가정!$B$10</f>
        <v>170.979899497487</v>
      </c>
      <c r="K142" s="24" t="n">
        <f aca="false">A142*가정!$B$8*가정!$B$7</f>
        <v>690</v>
      </c>
      <c r="L142" s="11" t="n">
        <f aca="false">C142+F142</f>
        <v>7</v>
      </c>
    </row>
    <row r="143" customFormat="false" ht="15" hidden="false" customHeight="false" outlineLevel="0" collapsed="false">
      <c r="A143" s="11" t="n">
        <v>139</v>
      </c>
      <c r="B143" s="11" t="n">
        <f aca="false">MATCH(A143,월별!$C$6:$C$41,1)</f>
        <v>5</v>
      </c>
      <c r="C143" s="11" t="n">
        <f aca="false">L142</f>
        <v>7</v>
      </c>
      <c r="D143" s="24" t="n">
        <f aca="false">C143*가정!$B$8</f>
        <v>35</v>
      </c>
      <c r="E143" s="24" t="n">
        <f aca="false">H142+D142</f>
        <v>170.979899497487</v>
      </c>
      <c r="F143" s="11" t="n">
        <f aca="false">IF(가정!$B$11=1,MAX(0,MIN(가정!$B$16-C143,INT(E143/가정!$B$17))),0)</f>
        <v>0</v>
      </c>
      <c r="G143" s="24" t="n">
        <f aca="false">F143*가정!$B$17</f>
        <v>0</v>
      </c>
      <c r="H143" s="24" t="n">
        <f aca="false">E143-G143</f>
        <v>170.979899497487</v>
      </c>
      <c r="I143" s="24" t="n">
        <f aca="false">I142+D143</f>
        <v>1810</v>
      </c>
      <c r="J143" s="16" t="n">
        <f aca="false">(H143+D143)*가정!$B$10</f>
        <v>205.979899497487</v>
      </c>
      <c r="K143" s="24" t="n">
        <f aca="false">A143*가정!$B$8*가정!$B$7</f>
        <v>695</v>
      </c>
      <c r="L143" s="11" t="n">
        <f aca="false">C143+F143</f>
        <v>7</v>
      </c>
    </row>
    <row r="144" customFormat="false" ht="15" hidden="false" customHeight="false" outlineLevel="0" collapsed="false">
      <c r="A144" s="11" t="n">
        <v>140</v>
      </c>
      <c r="B144" s="11" t="n">
        <f aca="false">MATCH(A144,월별!$C$6:$C$41,1)</f>
        <v>5</v>
      </c>
      <c r="C144" s="11" t="n">
        <f aca="false">L143</f>
        <v>7</v>
      </c>
      <c r="D144" s="24" t="n">
        <f aca="false">C144*가정!$B$8</f>
        <v>35</v>
      </c>
      <c r="E144" s="24" t="n">
        <f aca="false">H143+D143</f>
        <v>205.979899497487</v>
      </c>
      <c r="F144" s="11" t="n">
        <f aca="false">IF(가정!$B$11=1,MAX(0,MIN(가정!$B$16-C144,INT(E144/가정!$B$17))),0)</f>
        <v>0</v>
      </c>
      <c r="G144" s="24" t="n">
        <f aca="false">F144*가정!$B$17</f>
        <v>0</v>
      </c>
      <c r="H144" s="24" t="n">
        <f aca="false">E144-G144</f>
        <v>205.979899497487</v>
      </c>
      <c r="I144" s="24" t="n">
        <f aca="false">I143+D144</f>
        <v>1845</v>
      </c>
      <c r="J144" s="16" t="n">
        <f aca="false">(H144+D144)*가정!$B$10</f>
        <v>240.979899497487</v>
      </c>
      <c r="K144" s="24" t="n">
        <f aca="false">A144*가정!$B$8*가정!$B$7</f>
        <v>700</v>
      </c>
      <c r="L144" s="11" t="n">
        <f aca="false">C144+F144</f>
        <v>7</v>
      </c>
    </row>
    <row r="145" customFormat="false" ht="15" hidden="false" customHeight="false" outlineLevel="0" collapsed="false">
      <c r="A145" s="11" t="n">
        <v>141</v>
      </c>
      <c r="B145" s="11" t="n">
        <f aca="false">MATCH(A145,월별!$C$6:$C$41,1)</f>
        <v>5</v>
      </c>
      <c r="C145" s="11" t="n">
        <f aca="false">L144</f>
        <v>7</v>
      </c>
      <c r="D145" s="24" t="n">
        <f aca="false">C145*가정!$B$8</f>
        <v>35</v>
      </c>
      <c r="E145" s="24" t="n">
        <f aca="false">H144+D144</f>
        <v>240.979899497487</v>
      </c>
      <c r="F145" s="11" t="n">
        <f aca="false">IF(가정!$B$11=1,MAX(0,MIN(가정!$B$16-C145,INT(E145/가정!$B$17))),0)</f>
        <v>0</v>
      </c>
      <c r="G145" s="24" t="n">
        <f aca="false">F145*가정!$B$17</f>
        <v>0</v>
      </c>
      <c r="H145" s="24" t="n">
        <f aca="false">E145-G145</f>
        <v>240.979899497487</v>
      </c>
      <c r="I145" s="24" t="n">
        <f aca="false">I144+D145</f>
        <v>1880</v>
      </c>
      <c r="J145" s="16" t="n">
        <f aca="false">(H145+D145)*가정!$B$10</f>
        <v>275.979899497487</v>
      </c>
      <c r="K145" s="24" t="n">
        <f aca="false">A145*가정!$B$8*가정!$B$7</f>
        <v>705</v>
      </c>
      <c r="L145" s="11" t="n">
        <f aca="false">C145+F145</f>
        <v>7</v>
      </c>
    </row>
    <row r="146" customFormat="false" ht="15" hidden="false" customHeight="false" outlineLevel="0" collapsed="false">
      <c r="A146" s="11" t="n">
        <v>142</v>
      </c>
      <c r="B146" s="11" t="n">
        <f aca="false">MATCH(A146,월별!$C$6:$C$41,1)</f>
        <v>5</v>
      </c>
      <c r="C146" s="11" t="n">
        <f aca="false">L145</f>
        <v>7</v>
      </c>
      <c r="D146" s="24" t="n">
        <f aca="false">C146*가정!$B$8</f>
        <v>35</v>
      </c>
      <c r="E146" s="24" t="n">
        <f aca="false">H145+D145</f>
        <v>275.979899497487</v>
      </c>
      <c r="F146" s="11" t="n">
        <f aca="false">IF(가정!$B$11=1,MAX(0,MIN(가정!$B$16-C146,INT(E146/가정!$B$17))),0)</f>
        <v>1</v>
      </c>
      <c r="G146" s="24" t="n">
        <f aca="false">F146*가정!$B$17</f>
        <v>267.336683417085</v>
      </c>
      <c r="H146" s="24" t="n">
        <f aca="false">E146-G146</f>
        <v>8.64321608040183</v>
      </c>
      <c r="I146" s="24" t="n">
        <f aca="false">I145+D146</f>
        <v>1915</v>
      </c>
      <c r="J146" s="16" t="n">
        <f aca="false">(H146+D146)*가정!$B$10</f>
        <v>43.6432160804018</v>
      </c>
      <c r="K146" s="24" t="n">
        <f aca="false">A146*가정!$B$8*가정!$B$7</f>
        <v>710</v>
      </c>
      <c r="L146" s="11" t="n">
        <f aca="false">C146+F146</f>
        <v>8</v>
      </c>
    </row>
    <row r="147" customFormat="false" ht="15" hidden="false" customHeight="false" outlineLevel="0" collapsed="false">
      <c r="A147" s="11" t="n">
        <v>143</v>
      </c>
      <c r="B147" s="11" t="n">
        <f aca="false">MATCH(A147,월별!$C$6:$C$41,1)</f>
        <v>5</v>
      </c>
      <c r="C147" s="11" t="n">
        <f aca="false">L146</f>
        <v>8</v>
      </c>
      <c r="D147" s="24" t="n">
        <f aca="false">C147*가정!$B$8</f>
        <v>40</v>
      </c>
      <c r="E147" s="24" t="n">
        <f aca="false">H146+D146</f>
        <v>43.6432160804018</v>
      </c>
      <c r="F147" s="11" t="n">
        <f aca="false">IF(가정!$B$11=1,MAX(0,MIN(가정!$B$16-C147,INT(E147/가정!$B$17))),0)</f>
        <v>0</v>
      </c>
      <c r="G147" s="24" t="n">
        <f aca="false">F147*가정!$B$17</f>
        <v>0</v>
      </c>
      <c r="H147" s="24" t="n">
        <f aca="false">E147-G147</f>
        <v>43.6432160804018</v>
      </c>
      <c r="I147" s="24" t="n">
        <f aca="false">I146+D147</f>
        <v>1955</v>
      </c>
      <c r="J147" s="16" t="n">
        <f aca="false">(H147+D147)*가정!$B$10</f>
        <v>83.6432160804018</v>
      </c>
      <c r="K147" s="24" t="n">
        <f aca="false">A147*가정!$B$8*가정!$B$7</f>
        <v>715</v>
      </c>
      <c r="L147" s="11" t="n">
        <f aca="false">C147+F147</f>
        <v>8</v>
      </c>
    </row>
    <row r="148" customFormat="false" ht="15" hidden="false" customHeight="false" outlineLevel="0" collapsed="false">
      <c r="A148" s="11" t="n">
        <v>144</v>
      </c>
      <c r="B148" s="11" t="n">
        <f aca="false">MATCH(A148,월별!$C$6:$C$41,1)</f>
        <v>5</v>
      </c>
      <c r="C148" s="11" t="n">
        <f aca="false">L147</f>
        <v>8</v>
      </c>
      <c r="D148" s="24" t="n">
        <f aca="false">C148*가정!$B$8</f>
        <v>40</v>
      </c>
      <c r="E148" s="24" t="n">
        <f aca="false">H147+D147</f>
        <v>83.6432160804018</v>
      </c>
      <c r="F148" s="11" t="n">
        <f aca="false">IF(가정!$B$11=1,MAX(0,MIN(가정!$B$16-C148,INT(E148/가정!$B$17))),0)</f>
        <v>0</v>
      </c>
      <c r="G148" s="24" t="n">
        <f aca="false">F148*가정!$B$17</f>
        <v>0</v>
      </c>
      <c r="H148" s="24" t="n">
        <f aca="false">E148-G148</f>
        <v>83.6432160804018</v>
      </c>
      <c r="I148" s="24" t="n">
        <f aca="false">I147+D148</f>
        <v>1995</v>
      </c>
      <c r="J148" s="16" t="n">
        <f aca="false">(H148+D148)*가정!$B$10</f>
        <v>123.643216080402</v>
      </c>
      <c r="K148" s="24" t="n">
        <f aca="false">A148*가정!$B$8*가정!$B$7</f>
        <v>720</v>
      </c>
      <c r="L148" s="11" t="n">
        <f aca="false">C148+F148</f>
        <v>8</v>
      </c>
    </row>
    <row r="149" customFormat="false" ht="15" hidden="false" customHeight="false" outlineLevel="0" collapsed="false">
      <c r="A149" s="11" t="n">
        <v>145</v>
      </c>
      <c r="B149" s="11" t="n">
        <f aca="false">MATCH(A149,월별!$C$6:$C$41,1)</f>
        <v>5</v>
      </c>
      <c r="C149" s="11" t="n">
        <f aca="false">L148</f>
        <v>8</v>
      </c>
      <c r="D149" s="24" t="n">
        <f aca="false">C149*가정!$B$8</f>
        <v>40</v>
      </c>
      <c r="E149" s="24" t="n">
        <f aca="false">H148+D148</f>
        <v>123.643216080402</v>
      </c>
      <c r="F149" s="11" t="n">
        <f aca="false">IF(가정!$B$11=1,MAX(0,MIN(가정!$B$16-C149,INT(E149/가정!$B$17))),0)</f>
        <v>0</v>
      </c>
      <c r="G149" s="24" t="n">
        <f aca="false">F149*가정!$B$17</f>
        <v>0</v>
      </c>
      <c r="H149" s="24" t="n">
        <f aca="false">E149-G149</f>
        <v>123.643216080402</v>
      </c>
      <c r="I149" s="24" t="n">
        <f aca="false">I148+D149</f>
        <v>2035</v>
      </c>
      <c r="J149" s="16" t="n">
        <f aca="false">(H149+D149)*가정!$B$10</f>
        <v>163.643216080402</v>
      </c>
      <c r="K149" s="24" t="n">
        <f aca="false">A149*가정!$B$8*가정!$B$7</f>
        <v>725</v>
      </c>
      <c r="L149" s="11" t="n">
        <f aca="false">C149+F149</f>
        <v>8</v>
      </c>
    </row>
    <row r="150" customFormat="false" ht="15" hidden="false" customHeight="false" outlineLevel="0" collapsed="false">
      <c r="A150" s="11" t="n">
        <v>146</v>
      </c>
      <c r="B150" s="11" t="n">
        <f aca="false">MATCH(A150,월별!$C$6:$C$41,1)</f>
        <v>5</v>
      </c>
      <c r="C150" s="11" t="n">
        <f aca="false">L149</f>
        <v>8</v>
      </c>
      <c r="D150" s="24" t="n">
        <f aca="false">C150*가정!$B$8</f>
        <v>40</v>
      </c>
      <c r="E150" s="24" t="n">
        <f aca="false">H149+D149</f>
        <v>163.643216080402</v>
      </c>
      <c r="F150" s="11" t="n">
        <f aca="false">IF(가정!$B$11=1,MAX(0,MIN(가정!$B$16-C150,INT(E150/가정!$B$17))),0)</f>
        <v>0</v>
      </c>
      <c r="G150" s="24" t="n">
        <f aca="false">F150*가정!$B$17</f>
        <v>0</v>
      </c>
      <c r="H150" s="24" t="n">
        <f aca="false">E150-G150</f>
        <v>163.643216080402</v>
      </c>
      <c r="I150" s="24" t="n">
        <f aca="false">I149+D150</f>
        <v>2075</v>
      </c>
      <c r="J150" s="16" t="n">
        <f aca="false">(H150+D150)*가정!$B$10</f>
        <v>203.643216080402</v>
      </c>
      <c r="K150" s="24" t="n">
        <f aca="false">A150*가정!$B$8*가정!$B$7</f>
        <v>730</v>
      </c>
      <c r="L150" s="11" t="n">
        <f aca="false">C150+F150</f>
        <v>8</v>
      </c>
    </row>
    <row r="151" customFormat="false" ht="15" hidden="false" customHeight="false" outlineLevel="0" collapsed="false">
      <c r="A151" s="11" t="n">
        <v>147</v>
      </c>
      <c r="B151" s="11" t="n">
        <f aca="false">MATCH(A151,월별!$C$6:$C$41,1)</f>
        <v>5</v>
      </c>
      <c r="C151" s="11" t="n">
        <f aca="false">L150</f>
        <v>8</v>
      </c>
      <c r="D151" s="24" t="n">
        <f aca="false">C151*가정!$B$8</f>
        <v>40</v>
      </c>
      <c r="E151" s="24" t="n">
        <f aca="false">H150+D150</f>
        <v>203.643216080402</v>
      </c>
      <c r="F151" s="11" t="n">
        <f aca="false">IF(가정!$B$11=1,MAX(0,MIN(가정!$B$16-C151,INT(E151/가정!$B$17))),0)</f>
        <v>0</v>
      </c>
      <c r="G151" s="24" t="n">
        <f aca="false">F151*가정!$B$17</f>
        <v>0</v>
      </c>
      <c r="H151" s="24" t="n">
        <f aca="false">E151-G151</f>
        <v>203.643216080402</v>
      </c>
      <c r="I151" s="24" t="n">
        <f aca="false">I150+D151</f>
        <v>2115</v>
      </c>
      <c r="J151" s="16" t="n">
        <f aca="false">(H151+D151)*가정!$B$10</f>
        <v>243.643216080402</v>
      </c>
      <c r="K151" s="24" t="n">
        <f aca="false">A151*가정!$B$8*가정!$B$7</f>
        <v>735</v>
      </c>
      <c r="L151" s="11" t="n">
        <f aca="false">C151+F151</f>
        <v>8</v>
      </c>
    </row>
    <row r="152" customFormat="false" ht="15" hidden="false" customHeight="false" outlineLevel="0" collapsed="false">
      <c r="A152" s="11" t="n">
        <v>148</v>
      </c>
      <c r="B152" s="11" t="n">
        <f aca="false">MATCH(A152,월별!$C$6:$C$41,1)</f>
        <v>5</v>
      </c>
      <c r="C152" s="11" t="n">
        <f aca="false">L151</f>
        <v>8</v>
      </c>
      <c r="D152" s="24" t="n">
        <f aca="false">C152*가정!$B$8</f>
        <v>40</v>
      </c>
      <c r="E152" s="24" t="n">
        <f aca="false">H151+D151</f>
        <v>243.643216080402</v>
      </c>
      <c r="F152" s="11" t="n">
        <f aca="false">IF(가정!$B$11=1,MAX(0,MIN(가정!$B$16-C152,INT(E152/가정!$B$17))),0)</f>
        <v>0</v>
      </c>
      <c r="G152" s="24" t="n">
        <f aca="false">F152*가정!$B$17</f>
        <v>0</v>
      </c>
      <c r="H152" s="24" t="n">
        <f aca="false">E152-G152</f>
        <v>243.643216080402</v>
      </c>
      <c r="I152" s="24" t="n">
        <f aca="false">I151+D152</f>
        <v>2155</v>
      </c>
      <c r="J152" s="16" t="n">
        <f aca="false">(H152+D152)*가정!$B$10</f>
        <v>283.643216080402</v>
      </c>
      <c r="K152" s="24" t="n">
        <f aca="false">A152*가정!$B$8*가정!$B$7</f>
        <v>740</v>
      </c>
      <c r="L152" s="11" t="n">
        <f aca="false">C152+F152</f>
        <v>8</v>
      </c>
    </row>
    <row r="153" customFormat="false" ht="15" hidden="false" customHeight="false" outlineLevel="0" collapsed="false">
      <c r="A153" s="11" t="n">
        <v>149</v>
      </c>
      <c r="B153" s="11" t="n">
        <f aca="false">MATCH(A153,월별!$C$6:$C$41,1)</f>
        <v>5</v>
      </c>
      <c r="C153" s="11" t="n">
        <f aca="false">L152</f>
        <v>8</v>
      </c>
      <c r="D153" s="24" t="n">
        <f aca="false">C153*가정!$B$8</f>
        <v>40</v>
      </c>
      <c r="E153" s="24" t="n">
        <f aca="false">H152+D152</f>
        <v>283.643216080402</v>
      </c>
      <c r="F153" s="11" t="n">
        <f aca="false">IF(가정!$B$11=1,MAX(0,MIN(가정!$B$16-C153,INT(E153/가정!$B$17))),0)</f>
        <v>1</v>
      </c>
      <c r="G153" s="24" t="n">
        <f aca="false">F153*가정!$B$17</f>
        <v>267.336683417085</v>
      </c>
      <c r="H153" s="24" t="n">
        <f aca="false">E153-G153</f>
        <v>16.3065326633164</v>
      </c>
      <c r="I153" s="24" t="n">
        <f aca="false">I152+D153</f>
        <v>2195</v>
      </c>
      <c r="J153" s="16" t="n">
        <f aca="false">(H153+D153)*가정!$B$10</f>
        <v>56.3065326633164</v>
      </c>
      <c r="K153" s="24" t="n">
        <f aca="false">A153*가정!$B$8*가정!$B$7</f>
        <v>745</v>
      </c>
      <c r="L153" s="11" t="n">
        <f aca="false">C153+F153</f>
        <v>9</v>
      </c>
    </row>
    <row r="154" customFormat="false" ht="15" hidden="false" customHeight="false" outlineLevel="0" collapsed="false">
      <c r="A154" s="11" t="n">
        <v>150</v>
      </c>
      <c r="B154" s="11" t="n">
        <f aca="false">MATCH(A154,월별!$C$6:$C$41,1)</f>
        <v>5</v>
      </c>
      <c r="C154" s="11" t="n">
        <f aca="false">L153</f>
        <v>9</v>
      </c>
      <c r="D154" s="24" t="n">
        <f aca="false">C154*가정!$B$8</f>
        <v>45</v>
      </c>
      <c r="E154" s="24" t="n">
        <f aca="false">H153+D153</f>
        <v>56.3065326633164</v>
      </c>
      <c r="F154" s="11" t="n">
        <f aca="false">IF(가정!$B$11=1,MAX(0,MIN(가정!$B$16-C154,INT(E154/가정!$B$17))),0)</f>
        <v>0</v>
      </c>
      <c r="G154" s="24" t="n">
        <f aca="false">F154*가정!$B$17</f>
        <v>0</v>
      </c>
      <c r="H154" s="24" t="n">
        <f aca="false">E154-G154</f>
        <v>56.3065326633164</v>
      </c>
      <c r="I154" s="24" t="n">
        <f aca="false">I153+D154</f>
        <v>2240</v>
      </c>
      <c r="J154" s="16" t="n">
        <f aca="false">(H154+D154)*가정!$B$10</f>
        <v>101.306532663316</v>
      </c>
      <c r="K154" s="24" t="n">
        <f aca="false">A154*가정!$B$8*가정!$B$7</f>
        <v>750</v>
      </c>
      <c r="L154" s="11" t="n">
        <f aca="false">C154+F154</f>
        <v>9</v>
      </c>
    </row>
    <row r="155" customFormat="false" ht="15" hidden="false" customHeight="false" outlineLevel="0" collapsed="false">
      <c r="A155" s="11" t="n">
        <v>151</v>
      </c>
      <c r="B155" s="11" t="n">
        <f aca="false">MATCH(A155,월별!$C$6:$C$41,1)</f>
        <v>5</v>
      </c>
      <c r="C155" s="11" t="n">
        <f aca="false">L154</f>
        <v>9</v>
      </c>
      <c r="D155" s="24" t="n">
        <f aca="false">C155*가정!$B$8</f>
        <v>45</v>
      </c>
      <c r="E155" s="24" t="n">
        <f aca="false">H154+D154</f>
        <v>101.306532663316</v>
      </c>
      <c r="F155" s="11" t="n">
        <f aca="false">IF(가정!$B$11=1,MAX(0,MIN(가정!$B$16-C155,INT(E155/가정!$B$17))),0)</f>
        <v>0</v>
      </c>
      <c r="G155" s="24" t="n">
        <f aca="false">F155*가정!$B$17</f>
        <v>0</v>
      </c>
      <c r="H155" s="24" t="n">
        <f aca="false">E155-G155</f>
        <v>101.306532663316</v>
      </c>
      <c r="I155" s="24" t="n">
        <f aca="false">I154+D155</f>
        <v>2285</v>
      </c>
      <c r="J155" s="16" t="n">
        <f aca="false">(H155+D155)*가정!$B$10</f>
        <v>146.306532663316</v>
      </c>
      <c r="K155" s="24" t="n">
        <f aca="false">A155*가정!$B$8*가정!$B$7</f>
        <v>755</v>
      </c>
      <c r="L155" s="11" t="n">
        <f aca="false">C155+F155</f>
        <v>9</v>
      </c>
    </row>
    <row r="156" customFormat="false" ht="15" hidden="false" customHeight="false" outlineLevel="0" collapsed="false">
      <c r="A156" s="11" t="n">
        <v>152</v>
      </c>
      <c r="B156" s="11" t="n">
        <f aca="false">MATCH(A156,월별!$C$6:$C$41,1)</f>
        <v>5</v>
      </c>
      <c r="C156" s="11" t="n">
        <f aca="false">L155</f>
        <v>9</v>
      </c>
      <c r="D156" s="24" t="n">
        <f aca="false">C156*가정!$B$8</f>
        <v>45</v>
      </c>
      <c r="E156" s="24" t="n">
        <f aca="false">H155+D155</f>
        <v>146.306532663316</v>
      </c>
      <c r="F156" s="11" t="n">
        <f aca="false">IF(가정!$B$11=1,MAX(0,MIN(가정!$B$16-C156,INT(E156/가정!$B$17))),0)</f>
        <v>0</v>
      </c>
      <c r="G156" s="24" t="n">
        <f aca="false">F156*가정!$B$17</f>
        <v>0</v>
      </c>
      <c r="H156" s="24" t="n">
        <f aca="false">E156-G156</f>
        <v>146.306532663316</v>
      </c>
      <c r="I156" s="24" t="n">
        <f aca="false">I155+D156</f>
        <v>2330</v>
      </c>
      <c r="J156" s="16" t="n">
        <f aca="false">(H156+D156)*가정!$B$10</f>
        <v>191.306532663316</v>
      </c>
      <c r="K156" s="24" t="n">
        <f aca="false">A156*가정!$B$8*가정!$B$7</f>
        <v>760</v>
      </c>
      <c r="L156" s="11" t="n">
        <f aca="false">C156+F156</f>
        <v>9</v>
      </c>
    </row>
    <row r="157" customFormat="false" ht="15" hidden="false" customHeight="false" outlineLevel="0" collapsed="false">
      <c r="A157" s="11" t="n">
        <v>153</v>
      </c>
      <c r="B157" s="11" t="n">
        <f aca="false">MATCH(A157,월별!$C$6:$C$41,1)</f>
        <v>6</v>
      </c>
      <c r="C157" s="11" t="n">
        <f aca="false">L156</f>
        <v>9</v>
      </c>
      <c r="D157" s="24" t="n">
        <f aca="false">C157*가정!$B$8</f>
        <v>45</v>
      </c>
      <c r="E157" s="24" t="n">
        <f aca="false">H156+D156</f>
        <v>191.306532663316</v>
      </c>
      <c r="F157" s="11" t="n">
        <f aca="false">IF(가정!$B$11=1,MAX(0,MIN(가정!$B$16-C157,INT(E157/가정!$B$17))),0)</f>
        <v>0</v>
      </c>
      <c r="G157" s="24" t="n">
        <f aca="false">F157*가정!$B$17</f>
        <v>0</v>
      </c>
      <c r="H157" s="24" t="n">
        <f aca="false">E157-G157</f>
        <v>191.306532663316</v>
      </c>
      <c r="I157" s="24" t="n">
        <f aca="false">I156+D157</f>
        <v>2375</v>
      </c>
      <c r="J157" s="16" t="n">
        <f aca="false">(H157+D157)*가정!$B$10</f>
        <v>236.306532663316</v>
      </c>
      <c r="K157" s="24" t="n">
        <f aca="false">A157*가정!$B$8*가정!$B$7</f>
        <v>765</v>
      </c>
      <c r="L157" s="11" t="n">
        <f aca="false">C157+F157</f>
        <v>9</v>
      </c>
    </row>
    <row r="158" customFormat="false" ht="15" hidden="false" customHeight="false" outlineLevel="0" collapsed="false">
      <c r="A158" s="11" t="n">
        <v>154</v>
      </c>
      <c r="B158" s="11" t="n">
        <f aca="false">MATCH(A158,월별!$C$6:$C$41,1)</f>
        <v>6</v>
      </c>
      <c r="C158" s="11" t="n">
        <f aca="false">L157</f>
        <v>9</v>
      </c>
      <c r="D158" s="24" t="n">
        <f aca="false">C158*가정!$B$8</f>
        <v>45</v>
      </c>
      <c r="E158" s="24" t="n">
        <f aca="false">H157+D157</f>
        <v>236.306532663316</v>
      </c>
      <c r="F158" s="11" t="n">
        <f aca="false">IF(가정!$B$11=1,MAX(0,MIN(가정!$B$16-C158,INT(E158/가정!$B$17))),0)</f>
        <v>0</v>
      </c>
      <c r="G158" s="24" t="n">
        <f aca="false">F158*가정!$B$17</f>
        <v>0</v>
      </c>
      <c r="H158" s="24" t="n">
        <f aca="false">E158-G158</f>
        <v>236.306532663316</v>
      </c>
      <c r="I158" s="24" t="n">
        <f aca="false">I157+D158</f>
        <v>2420</v>
      </c>
      <c r="J158" s="16" t="n">
        <f aca="false">(H158+D158)*가정!$B$10</f>
        <v>281.306532663316</v>
      </c>
      <c r="K158" s="24" t="n">
        <f aca="false">A158*가정!$B$8*가정!$B$7</f>
        <v>770</v>
      </c>
      <c r="L158" s="11" t="n">
        <f aca="false">C158+F158</f>
        <v>9</v>
      </c>
    </row>
    <row r="159" customFormat="false" ht="15" hidden="false" customHeight="false" outlineLevel="0" collapsed="false">
      <c r="A159" s="11" t="n">
        <v>155</v>
      </c>
      <c r="B159" s="11" t="n">
        <f aca="false">MATCH(A159,월별!$C$6:$C$41,1)</f>
        <v>6</v>
      </c>
      <c r="C159" s="11" t="n">
        <f aca="false">L158</f>
        <v>9</v>
      </c>
      <c r="D159" s="24" t="n">
        <f aca="false">C159*가정!$B$8</f>
        <v>45</v>
      </c>
      <c r="E159" s="24" t="n">
        <f aca="false">H158+D158</f>
        <v>281.306532663316</v>
      </c>
      <c r="F159" s="11" t="n">
        <f aca="false">IF(가정!$B$11=1,MAX(0,MIN(가정!$B$16-C159,INT(E159/가정!$B$17))),0)</f>
        <v>1</v>
      </c>
      <c r="G159" s="24" t="n">
        <f aca="false">F159*가정!$B$17</f>
        <v>267.336683417085</v>
      </c>
      <c r="H159" s="24" t="n">
        <f aca="false">E159-G159</f>
        <v>13.9698492462309</v>
      </c>
      <c r="I159" s="24" t="n">
        <f aca="false">I158+D159</f>
        <v>2465</v>
      </c>
      <c r="J159" s="16" t="n">
        <f aca="false">(H159+D159)*가정!$B$10</f>
        <v>58.9698492462309</v>
      </c>
      <c r="K159" s="24" t="n">
        <f aca="false">A159*가정!$B$8*가정!$B$7</f>
        <v>775</v>
      </c>
      <c r="L159" s="11" t="n">
        <f aca="false">C159+F159</f>
        <v>10</v>
      </c>
    </row>
    <row r="160" customFormat="false" ht="15" hidden="false" customHeight="false" outlineLevel="0" collapsed="false">
      <c r="A160" s="11" t="n">
        <v>156</v>
      </c>
      <c r="B160" s="11" t="n">
        <f aca="false">MATCH(A160,월별!$C$6:$C$41,1)</f>
        <v>6</v>
      </c>
      <c r="C160" s="11" t="n">
        <f aca="false">L159</f>
        <v>10</v>
      </c>
      <c r="D160" s="24" t="n">
        <f aca="false">C160*가정!$B$8</f>
        <v>50</v>
      </c>
      <c r="E160" s="24" t="n">
        <f aca="false">H159+D159</f>
        <v>58.9698492462309</v>
      </c>
      <c r="F160" s="11" t="n">
        <f aca="false">IF(가정!$B$11=1,MAX(0,MIN(가정!$B$16-C160,INT(E160/가정!$B$17))),0)</f>
        <v>0</v>
      </c>
      <c r="G160" s="24" t="n">
        <f aca="false">F160*가정!$B$17</f>
        <v>0</v>
      </c>
      <c r="H160" s="24" t="n">
        <f aca="false">E160-G160</f>
        <v>58.9698492462309</v>
      </c>
      <c r="I160" s="24" t="n">
        <f aca="false">I159+D160</f>
        <v>2515</v>
      </c>
      <c r="J160" s="16" t="n">
        <f aca="false">(H160+D160)*가정!$B$10</f>
        <v>108.969849246231</v>
      </c>
      <c r="K160" s="24" t="n">
        <f aca="false">A160*가정!$B$8*가정!$B$7</f>
        <v>780</v>
      </c>
      <c r="L160" s="11" t="n">
        <f aca="false">C160+F160</f>
        <v>10</v>
      </c>
    </row>
    <row r="161" customFormat="false" ht="15" hidden="false" customHeight="false" outlineLevel="0" collapsed="false">
      <c r="A161" s="11" t="n">
        <v>157</v>
      </c>
      <c r="B161" s="11" t="n">
        <f aca="false">MATCH(A161,월별!$C$6:$C$41,1)</f>
        <v>6</v>
      </c>
      <c r="C161" s="11" t="n">
        <f aca="false">L160</f>
        <v>10</v>
      </c>
      <c r="D161" s="24" t="n">
        <f aca="false">C161*가정!$B$8</f>
        <v>50</v>
      </c>
      <c r="E161" s="24" t="n">
        <f aca="false">H160+D160</f>
        <v>108.969849246231</v>
      </c>
      <c r="F161" s="11" t="n">
        <f aca="false">IF(가정!$B$11=1,MAX(0,MIN(가정!$B$16-C161,INT(E161/가정!$B$17))),0)</f>
        <v>0</v>
      </c>
      <c r="G161" s="24" t="n">
        <f aca="false">F161*가정!$B$17</f>
        <v>0</v>
      </c>
      <c r="H161" s="24" t="n">
        <f aca="false">E161-G161</f>
        <v>108.969849246231</v>
      </c>
      <c r="I161" s="24" t="n">
        <f aca="false">I160+D161</f>
        <v>2565</v>
      </c>
      <c r="J161" s="16" t="n">
        <f aca="false">(H161+D161)*가정!$B$10</f>
        <v>158.969849246231</v>
      </c>
      <c r="K161" s="24" t="n">
        <f aca="false">A161*가정!$B$8*가정!$B$7</f>
        <v>785</v>
      </c>
      <c r="L161" s="11" t="n">
        <f aca="false">C161+F161</f>
        <v>10</v>
      </c>
    </row>
    <row r="162" customFormat="false" ht="15" hidden="false" customHeight="false" outlineLevel="0" collapsed="false">
      <c r="A162" s="11" t="n">
        <v>158</v>
      </c>
      <c r="B162" s="11" t="n">
        <f aca="false">MATCH(A162,월별!$C$6:$C$41,1)</f>
        <v>6</v>
      </c>
      <c r="C162" s="11" t="n">
        <f aca="false">L161</f>
        <v>10</v>
      </c>
      <c r="D162" s="24" t="n">
        <f aca="false">C162*가정!$B$8</f>
        <v>50</v>
      </c>
      <c r="E162" s="24" t="n">
        <f aca="false">H161+D161</f>
        <v>158.969849246231</v>
      </c>
      <c r="F162" s="11" t="n">
        <f aca="false">IF(가정!$B$11=1,MAX(0,MIN(가정!$B$16-C162,INT(E162/가정!$B$17))),0)</f>
        <v>0</v>
      </c>
      <c r="G162" s="24" t="n">
        <f aca="false">F162*가정!$B$17</f>
        <v>0</v>
      </c>
      <c r="H162" s="24" t="n">
        <f aca="false">E162-G162</f>
        <v>158.969849246231</v>
      </c>
      <c r="I162" s="24" t="n">
        <f aca="false">I161+D162</f>
        <v>2615</v>
      </c>
      <c r="J162" s="16" t="n">
        <f aca="false">(H162+D162)*가정!$B$10</f>
        <v>208.969849246231</v>
      </c>
      <c r="K162" s="24" t="n">
        <f aca="false">A162*가정!$B$8*가정!$B$7</f>
        <v>790</v>
      </c>
      <c r="L162" s="11" t="n">
        <f aca="false">C162+F162</f>
        <v>10</v>
      </c>
    </row>
    <row r="163" customFormat="false" ht="15" hidden="false" customHeight="false" outlineLevel="0" collapsed="false">
      <c r="A163" s="11" t="n">
        <v>159</v>
      </c>
      <c r="B163" s="11" t="n">
        <f aca="false">MATCH(A163,월별!$C$6:$C$41,1)</f>
        <v>6</v>
      </c>
      <c r="C163" s="11" t="n">
        <f aca="false">L162</f>
        <v>10</v>
      </c>
      <c r="D163" s="24" t="n">
        <f aca="false">C163*가정!$B$8</f>
        <v>50</v>
      </c>
      <c r="E163" s="24" t="n">
        <f aca="false">H162+D162</f>
        <v>208.969849246231</v>
      </c>
      <c r="F163" s="11" t="n">
        <f aca="false">IF(가정!$B$11=1,MAX(0,MIN(가정!$B$16-C163,INT(E163/가정!$B$17))),0)</f>
        <v>0</v>
      </c>
      <c r="G163" s="24" t="n">
        <f aca="false">F163*가정!$B$17</f>
        <v>0</v>
      </c>
      <c r="H163" s="24" t="n">
        <f aca="false">E163-G163</f>
        <v>208.969849246231</v>
      </c>
      <c r="I163" s="24" t="n">
        <f aca="false">I162+D163</f>
        <v>2665</v>
      </c>
      <c r="J163" s="16" t="n">
        <f aca="false">(H163+D163)*가정!$B$10</f>
        <v>258.969849246231</v>
      </c>
      <c r="K163" s="24" t="n">
        <f aca="false">A163*가정!$B$8*가정!$B$7</f>
        <v>795</v>
      </c>
      <c r="L163" s="11" t="n">
        <f aca="false">C163+F163</f>
        <v>10</v>
      </c>
    </row>
    <row r="164" customFormat="false" ht="15" hidden="false" customHeight="false" outlineLevel="0" collapsed="false">
      <c r="A164" s="11" t="n">
        <v>160</v>
      </c>
      <c r="B164" s="11" t="n">
        <f aca="false">MATCH(A164,월별!$C$6:$C$41,1)</f>
        <v>6</v>
      </c>
      <c r="C164" s="11" t="n">
        <f aca="false">L163</f>
        <v>10</v>
      </c>
      <c r="D164" s="24" t="n">
        <f aca="false">C164*가정!$B$8</f>
        <v>50</v>
      </c>
      <c r="E164" s="24" t="n">
        <f aca="false">H163+D163</f>
        <v>258.969849246231</v>
      </c>
      <c r="F164" s="11" t="n">
        <f aca="false">IF(가정!$B$11=1,MAX(0,MIN(가정!$B$16-C164,INT(E164/가정!$B$17))),0)</f>
        <v>0</v>
      </c>
      <c r="G164" s="24" t="n">
        <f aca="false">F164*가정!$B$17</f>
        <v>0</v>
      </c>
      <c r="H164" s="24" t="n">
        <f aca="false">E164-G164</f>
        <v>258.969849246231</v>
      </c>
      <c r="I164" s="24" t="n">
        <f aca="false">I163+D164</f>
        <v>2715</v>
      </c>
      <c r="J164" s="16" t="n">
        <f aca="false">(H164+D164)*가정!$B$10</f>
        <v>308.969849246231</v>
      </c>
      <c r="K164" s="24" t="n">
        <f aca="false">A164*가정!$B$8*가정!$B$7</f>
        <v>800</v>
      </c>
      <c r="L164" s="11" t="n">
        <f aca="false">C164+F164</f>
        <v>10</v>
      </c>
    </row>
    <row r="165" customFormat="false" ht="15" hidden="false" customHeight="false" outlineLevel="0" collapsed="false">
      <c r="A165" s="11" t="n">
        <v>161</v>
      </c>
      <c r="B165" s="11" t="n">
        <f aca="false">MATCH(A165,월별!$C$6:$C$41,1)</f>
        <v>6</v>
      </c>
      <c r="C165" s="11" t="n">
        <f aca="false">L164</f>
        <v>10</v>
      </c>
      <c r="D165" s="24" t="n">
        <f aca="false">C165*가정!$B$8</f>
        <v>50</v>
      </c>
      <c r="E165" s="24" t="n">
        <f aca="false">H164+D164</f>
        <v>308.969849246231</v>
      </c>
      <c r="F165" s="11" t="n">
        <f aca="false">IF(가정!$B$11=1,MAX(0,MIN(가정!$B$16-C165,INT(E165/가정!$B$17))),0)</f>
        <v>1</v>
      </c>
      <c r="G165" s="24" t="n">
        <f aca="false">F165*가정!$B$17</f>
        <v>267.336683417085</v>
      </c>
      <c r="H165" s="24" t="n">
        <f aca="false">E165-G165</f>
        <v>41.6331658291455</v>
      </c>
      <c r="I165" s="24" t="n">
        <f aca="false">I164+D165</f>
        <v>2765</v>
      </c>
      <c r="J165" s="16" t="n">
        <f aca="false">(H165+D165)*가정!$B$10</f>
        <v>91.6331658291455</v>
      </c>
      <c r="K165" s="24" t="n">
        <f aca="false">A165*가정!$B$8*가정!$B$7</f>
        <v>805</v>
      </c>
      <c r="L165" s="11" t="n">
        <f aca="false">C165+F165</f>
        <v>11</v>
      </c>
    </row>
    <row r="166" customFormat="false" ht="15" hidden="false" customHeight="false" outlineLevel="0" collapsed="false">
      <c r="A166" s="11" t="n">
        <v>162</v>
      </c>
      <c r="B166" s="11" t="n">
        <f aca="false">MATCH(A166,월별!$C$6:$C$41,1)</f>
        <v>6</v>
      </c>
      <c r="C166" s="11" t="n">
        <f aca="false">L165</f>
        <v>11</v>
      </c>
      <c r="D166" s="24" t="n">
        <f aca="false">C166*가정!$B$8</f>
        <v>55</v>
      </c>
      <c r="E166" s="24" t="n">
        <f aca="false">H165+D165</f>
        <v>91.6331658291455</v>
      </c>
      <c r="F166" s="11" t="n">
        <f aca="false">IF(가정!$B$11=1,MAX(0,MIN(가정!$B$16-C166,INT(E166/가정!$B$17))),0)</f>
        <v>0</v>
      </c>
      <c r="G166" s="24" t="n">
        <f aca="false">F166*가정!$B$17</f>
        <v>0</v>
      </c>
      <c r="H166" s="24" t="n">
        <f aca="false">E166-G166</f>
        <v>91.6331658291455</v>
      </c>
      <c r="I166" s="24" t="n">
        <f aca="false">I165+D166</f>
        <v>2820</v>
      </c>
      <c r="J166" s="16" t="n">
        <f aca="false">(H166+D166)*가정!$B$10</f>
        <v>146.633165829145</v>
      </c>
      <c r="K166" s="24" t="n">
        <f aca="false">A166*가정!$B$8*가정!$B$7</f>
        <v>810</v>
      </c>
      <c r="L166" s="11" t="n">
        <f aca="false">C166+F166</f>
        <v>11</v>
      </c>
    </row>
    <row r="167" customFormat="false" ht="15" hidden="false" customHeight="false" outlineLevel="0" collapsed="false">
      <c r="A167" s="11" t="n">
        <v>163</v>
      </c>
      <c r="B167" s="11" t="n">
        <f aca="false">MATCH(A167,월별!$C$6:$C$41,1)</f>
        <v>6</v>
      </c>
      <c r="C167" s="11" t="n">
        <f aca="false">L166</f>
        <v>11</v>
      </c>
      <c r="D167" s="24" t="n">
        <f aca="false">C167*가정!$B$8</f>
        <v>55</v>
      </c>
      <c r="E167" s="24" t="n">
        <f aca="false">H166+D166</f>
        <v>146.633165829145</v>
      </c>
      <c r="F167" s="11" t="n">
        <f aca="false">IF(가정!$B$11=1,MAX(0,MIN(가정!$B$16-C167,INT(E167/가정!$B$17))),0)</f>
        <v>0</v>
      </c>
      <c r="G167" s="24" t="n">
        <f aca="false">F167*가정!$B$17</f>
        <v>0</v>
      </c>
      <c r="H167" s="24" t="n">
        <f aca="false">E167-G167</f>
        <v>146.633165829145</v>
      </c>
      <c r="I167" s="24" t="n">
        <f aca="false">I166+D167</f>
        <v>2875</v>
      </c>
      <c r="J167" s="16" t="n">
        <f aca="false">(H167+D167)*가정!$B$10</f>
        <v>201.633165829145</v>
      </c>
      <c r="K167" s="24" t="n">
        <f aca="false">A167*가정!$B$8*가정!$B$7</f>
        <v>815</v>
      </c>
      <c r="L167" s="11" t="n">
        <f aca="false">C167+F167</f>
        <v>11</v>
      </c>
    </row>
    <row r="168" customFormat="false" ht="15" hidden="false" customHeight="false" outlineLevel="0" collapsed="false">
      <c r="A168" s="11" t="n">
        <v>164</v>
      </c>
      <c r="B168" s="11" t="n">
        <f aca="false">MATCH(A168,월별!$C$6:$C$41,1)</f>
        <v>6</v>
      </c>
      <c r="C168" s="11" t="n">
        <f aca="false">L167</f>
        <v>11</v>
      </c>
      <c r="D168" s="24" t="n">
        <f aca="false">C168*가정!$B$8</f>
        <v>55</v>
      </c>
      <c r="E168" s="24" t="n">
        <f aca="false">H167+D167</f>
        <v>201.633165829145</v>
      </c>
      <c r="F168" s="11" t="n">
        <f aca="false">IF(가정!$B$11=1,MAX(0,MIN(가정!$B$16-C168,INT(E168/가정!$B$17))),0)</f>
        <v>0</v>
      </c>
      <c r="G168" s="24" t="n">
        <f aca="false">F168*가정!$B$17</f>
        <v>0</v>
      </c>
      <c r="H168" s="24" t="n">
        <f aca="false">E168-G168</f>
        <v>201.633165829145</v>
      </c>
      <c r="I168" s="24" t="n">
        <f aca="false">I167+D168</f>
        <v>2930</v>
      </c>
      <c r="J168" s="16" t="n">
        <f aca="false">(H168+D168)*가정!$B$10</f>
        <v>256.633165829145</v>
      </c>
      <c r="K168" s="24" t="n">
        <f aca="false">A168*가정!$B$8*가정!$B$7</f>
        <v>820</v>
      </c>
      <c r="L168" s="11" t="n">
        <f aca="false">C168+F168</f>
        <v>11</v>
      </c>
    </row>
    <row r="169" customFormat="false" ht="15" hidden="false" customHeight="false" outlineLevel="0" collapsed="false">
      <c r="A169" s="11" t="n">
        <v>165</v>
      </c>
      <c r="B169" s="11" t="n">
        <f aca="false">MATCH(A169,월별!$C$6:$C$41,1)</f>
        <v>6</v>
      </c>
      <c r="C169" s="11" t="n">
        <f aca="false">L168</f>
        <v>11</v>
      </c>
      <c r="D169" s="24" t="n">
        <f aca="false">C169*가정!$B$8</f>
        <v>55</v>
      </c>
      <c r="E169" s="24" t="n">
        <f aca="false">H168+D168</f>
        <v>256.633165829145</v>
      </c>
      <c r="F169" s="11" t="n">
        <f aca="false">IF(가정!$B$11=1,MAX(0,MIN(가정!$B$16-C169,INT(E169/가정!$B$17))),0)</f>
        <v>0</v>
      </c>
      <c r="G169" s="24" t="n">
        <f aca="false">F169*가정!$B$17</f>
        <v>0</v>
      </c>
      <c r="H169" s="24" t="n">
        <f aca="false">E169-G169</f>
        <v>256.633165829145</v>
      </c>
      <c r="I169" s="24" t="n">
        <f aca="false">I168+D169</f>
        <v>2985</v>
      </c>
      <c r="J169" s="16" t="n">
        <f aca="false">(H169+D169)*가정!$B$10</f>
        <v>311.633165829145</v>
      </c>
      <c r="K169" s="24" t="n">
        <f aca="false">A169*가정!$B$8*가정!$B$7</f>
        <v>825</v>
      </c>
      <c r="L169" s="11" t="n">
        <f aca="false">C169+F169</f>
        <v>11</v>
      </c>
    </row>
    <row r="170" customFormat="false" ht="15" hidden="false" customHeight="false" outlineLevel="0" collapsed="false">
      <c r="A170" s="11" t="n">
        <v>166</v>
      </c>
      <c r="B170" s="11" t="n">
        <f aca="false">MATCH(A170,월별!$C$6:$C$41,1)</f>
        <v>6</v>
      </c>
      <c r="C170" s="11" t="n">
        <f aca="false">L169</f>
        <v>11</v>
      </c>
      <c r="D170" s="24" t="n">
        <f aca="false">C170*가정!$B$8</f>
        <v>55</v>
      </c>
      <c r="E170" s="24" t="n">
        <f aca="false">H169+D169</f>
        <v>311.633165829145</v>
      </c>
      <c r="F170" s="11" t="n">
        <f aca="false">IF(가정!$B$11=1,MAX(0,MIN(가정!$B$16-C170,INT(E170/가정!$B$17))),0)</f>
        <v>1</v>
      </c>
      <c r="G170" s="24" t="n">
        <f aca="false">F170*가정!$B$17</f>
        <v>267.336683417085</v>
      </c>
      <c r="H170" s="24" t="n">
        <f aca="false">E170-G170</f>
        <v>44.29648241206</v>
      </c>
      <c r="I170" s="24" t="n">
        <f aca="false">I169+D170</f>
        <v>3040</v>
      </c>
      <c r="J170" s="16" t="n">
        <f aca="false">(H170+D170)*가정!$B$10</f>
        <v>99.29648241206</v>
      </c>
      <c r="K170" s="24" t="n">
        <f aca="false">A170*가정!$B$8*가정!$B$7</f>
        <v>830</v>
      </c>
      <c r="L170" s="11" t="n">
        <f aca="false">C170+F170</f>
        <v>12</v>
      </c>
    </row>
    <row r="171" customFormat="false" ht="15" hidden="false" customHeight="false" outlineLevel="0" collapsed="false">
      <c r="A171" s="11" t="n">
        <v>167</v>
      </c>
      <c r="B171" s="11" t="n">
        <f aca="false">MATCH(A171,월별!$C$6:$C$41,1)</f>
        <v>6</v>
      </c>
      <c r="C171" s="11" t="n">
        <f aca="false">L170</f>
        <v>12</v>
      </c>
      <c r="D171" s="24" t="n">
        <f aca="false">C171*가정!$B$8</f>
        <v>60</v>
      </c>
      <c r="E171" s="24" t="n">
        <f aca="false">H170+D170</f>
        <v>99.29648241206</v>
      </c>
      <c r="F171" s="11" t="n">
        <f aca="false">IF(가정!$B$11=1,MAX(0,MIN(가정!$B$16-C171,INT(E171/가정!$B$17))),0)</f>
        <v>0</v>
      </c>
      <c r="G171" s="24" t="n">
        <f aca="false">F171*가정!$B$17</f>
        <v>0</v>
      </c>
      <c r="H171" s="24" t="n">
        <f aca="false">E171-G171</f>
        <v>99.29648241206</v>
      </c>
      <c r="I171" s="24" t="n">
        <f aca="false">I170+D171</f>
        <v>3100</v>
      </c>
      <c r="J171" s="16" t="n">
        <f aca="false">(H171+D171)*가정!$B$10</f>
        <v>159.29648241206</v>
      </c>
      <c r="K171" s="24" t="n">
        <f aca="false">A171*가정!$B$8*가정!$B$7</f>
        <v>835</v>
      </c>
      <c r="L171" s="11" t="n">
        <f aca="false">C171+F171</f>
        <v>12</v>
      </c>
    </row>
    <row r="172" customFormat="false" ht="15" hidden="false" customHeight="false" outlineLevel="0" collapsed="false">
      <c r="A172" s="11" t="n">
        <v>168</v>
      </c>
      <c r="B172" s="11" t="n">
        <f aca="false">MATCH(A172,월별!$C$6:$C$41,1)</f>
        <v>6</v>
      </c>
      <c r="C172" s="11" t="n">
        <f aca="false">L171</f>
        <v>12</v>
      </c>
      <c r="D172" s="24" t="n">
        <f aca="false">C172*가정!$B$8</f>
        <v>60</v>
      </c>
      <c r="E172" s="24" t="n">
        <f aca="false">H171+D171</f>
        <v>159.29648241206</v>
      </c>
      <c r="F172" s="11" t="n">
        <f aca="false">IF(가정!$B$11=1,MAX(0,MIN(가정!$B$16-C172,INT(E172/가정!$B$17))),0)</f>
        <v>0</v>
      </c>
      <c r="G172" s="24" t="n">
        <f aca="false">F172*가정!$B$17</f>
        <v>0</v>
      </c>
      <c r="H172" s="24" t="n">
        <f aca="false">E172-G172</f>
        <v>159.29648241206</v>
      </c>
      <c r="I172" s="24" t="n">
        <f aca="false">I171+D172</f>
        <v>3160</v>
      </c>
      <c r="J172" s="16" t="n">
        <f aca="false">(H172+D172)*가정!$B$10</f>
        <v>219.29648241206</v>
      </c>
      <c r="K172" s="24" t="n">
        <f aca="false">A172*가정!$B$8*가정!$B$7</f>
        <v>840</v>
      </c>
      <c r="L172" s="11" t="n">
        <f aca="false">C172+F172</f>
        <v>12</v>
      </c>
    </row>
    <row r="173" customFormat="false" ht="15" hidden="false" customHeight="false" outlineLevel="0" collapsed="false">
      <c r="A173" s="11" t="n">
        <v>169</v>
      </c>
      <c r="B173" s="11" t="n">
        <f aca="false">MATCH(A173,월별!$C$6:$C$41,1)</f>
        <v>6</v>
      </c>
      <c r="C173" s="11" t="n">
        <f aca="false">L172</f>
        <v>12</v>
      </c>
      <c r="D173" s="24" t="n">
        <f aca="false">C173*가정!$B$8</f>
        <v>60</v>
      </c>
      <c r="E173" s="24" t="n">
        <f aca="false">H172+D172</f>
        <v>219.29648241206</v>
      </c>
      <c r="F173" s="11" t="n">
        <f aca="false">IF(가정!$B$11=1,MAX(0,MIN(가정!$B$16-C173,INT(E173/가정!$B$17))),0)</f>
        <v>0</v>
      </c>
      <c r="G173" s="24" t="n">
        <f aca="false">F173*가정!$B$17</f>
        <v>0</v>
      </c>
      <c r="H173" s="24" t="n">
        <f aca="false">E173-G173</f>
        <v>219.29648241206</v>
      </c>
      <c r="I173" s="24" t="n">
        <f aca="false">I172+D173</f>
        <v>3220</v>
      </c>
      <c r="J173" s="16" t="n">
        <f aca="false">(H173+D173)*가정!$B$10</f>
        <v>279.29648241206</v>
      </c>
      <c r="K173" s="24" t="n">
        <f aca="false">A173*가정!$B$8*가정!$B$7</f>
        <v>845</v>
      </c>
      <c r="L173" s="11" t="n">
        <f aca="false">C173+F173</f>
        <v>12</v>
      </c>
    </row>
    <row r="174" customFormat="false" ht="15" hidden="false" customHeight="false" outlineLevel="0" collapsed="false">
      <c r="A174" s="11" t="n">
        <v>170</v>
      </c>
      <c r="B174" s="11" t="n">
        <f aca="false">MATCH(A174,월별!$C$6:$C$41,1)</f>
        <v>6</v>
      </c>
      <c r="C174" s="11" t="n">
        <f aca="false">L173</f>
        <v>12</v>
      </c>
      <c r="D174" s="24" t="n">
        <f aca="false">C174*가정!$B$8</f>
        <v>60</v>
      </c>
      <c r="E174" s="24" t="n">
        <f aca="false">H173+D173</f>
        <v>279.29648241206</v>
      </c>
      <c r="F174" s="11" t="n">
        <f aca="false">IF(가정!$B$11=1,MAX(0,MIN(가정!$B$16-C174,INT(E174/가정!$B$17))),0)</f>
        <v>1</v>
      </c>
      <c r="G174" s="24" t="n">
        <f aca="false">F174*가정!$B$17</f>
        <v>267.336683417085</v>
      </c>
      <c r="H174" s="24" t="n">
        <f aca="false">E174-G174</f>
        <v>11.9597989949746</v>
      </c>
      <c r="I174" s="24" t="n">
        <f aca="false">I173+D174</f>
        <v>3280</v>
      </c>
      <c r="J174" s="16" t="n">
        <f aca="false">(H174+D174)*가정!$B$10</f>
        <v>71.9597989949746</v>
      </c>
      <c r="K174" s="24" t="n">
        <f aca="false">A174*가정!$B$8*가정!$B$7</f>
        <v>850</v>
      </c>
      <c r="L174" s="11" t="n">
        <f aca="false">C174+F174</f>
        <v>13</v>
      </c>
    </row>
    <row r="175" customFormat="false" ht="15" hidden="false" customHeight="false" outlineLevel="0" collapsed="false">
      <c r="A175" s="11" t="n">
        <v>171</v>
      </c>
      <c r="B175" s="11" t="n">
        <f aca="false">MATCH(A175,월별!$C$6:$C$41,1)</f>
        <v>6</v>
      </c>
      <c r="C175" s="11" t="n">
        <f aca="false">L174</f>
        <v>13</v>
      </c>
      <c r="D175" s="24" t="n">
        <f aca="false">C175*가정!$B$8</f>
        <v>65</v>
      </c>
      <c r="E175" s="24" t="n">
        <f aca="false">H174+D174</f>
        <v>71.9597989949746</v>
      </c>
      <c r="F175" s="11" t="n">
        <f aca="false">IF(가정!$B$11=1,MAX(0,MIN(가정!$B$16-C175,INT(E175/가정!$B$17))),0)</f>
        <v>0</v>
      </c>
      <c r="G175" s="24" t="n">
        <f aca="false">F175*가정!$B$17</f>
        <v>0</v>
      </c>
      <c r="H175" s="24" t="n">
        <f aca="false">E175-G175</f>
        <v>71.9597989949746</v>
      </c>
      <c r="I175" s="24" t="n">
        <f aca="false">I174+D175</f>
        <v>3345</v>
      </c>
      <c r="J175" s="16" t="n">
        <f aca="false">(H175+D175)*가정!$B$10</f>
        <v>136.959798994975</v>
      </c>
      <c r="K175" s="24" t="n">
        <f aca="false">A175*가정!$B$8*가정!$B$7</f>
        <v>855</v>
      </c>
      <c r="L175" s="11" t="n">
        <f aca="false">C175+F175</f>
        <v>13</v>
      </c>
    </row>
    <row r="176" customFormat="false" ht="15" hidden="false" customHeight="false" outlineLevel="0" collapsed="false">
      <c r="A176" s="11" t="n">
        <v>172</v>
      </c>
      <c r="B176" s="11" t="n">
        <f aca="false">MATCH(A176,월별!$C$6:$C$41,1)</f>
        <v>6</v>
      </c>
      <c r="C176" s="11" t="n">
        <f aca="false">L175</f>
        <v>13</v>
      </c>
      <c r="D176" s="24" t="n">
        <f aca="false">C176*가정!$B$8</f>
        <v>65</v>
      </c>
      <c r="E176" s="24" t="n">
        <f aca="false">H175+D175</f>
        <v>136.959798994975</v>
      </c>
      <c r="F176" s="11" t="n">
        <f aca="false">IF(가정!$B$11=1,MAX(0,MIN(가정!$B$16-C176,INT(E176/가정!$B$17))),0)</f>
        <v>0</v>
      </c>
      <c r="G176" s="24" t="n">
        <f aca="false">F176*가정!$B$17</f>
        <v>0</v>
      </c>
      <c r="H176" s="24" t="n">
        <f aca="false">E176-G176</f>
        <v>136.959798994975</v>
      </c>
      <c r="I176" s="24" t="n">
        <f aca="false">I175+D176</f>
        <v>3410</v>
      </c>
      <c r="J176" s="16" t="n">
        <f aca="false">(H176+D176)*가정!$B$10</f>
        <v>201.959798994975</v>
      </c>
      <c r="K176" s="24" t="n">
        <f aca="false">A176*가정!$B$8*가정!$B$7</f>
        <v>860</v>
      </c>
      <c r="L176" s="11" t="n">
        <f aca="false">C176+F176</f>
        <v>13</v>
      </c>
    </row>
    <row r="177" customFormat="false" ht="15" hidden="false" customHeight="false" outlineLevel="0" collapsed="false">
      <c r="A177" s="11" t="n">
        <v>173</v>
      </c>
      <c r="B177" s="11" t="n">
        <f aca="false">MATCH(A177,월별!$C$6:$C$41,1)</f>
        <v>6</v>
      </c>
      <c r="C177" s="11" t="n">
        <f aca="false">L176</f>
        <v>13</v>
      </c>
      <c r="D177" s="24" t="n">
        <f aca="false">C177*가정!$B$8</f>
        <v>65</v>
      </c>
      <c r="E177" s="24" t="n">
        <f aca="false">H176+D176</f>
        <v>201.959798994975</v>
      </c>
      <c r="F177" s="11" t="n">
        <f aca="false">IF(가정!$B$11=1,MAX(0,MIN(가정!$B$16-C177,INT(E177/가정!$B$17))),0)</f>
        <v>0</v>
      </c>
      <c r="G177" s="24" t="n">
        <f aca="false">F177*가정!$B$17</f>
        <v>0</v>
      </c>
      <c r="H177" s="24" t="n">
        <f aca="false">E177-G177</f>
        <v>201.959798994975</v>
      </c>
      <c r="I177" s="24" t="n">
        <f aca="false">I176+D177</f>
        <v>3475</v>
      </c>
      <c r="J177" s="16" t="n">
        <f aca="false">(H177+D177)*가정!$B$10</f>
        <v>266.959798994975</v>
      </c>
      <c r="K177" s="24" t="n">
        <f aca="false">A177*가정!$B$8*가정!$B$7</f>
        <v>865</v>
      </c>
      <c r="L177" s="11" t="n">
        <f aca="false">C177+F177</f>
        <v>13</v>
      </c>
    </row>
    <row r="178" customFormat="false" ht="15" hidden="false" customHeight="false" outlineLevel="0" collapsed="false">
      <c r="A178" s="11" t="n">
        <v>174</v>
      </c>
      <c r="B178" s="11" t="n">
        <f aca="false">MATCH(A178,월별!$C$6:$C$41,1)</f>
        <v>6</v>
      </c>
      <c r="C178" s="11" t="n">
        <f aca="false">L177</f>
        <v>13</v>
      </c>
      <c r="D178" s="24" t="n">
        <f aca="false">C178*가정!$B$8</f>
        <v>65</v>
      </c>
      <c r="E178" s="24" t="n">
        <f aca="false">H177+D177</f>
        <v>266.959798994975</v>
      </c>
      <c r="F178" s="11" t="n">
        <f aca="false">IF(가정!$B$11=1,MAX(0,MIN(가정!$B$16-C178,INT(E178/가정!$B$17))),0)</f>
        <v>0</v>
      </c>
      <c r="G178" s="24" t="n">
        <f aca="false">F178*가정!$B$17</f>
        <v>0</v>
      </c>
      <c r="H178" s="24" t="n">
        <f aca="false">E178-G178</f>
        <v>266.959798994975</v>
      </c>
      <c r="I178" s="24" t="n">
        <f aca="false">I177+D178</f>
        <v>3540</v>
      </c>
      <c r="J178" s="16" t="n">
        <f aca="false">(H178+D178)*가정!$B$10</f>
        <v>331.959798994975</v>
      </c>
      <c r="K178" s="24" t="n">
        <f aca="false">A178*가정!$B$8*가정!$B$7</f>
        <v>870</v>
      </c>
      <c r="L178" s="11" t="n">
        <f aca="false">C178+F178</f>
        <v>13</v>
      </c>
    </row>
    <row r="179" customFormat="false" ht="15" hidden="false" customHeight="false" outlineLevel="0" collapsed="false">
      <c r="A179" s="11" t="n">
        <v>175</v>
      </c>
      <c r="B179" s="11" t="n">
        <f aca="false">MATCH(A179,월별!$C$6:$C$41,1)</f>
        <v>6</v>
      </c>
      <c r="C179" s="11" t="n">
        <f aca="false">L178</f>
        <v>13</v>
      </c>
      <c r="D179" s="24" t="n">
        <f aca="false">C179*가정!$B$8</f>
        <v>65</v>
      </c>
      <c r="E179" s="24" t="n">
        <f aca="false">H178+D178</f>
        <v>331.959798994975</v>
      </c>
      <c r="F179" s="11" t="n">
        <f aca="false">IF(가정!$B$11=1,MAX(0,MIN(가정!$B$16-C179,INT(E179/가정!$B$17))),0)</f>
        <v>1</v>
      </c>
      <c r="G179" s="24" t="n">
        <f aca="false">F179*가정!$B$17</f>
        <v>267.336683417085</v>
      </c>
      <c r="H179" s="24" t="n">
        <f aca="false">E179-G179</f>
        <v>64.6231155778891</v>
      </c>
      <c r="I179" s="24" t="n">
        <f aca="false">I178+D179</f>
        <v>3605</v>
      </c>
      <c r="J179" s="16" t="n">
        <f aca="false">(H179+D179)*가정!$B$10</f>
        <v>129.623115577889</v>
      </c>
      <c r="K179" s="24" t="n">
        <f aca="false">A179*가정!$B$8*가정!$B$7</f>
        <v>875</v>
      </c>
      <c r="L179" s="11" t="n">
        <f aca="false">C179+F179</f>
        <v>14</v>
      </c>
    </row>
    <row r="180" customFormat="false" ht="15" hidden="false" customHeight="false" outlineLevel="0" collapsed="false">
      <c r="A180" s="11" t="n">
        <v>176</v>
      </c>
      <c r="B180" s="11" t="n">
        <f aca="false">MATCH(A180,월별!$C$6:$C$41,1)</f>
        <v>6</v>
      </c>
      <c r="C180" s="11" t="n">
        <f aca="false">L179</f>
        <v>14</v>
      </c>
      <c r="D180" s="24" t="n">
        <f aca="false">C180*가정!$B$8</f>
        <v>70</v>
      </c>
      <c r="E180" s="24" t="n">
        <f aca="false">H179+D179</f>
        <v>129.623115577889</v>
      </c>
      <c r="F180" s="11" t="n">
        <f aca="false">IF(가정!$B$11=1,MAX(0,MIN(가정!$B$16-C180,INT(E180/가정!$B$17))),0)</f>
        <v>0</v>
      </c>
      <c r="G180" s="24" t="n">
        <f aca="false">F180*가정!$B$17</f>
        <v>0</v>
      </c>
      <c r="H180" s="24" t="n">
        <f aca="false">E180-G180</f>
        <v>129.623115577889</v>
      </c>
      <c r="I180" s="24" t="n">
        <f aca="false">I179+D180</f>
        <v>3675</v>
      </c>
      <c r="J180" s="16" t="n">
        <f aca="false">(H180+D180)*가정!$B$10</f>
        <v>199.623115577889</v>
      </c>
      <c r="K180" s="24" t="n">
        <f aca="false">A180*가정!$B$8*가정!$B$7</f>
        <v>880</v>
      </c>
      <c r="L180" s="11" t="n">
        <f aca="false">C180+F180</f>
        <v>14</v>
      </c>
    </row>
    <row r="181" customFormat="false" ht="15" hidden="false" customHeight="false" outlineLevel="0" collapsed="false">
      <c r="A181" s="11" t="n">
        <v>177</v>
      </c>
      <c r="B181" s="11" t="n">
        <f aca="false">MATCH(A181,월별!$C$6:$C$41,1)</f>
        <v>6</v>
      </c>
      <c r="C181" s="11" t="n">
        <f aca="false">L180</f>
        <v>14</v>
      </c>
      <c r="D181" s="24" t="n">
        <f aca="false">C181*가정!$B$8</f>
        <v>70</v>
      </c>
      <c r="E181" s="24" t="n">
        <f aca="false">H180+D180</f>
        <v>199.623115577889</v>
      </c>
      <c r="F181" s="11" t="n">
        <f aca="false">IF(가정!$B$11=1,MAX(0,MIN(가정!$B$16-C181,INT(E181/가정!$B$17))),0)</f>
        <v>0</v>
      </c>
      <c r="G181" s="24" t="n">
        <f aca="false">F181*가정!$B$17</f>
        <v>0</v>
      </c>
      <c r="H181" s="24" t="n">
        <f aca="false">E181-G181</f>
        <v>199.623115577889</v>
      </c>
      <c r="I181" s="24" t="n">
        <f aca="false">I180+D181</f>
        <v>3745</v>
      </c>
      <c r="J181" s="16" t="n">
        <f aca="false">(H181+D181)*가정!$B$10</f>
        <v>269.623115577889</v>
      </c>
      <c r="K181" s="24" t="n">
        <f aca="false">A181*가정!$B$8*가정!$B$7</f>
        <v>885</v>
      </c>
      <c r="L181" s="11" t="n">
        <f aca="false">C181+F181</f>
        <v>14</v>
      </c>
    </row>
    <row r="182" customFormat="false" ht="15" hidden="false" customHeight="false" outlineLevel="0" collapsed="false">
      <c r="A182" s="11" t="n">
        <v>178</v>
      </c>
      <c r="B182" s="11" t="n">
        <f aca="false">MATCH(A182,월별!$C$6:$C$41,1)</f>
        <v>6</v>
      </c>
      <c r="C182" s="11" t="n">
        <f aca="false">L181</f>
        <v>14</v>
      </c>
      <c r="D182" s="24" t="n">
        <f aca="false">C182*가정!$B$8</f>
        <v>70</v>
      </c>
      <c r="E182" s="24" t="n">
        <f aca="false">H181+D181</f>
        <v>269.623115577889</v>
      </c>
      <c r="F182" s="11" t="n">
        <f aca="false">IF(가정!$B$11=1,MAX(0,MIN(가정!$B$16-C182,INT(E182/가정!$B$17))),0)</f>
        <v>1</v>
      </c>
      <c r="G182" s="24" t="n">
        <f aca="false">F182*가정!$B$17</f>
        <v>267.336683417085</v>
      </c>
      <c r="H182" s="24" t="n">
        <f aca="false">E182-G182</f>
        <v>2.28643216080366</v>
      </c>
      <c r="I182" s="24" t="n">
        <f aca="false">I181+D182</f>
        <v>3815</v>
      </c>
      <c r="J182" s="16" t="n">
        <f aca="false">(H182+D182)*가정!$B$10</f>
        <v>72.2864321608037</v>
      </c>
      <c r="K182" s="24" t="n">
        <f aca="false">A182*가정!$B$8*가정!$B$7</f>
        <v>890</v>
      </c>
      <c r="L182" s="11" t="n">
        <f aca="false">C182+F182</f>
        <v>15</v>
      </c>
    </row>
    <row r="183" customFormat="false" ht="15" hidden="false" customHeight="false" outlineLevel="0" collapsed="false">
      <c r="A183" s="11" t="n">
        <v>179</v>
      </c>
      <c r="B183" s="11" t="n">
        <f aca="false">MATCH(A183,월별!$C$6:$C$41,1)</f>
        <v>6</v>
      </c>
      <c r="C183" s="11" t="n">
        <f aca="false">L182</f>
        <v>15</v>
      </c>
      <c r="D183" s="24" t="n">
        <f aca="false">C183*가정!$B$8</f>
        <v>75</v>
      </c>
      <c r="E183" s="24" t="n">
        <f aca="false">H182+D182</f>
        <v>72.2864321608037</v>
      </c>
      <c r="F183" s="11" t="n">
        <f aca="false">IF(가정!$B$11=1,MAX(0,MIN(가정!$B$16-C183,INT(E183/가정!$B$17))),0)</f>
        <v>0</v>
      </c>
      <c r="G183" s="24" t="n">
        <f aca="false">F183*가정!$B$17</f>
        <v>0</v>
      </c>
      <c r="H183" s="24" t="n">
        <f aca="false">E183-G183</f>
        <v>72.2864321608037</v>
      </c>
      <c r="I183" s="24" t="n">
        <f aca="false">I182+D183</f>
        <v>3890</v>
      </c>
      <c r="J183" s="16" t="n">
        <f aca="false">(H183+D183)*가정!$B$10</f>
        <v>147.286432160804</v>
      </c>
      <c r="K183" s="24" t="n">
        <f aca="false">A183*가정!$B$8*가정!$B$7</f>
        <v>895</v>
      </c>
      <c r="L183" s="11" t="n">
        <f aca="false">C183+F183</f>
        <v>15</v>
      </c>
    </row>
    <row r="184" customFormat="false" ht="15" hidden="false" customHeight="false" outlineLevel="0" collapsed="false">
      <c r="A184" s="11" t="n">
        <v>180</v>
      </c>
      <c r="B184" s="11" t="n">
        <f aca="false">MATCH(A184,월별!$C$6:$C$41,1)</f>
        <v>6</v>
      </c>
      <c r="C184" s="11" t="n">
        <f aca="false">L183</f>
        <v>15</v>
      </c>
      <c r="D184" s="24" t="n">
        <f aca="false">C184*가정!$B$8</f>
        <v>75</v>
      </c>
      <c r="E184" s="24" t="n">
        <f aca="false">H183+D183</f>
        <v>147.286432160804</v>
      </c>
      <c r="F184" s="11" t="n">
        <f aca="false">IF(가정!$B$11=1,MAX(0,MIN(가정!$B$16-C184,INT(E184/가정!$B$17))),0)</f>
        <v>0</v>
      </c>
      <c r="G184" s="24" t="n">
        <f aca="false">F184*가정!$B$17</f>
        <v>0</v>
      </c>
      <c r="H184" s="24" t="n">
        <f aca="false">E184-G184</f>
        <v>147.286432160804</v>
      </c>
      <c r="I184" s="24" t="n">
        <f aca="false">I183+D184</f>
        <v>3965</v>
      </c>
      <c r="J184" s="16" t="n">
        <f aca="false">(H184+D184)*가정!$B$10</f>
        <v>222.286432160804</v>
      </c>
      <c r="K184" s="24" t="n">
        <f aca="false">A184*가정!$B$8*가정!$B$7</f>
        <v>900</v>
      </c>
      <c r="L184" s="11" t="n">
        <f aca="false">C184+F184</f>
        <v>15</v>
      </c>
    </row>
    <row r="185" customFormat="false" ht="15" hidden="false" customHeight="false" outlineLevel="0" collapsed="false">
      <c r="A185" s="11" t="n">
        <v>181</v>
      </c>
      <c r="B185" s="11" t="n">
        <f aca="false">MATCH(A185,월별!$C$6:$C$41,1)</f>
        <v>6</v>
      </c>
      <c r="C185" s="11" t="n">
        <f aca="false">L184</f>
        <v>15</v>
      </c>
      <c r="D185" s="24" t="n">
        <f aca="false">C185*가정!$B$8</f>
        <v>75</v>
      </c>
      <c r="E185" s="24" t="n">
        <f aca="false">H184+D184</f>
        <v>222.286432160804</v>
      </c>
      <c r="F185" s="11" t="n">
        <f aca="false">IF(가정!$B$11=1,MAX(0,MIN(가정!$B$16-C185,INT(E185/가정!$B$17))),0)</f>
        <v>0</v>
      </c>
      <c r="G185" s="24" t="n">
        <f aca="false">F185*가정!$B$17</f>
        <v>0</v>
      </c>
      <c r="H185" s="24" t="n">
        <f aca="false">E185-G185</f>
        <v>222.286432160804</v>
      </c>
      <c r="I185" s="24" t="n">
        <f aca="false">I184+D185</f>
        <v>4040</v>
      </c>
      <c r="J185" s="16" t="n">
        <f aca="false">(H185+D185)*가정!$B$10</f>
        <v>297.286432160804</v>
      </c>
      <c r="K185" s="24" t="n">
        <f aca="false">A185*가정!$B$8*가정!$B$7</f>
        <v>905</v>
      </c>
      <c r="L185" s="11" t="n">
        <f aca="false">C185+F185</f>
        <v>15</v>
      </c>
    </row>
    <row r="186" customFormat="false" ht="15" hidden="false" customHeight="false" outlineLevel="0" collapsed="false">
      <c r="A186" s="11" t="n">
        <v>182</v>
      </c>
      <c r="B186" s="11" t="n">
        <f aca="false">MATCH(A186,월별!$C$6:$C$41,1)</f>
        <v>6</v>
      </c>
      <c r="C186" s="11" t="n">
        <f aca="false">L185</f>
        <v>15</v>
      </c>
      <c r="D186" s="24" t="n">
        <f aca="false">C186*가정!$B$8</f>
        <v>75</v>
      </c>
      <c r="E186" s="24" t="n">
        <f aca="false">H185+D185</f>
        <v>297.286432160804</v>
      </c>
      <c r="F186" s="11" t="n">
        <f aca="false">IF(가정!$B$11=1,MAX(0,MIN(가정!$B$16-C186,INT(E186/가정!$B$17))),0)</f>
        <v>1</v>
      </c>
      <c r="G186" s="24" t="n">
        <f aca="false">F186*가정!$B$17</f>
        <v>267.336683417085</v>
      </c>
      <c r="H186" s="24" t="n">
        <f aca="false">E186-G186</f>
        <v>29.9497487437182</v>
      </c>
      <c r="I186" s="24" t="n">
        <f aca="false">I185+D186</f>
        <v>4115</v>
      </c>
      <c r="J186" s="16" t="n">
        <f aca="false">(H186+D186)*가정!$B$10</f>
        <v>104.949748743718</v>
      </c>
      <c r="K186" s="24" t="n">
        <f aca="false">A186*가정!$B$8*가정!$B$7</f>
        <v>910</v>
      </c>
      <c r="L186" s="11" t="n">
        <f aca="false">C186+F186</f>
        <v>16</v>
      </c>
    </row>
    <row r="187" customFormat="false" ht="15" hidden="false" customHeight="false" outlineLevel="0" collapsed="false">
      <c r="A187" s="11" t="n">
        <v>183</v>
      </c>
      <c r="B187" s="11" t="n">
        <f aca="false">MATCH(A187,월별!$C$6:$C$41,1)</f>
        <v>6</v>
      </c>
      <c r="C187" s="11" t="n">
        <f aca="false">L186</f>
        <v>16</v>
      </c>
      <c r="D187" s="24" t="n">
        <f aca="false">C187*가정!$B$8</f>
        <v>80</v>
      </c>
      <c r="E187" s="24" t="n">
        <f aca="false">H186+D186</f>
        <v>104.949748743718</v>
      </c>
      <c r="F187" s="11" t="n">
        <f aca="false">IF(가정!$B$11=1,MAX(0,MIN(가정!$B$16-C187,INT(E187/가정!$B$17))),0)</f>
        <v>0</v>
      </c>
      <c r="G187" s="24" t="n">
        <f aca="false">F187*가정!$B$17</f>
        <v>0</v>
      </c>
      <c r="H187" s="24" t="n">
        <f aca="false">E187-G187</f>
        <v>104.949748743718</v>
      </c>
      <c r="I187" s="24" t="n">
        <f aca="false">I186+D187</f>
        <v>4195</v>
      </c>
      <c r="J187" s="16" t="n">
        <f aca="false">(H187+D187)*가정!$B$10</f>
        <v>184.949748743718</v>
      </c>
      <c r="K187" s="24" t="n">
        <f aca="false">A187*가정!$B$8*가정!$B$7</f>
        <v>915</v>
      </c>
      <c r="L187" s="11" t="n">
        <f aca="false">C187+F187</f>
        <v>16</v>
      </c>
    </row>
    <row r="188" customFormat="false" ht="15" hidden="false" customHeight="false" outlineLevel="0" collapsed="false">
      <c r="A188" s="11" t="n">
        <v>184</v>
      </c>
      <c r="B188" s="11" t="n">
        <f aca="false">MATCH(A188,월별!$C$6:$C$41,1)</f>
        <v>7</v>
      </c>
      <c r="C188" s="11" t="n">
        <f aca="false">L187</f>
        <v>16</v>
      </c>
      <c r="D188" s="24" t="n">
        <f aca="false">C188*가정!$B$8</f>
        <v>80</v>
      </c>
      <c r="E188" s="24" t="n">
        <f aca="false">H187+D187</f>
        <v>184.949748743718</v>
      </c>
      <c r="F188" s="11" t="n">
        <f aca="false">IF(가정!$B$11=1,MAX(0,MIN(가정!$B$16-C188,INT(E188/가정!$B$17))),0)</f>
        <v>0</v>
      </c>
      <c r="G188" s="24" t="n">
        <f aca="false">F188*가정!$B$17</f>
        <v>0</v>
      </c>
      <c r="H188" s="24" t="n">
        <f aca="false">E188-G188</f>
        <v>184.949748743718</v>
      </c>
      <c r="I188" s="24" t="n">
        <f aca="false">I187+D188</f>
        <v>4275</v>
      </c>
      <c r="J188" s="16" t="n">
        <f aca="false">(H188+D188)*가정!$B$10</f>
        <v>264.949748743718</v>
      </c>
      <c r="K188" s="24" t="n">
        <f aca="false">A188*가정!$B$8*가정!$B$7</f>
        <v>920</v>
      </c>
      <c r="L188" s="11" t="n">
        <f aca="false">C188+F188</f>
        <v>16</v>
      </c>
    </row>
    <row r="189" customFormat="false" ht="15" hidden="false" customHeight="false" outlineLevel="0" collapsed="false">
      <c r="A189" s="11" t="n">
        <v>185</v>
      </c>
      <c r="B189" s="11" t="n">
        <f aca="false">MATCH(A189,월별!$C$6:$C$41,1)</f>
        <v>7</v>
      </c>
      <c r="C189" s="11" t="n">
        <f aca="false">L188</f>
        <v>16</v>
      </c>
      <c r="D189" s="24" t="n">
        <f aca="false">C189*가정!$B$8</f>
        <v>80</v>
      </c>
      <c r="E189" s="24" t="n">
        <f aca="false">H188+D188</f>
        <v>264.949748743718</v>
      </c>
      <c r="F189" s="11" t="n">
        <f aca="false">IF(가정!$B$11=1,MAX(0,MIN(가정!$B$16-C189,INT(E189/가정!$B$17))),0)</f>
        <v>0</v>
      </c>
      <c r="G189" s="24" t="n">
        <f aca="false">F189*가정!$B$17</f>
        <v>0</v>
      </c>
      <c r="H189" s="24" t="n">
        <f aca="false">E189-G189</f>
        <v>264.949748743718</v>
      </c>
      <c r="I189" s="24" t="n">
        <f aca="false">I188+D189</f>
        <v>4355</v>
      </c>
      <c r="J189" s="16" t="n">
        <f aca="false">(H189+D189)*가정!$B$10</f>
        <v>344.949748743718</v>
      </c>
      <c r="K189" s="24" t="n">
        <f aca="false">A189*가정!$B$8*가정!$B$7</f>
        <v>925</v>
      </c>
      <c r="L189" s="11" t="n">
        <f aca="false">C189+F189</f>
        <v>16</v>
      </c>
    </row>
    <row r="190" customFormat="false" ht="15" hidden="false" customHeight="false" outlineLevel="0" collapsed="false">
      <c r="A190" s="11" t="n">
        <v>186</v>
      </c>
      <c r="B190" s="11" t="n">
        <f aca="false">MATCH(A190,월별!$C$6:$C$41,1)</f>
        <v>7</v>
      </c>
      <c r="C190" s="11" t="n">
        <f aca="false">L189</f>
        <v>16</v>
      </c>
      <c r="D190" s="24" t="n">
        <f aca="false">C190*가정!$B$8</f>
        <v>80</v>
      </c>
      <c r="E190" s="24" t="n">
        <f aca="false">H189+D189</f>
        <v>344.949748743718</v>
      </c>
      <c r="F190" s="11" t="n">
        <f aca="false">IF(가정!$B$11=1,MAX(0,MIN(가정!$B$16-C190,INT(E190/가정!$B$17))),0)</f>
        <v>1</v>
      </c>
      <c r="G190" s="24" t="n">
        <f aca="false">F190*가정!$B$17</f>
        <v>267.336683417085</v>
      </c>
      <c r="H190" s="24" t="n">
        <f aca="false">E190-G190</f>
        <v>77.6130653266328</v>
      </c>
      <c r="I190" s="24" t="n">
        <f aca="false">I189+D190</f>
        <v>4435</v>
      </c>
      <c r="J190" s="16" t="n">
        <f aca="false">(H190+D190)*가정!$B$10</f>
        <v>157.613065326633</v>
      </c>
      <c r="K190" s="24" t="n">
        <f aca="false">A190*가정!$B$8*가정!$B$7</f>
        <v>930</v>
      </c>
      <c r="L190" s="11" t="n">
        <f aca="false">C190+F190</f>
        <v>17</v>
      </c>
    </row>
    <row r="191" customFormat="false" ht="15" hidden="false" customHeight="false" outlineLevel="0" collapsed="false">
      <c r="A191" s="11" t="n">
        <v>187</v>
      </c>
      <c r="B191" s="11" t="n">
        <f aca="false">MATCH(A191,월별!$C$6:$C$41,1)</f>
        <v>7</v>
      </c>
      <c r="C191" s="11" t="n">
        <f aca="false">L190</f>
        <v>17</v>
      </c>
      <c r="D191" s="24" t="n">
        <f aca="false">C191*가정!$B$8</f>
        <v>85</v>
      </c>
      <c r="E191" s="24" t="n">
        <f aca="false">H190+D190</f>
        <v>157.613065326633</v>
      </c>
      <c r="F191" s="11" t="n">
        <f aca="false">IF(가정!$B$11=1,MAX(0,MIN(가정!$B$16-C191,INT(E191/가정!$B$17))),0)</f>
        <v>0</v>
      </c>
      <c r="G191" s="24" t="n">
        <f aca="false">F191*가정!$B$17</f>
        <v>0</v>
      </c>
      <c r="H191" s="24" t="n">
        <f aca="false">E191-G191</f>
        <v>157.613065326633</v>
      </c>
      <c r="I191" s="24" t="n">
        <f aca="false">I190+D191</f>
        <v>4520</v>
      </c>
      <c r="J191" s="16" t="n">
        <f aca="false">(H191+D191)*가정!$B$10</f>
        <v>242.613065326633</v>
      </c>
      <c r="K191" s="24" t="n">
        <f aca="false">A191*가정!$B$8*가정!$B$7</f>
        <v>935</v>
      </c>
      <c r="L191" s="11" t="n">
        <f aca="false">C191+F191</f>
        <v>17</v>
      </c>
    </row>
    <row r="192" customFormat="false" ht="15" hidden="false" customHeight="false" outlineLevel="0" collapsed="false">
      <c r="A192" s="11" t="n">
        <v>188</v>
      </c>
      <c r="B192" s="11" t="n">
        <f aca="false">MATCH(A192,월별!$C$6:$C$41,1)</f>
        <v>7</v>
      </c>
      <c r="C192" s="11" t="n">
        <f aca="false">L191</f>
        <v>17</v>
      </c>
      <c r="D192" s="24" t="n">
        <f aca="false">C192*가정!$B$8</f>
        <v>85</v>
      </c>
      <c r="E192" s="24" t="n">
        <f aca="false">H191+D191</f>
        <v>242.613065326633</v>
      </c>
      <c r="F192" s="11" t="n">
        <f aca="false">IF(가정!$B$11=1,MAX(0,MIN(가정!$B$16-C192,INT(E192/가정!$B$17))),0)</f>
        <v>0</v>
      </c>
      <c r="G192" s="24" t="n">
        <f aca="false">F192*가정!$B$17</f>
        <v>0</v>
      </c>
      <c r="H192" s="24" t="n">
        <f aca="false">E192-G192</f>
        <v>242.613065326633</v>
      </c>
      <c r="I192" s="24" t="n">
        <f aca="false">I191+D192</f>
        <v>4605</v>
      </c>
      <c r="J192" s="16" t="n">
        <f aca="false">(H192+D192)*가정!$B$10</f>
        <v>327.613065326633</v>
      </c>
      <c r="K192" s="24" t="n">
        <f aca="false">A192*가정!$B$8*가정!$B$7</f>
        <v>940</v>
      </c>
      <c r="L192" s="11" t="n">
        <f aca="false">C192+F192</f>
        <v>17</v>
      </c>
    </row>
    <row r="193" customFormat="false" ht="15" hidden="false" customHeight="false" outlineLevel="0" collapsed="false">
      <c r="A193" s="11" t="n">
        <v>189</v>
      </c>
      <c r="B193" s="11" t="n">
        <f aca="false">MATCH(A193,월별!$C$6:$C$41,1)</f>
        <v>7</v>
      </c>
      <c r="C193" s="11" t="n">
        <f aca="false">L192</f>
        <v>17</v>
      </c>
      <c r="D193" s="24" t="n">
        <f aca="false">C193*가정!$B$8</f>
        <v>85</v>
      </c>
      <c r="E193" s="24" t="n">
        <f aca="false">H192+D192</f>
        <v>327.613065326633</v>
      </c>
      <c r="F193" s="11" t="n">
        <f aca="false">IF(가정!$B$11=1,MAX(0,MIN(가정!$B$16-C193,INT(E193/가정!$B$17))),0)</f>
        <v>1</v>
      </c>
      <c r="G193" s="24" t="n">
        <f aca="false">F193*가정!$B$17</f>
        <v>267.336683417085</v>
      </c>
      <c r="H193" s="24" t="n">
        <f aca="false">E193-G193</f>
        <v>60.2763819095473</v>
      </c>
      <c r="I193" s="24" t="n">
        <f aca="false">I192+D193</f>
        <v>4690</v>
      </c>
      <c r="J193" s="16" t="n">
        <f aca="false">(H193+D193)*가정!$B$10</f>
        <v>145.276381909547</v>
      </c>
      <c r="K193" s="24" t="n">
        <f aca="false">A193*가정!$B$8*가정!$B$7</f>
        <v>945</v>
      </c>
      <c r="L193" s="11" t="n">
        <f aca="false">C193+F193</f>
        <v>18</v>
      </c>
    </row>
    <row r="194" customFormat="false" ht="15" hidden="false" customHeight="false" outlineLevel="0" collapsed="false">
      <c r="A194" s="11" t="n">
        <v>190</v>
      </c>
      <c r="B194" s="11" t="n">
        <f aca="false">MATCH(A194,월별!$C$6:$C$41,1)</f>
        <v>7</v>
      </c>
      <c r="C194" s="11" t="n">
        <f aca="false">L193</f>
        <v>18</v>
      </c>
      <c r="D194" s="24" t="n">
        <f aca="false">C194*가정!$B$8</f>
        <v>90</v>
      </c>
      <c r="E194" s="24" t="n">
        <f aca="false">H193+D193</f>
        <v>145.276381909547</v>
      </c>
      <c r="F194" s="11" t="n">
        <f aca="false">IF(가정!$B$11=1,MAX(0,MIN(가정!$B$16-C194,INT(E194/가정!$B$17))),0)</f>
        <v>0</v>
      </c>
      <c r="G194" s="24" t="n">
        <f aca="false">F194*가정!$B$17</f>
        <v>0</v>
      </c>
      <c r="H194" s="24" t="n">
        <f aca="false">E194-G194</f>
        <v>145.276381909547</v>
      </c>
      <c r="I194" s="24" t="n">
        <f aca="false">I193+D194</f>
        <v>4780</v>
      </c>
      <c r="J194" s="16" t="n">
        <f aca="false">(H194+D194)*가정!$B$10</f>
        <v>235.276381909547</v>
      </c>
      <c r="K194" s="24" t="n">
        <f aca="false">A194*가정!$B$8*가정!$B$7</f>
        <v>950</v>
      </c>
      <c r="L194" s="11" t="n">
        <f aca="false">C194+F194</f>
        <v>18</v>
      </c>
    </row>
    <row r="195" customFormat="false" ht="15" hidden="false" customHeight="false" outlineLevel="0" collapsed="false">
      <c r="A195" s="11" t="n">
        <v>191</v>
      </c>
      <c r="B195" s="11" t="n">
        <f aca="false">MATCH(A195,월별!$C$6:$C$41,1)</f>
        <v>7</v>
      </c>
      <c r="C195" s="11" t="n">
        <f aca="false">L194</f>
        <v>18</v>
      </c>
      <c r="D195" s="24" t="n">
        <f aca="false">C195*가정!$B$8</f>
        <v>90</v>
      </c>
      <c r="E195" s="24" t="n">
        <f aca="false">H194+D194</f>
        <v>235.276381909547</v>
      </c>
      <c r="F195" s="11" t="n">
        <f aca="false">IF(가정!$B$11=1,MAX(0,MIN(가정!$B$16-C195,INT(E195/가정!$B$17))),0)</f>
        <v>0</v>
      </c>
      <c r="G195" s="24" t="n">
        <f aca="false">F195*가정!$B$17</f>
        <v>0</v>
      </c>
      <c r="H195" s="24" t="n">
        <f aca="false">E195-G195</f>
        <v>235.276381909547</v>
      </c>
      <c r="I195" s="24" t="n">
        <f aca="false">I194+D195</f>
        <v>4870</v>
      </c>
      <c r="J195" s="16" t="n">
        <f aca="false">(H195+D195)*가정!$B$10</f>
        <v>325.276381909547</v>
      </c>
      <c r="K195" s="24" t="n">
        <f aca="false">A195*가정!$B$8*가정!$B$7</f>
        <v>955</v>
      </c>
      <c r="L195" s="11" t="n">
        <f aca="false">C195+F195</f>
        <v>18</v>
      </c>
    </row>
    <row r="196" customFormat="false" ht="15" hidden="false" customHeight="false" outlineLevel="0" collapsed="false">
      <c r="A196" s="11" t="n">
        <v>192</v>
      </c>
      <c r="B196" s="11" t="n">
        <f aca="false">MATCH(A196,월별!$C$6:$C$41,1)</f>
        <v>7</v>
      </c>
      <c r="C196" s="11" t="n">
        <f aca="false">L195</f>
        <v>18</v>
      </c>
      <c r="D196" s="24" t="n">
        <f aca="false">C196*가정!$B$8</f>
        <v>90</v>
      </c>
      <c r="E196" s="24" t="n">
        <f aca="false">H195+D195</f>
        <v>325.276381909547</v>
      </c>
      <c r="F196" s="11" t="n">
        <f aca="false">IF(가정!$B$11=1,MAX(0,MIN(가정!$B$16-C196,INT(E196/가정!$B$17))),0)</f>
        <v>1</v>
      </c>
      <c r="G196" s="24" t="n">
        <f aca="false">F196*가정!$B$17</f>
        <v>267.336683417085</v>
      </c>
      <c r="H196" s="24" t="n">
        <f aca="false">E196-G196</f>
        <v>57.9396984924618</v>
      </c>
      <c r="I196" s="24" t="n">
        <f aca="false">I195+D196</f>
        <v>4960</v>
      </c>
      <c r="J196" s="16" t="n">
        <f aca="false">(H196+D196)*가정!$B$10</f>
        <v>147.939698492462</v>
      </c>
      <c r="K196" s="24" t="n">
        <f aca="false">A196*가정!$B$8*가정!$B$7</f>
        <v>960</v>
      </c>
      <c r="L196" s="11" t="n">
        <f aca="false">C196+F196</f>
        <v>19</v>
      </c>
    </row>
    <row r="197" customFormat="false" ht="15" hidden="false" customHeight="false" outlineLevel="0" collapsed="false">
      <c r="A197" s="11" t="n">
        <v>193</v>
      </c>
      <c r="B197" s="11" t="n">
        <f aca="false">MATCH(A197,월별!$C$6:$C$41,1)</f>
        <v>7</v>
      </c>
      <c r="C197" s="11" t="n">
        <f aca="false">L196</f>
        <v>19</v>
      </c>
      <c r="D197" s="24" t="n">
        <f aca="false">C197*가정!$B$8</f>
        <v>95</v>
      </c>
      <c r="E197" s="24" t="n">
        <f aca="false">H196+D196</f>
        <v>147.939698492462</v>
      </c>
      <c r="F197" s="11" t="n">
        <f aca="false">IF(가정!$B$11=1,MAX(0,MIN(가정!$B$16-C197,INT(E197/가정!$B$17))),0)</f>
        <v>0</v>
      </c>
      <c r="G197" s="24" t="n">
        <f aca="false">F197*가정!$B$17</f>
        <v>0</v>
      </c>
      <c r="H197" s="24" t="n">
        <f aca="false">E197-G197</f>
        <v>147.939698492462</v>
      </c>
      <c r="I197" s="24" t="n">
        <f aca="false">I196+D197</f>
        <v>5055</v>
      </c>
      <c r="J197" s="16" t="n">
        <f aca="false">(H197+D197)*가정!$B$10</f>
        <v>242.939698492462</v>
      </c>
      <c r="K197" s="24" t="n">
        <f aca="false">A197*가정!$B$8*가정!$B$7</f>
        <v>965</v>
      </c>
      <c r="L197" s="11" t="n">
        <f aca="false">C197+F197</f>
        <v>19</v>
      </c>
    </row>
    <row r="198" customFormat="false" ht="15" hidden="false" customHeight="false" outlineLevel="0" collapsed="false">
      <c r="A198" s="11" t="n">
        <v>194</v>
      </c>
      <c r="B198" s="11" t="n">
        <f aca="false">MATCH(A198,월별!$C$6:$C$41,1)</f>
        <v>7</v>
      </c>
      <c r="C198" s="11" t="n">
        <f aca="false">L197</f>
        <v>19</v>
      </c>
      <c r="D198" s="24" t="n">
        <f aca="false">C198*가정!$B$8</f>
        <v>95</v>
      </c>
      <c r="E198" s="24" t="n">
        <f aca="false">H197+D197</f>
        <v>242.939698492462</v>
      </c>
      <c r="F198" s="11" t="n">
        <f aca="false">IF(가정!$B$11=1,MAX(0,MIN(가정!$B$16-C198,INT(E198/가정!$B$17))),0)</f>
        <v>0</v>
      </c>
      <c r="G198" s="24" t="n">
        <f aca="false">F198*가정!$B$17</f>
        <v>0</v>
      </c>
      <c r="H198" s="24" t="n">
        <f aca="false">E198-G198</f>
        <v>242.939698492462</v>
      </c>
      <c r="I198" s="24" t="n">
        <f aca="false">I197+D198</f>
        <v>5150</v>
      </c>
      <c r="J198" s="16" t="n">
        <f aca="false">(H198+D198)*가정!$B$10</f>
        <v>337.939698492462</v>
      </c>
      <c r="K198" s="24" t="n">
        <f aca="false">A198*가정!$B$8*가정!$B$7</f>
        <v>970</v>
      </c>
      <c r="L198" s="11" t="n">
        <f aca="false">C198+F198</f>
        <v>19</v>
      </c>
    </row>
    <row r="199" customFormat="false" ht="15" hidden="false" customHeight="false" outlineLevel="0" collapsed="false">
      <c r="A199" s="11" t="n">
        <v>195</v>
      </c>
      <c r="B199" s="11" t="n">
        <f aca="false">MATCH(A199,월별!$C$6:$C$41,1)</f>
        <v>7</v>
      </c>
      <c r="C199" s="11" t="n">
        <f aca="false">L198</f>
        <v>19</v>
      </c>
      <c r="D199" s="24" t="n">
        <f aca="false">C199*가정!$B$8</f>
        <v>95</v>
      </c>
      <c r="E199" s="24" t="n">
        <f aca="false">H198+D198</f>
        <v>337.939698492462</v>
      </c>
      <c r="F199" s="11" t="n">
        <f aca="false">IF(가정!$B$11=1,MAX(0,MIN(가정!$B$16-C199,INT(E199/가정!$B$17))),0)</f>
        <v>1</v>
      </c>
      <c r="G199" s="24" t="n">
        <f aca="false">F199*가정!$B$17</f>
        <v>267.336683417085</v>
      </c>
      <c r="H199" s="24" t="n">
        <f aca="false">E199-G199</f>
        <v>70.6030150753764</v>
      </c>
      <c r="I199" s="24" t="n">
        <f aca="false">I198+D199</f>
        <v>5245</v>
      </c>
      <c r="J199" s="16" t="n">
        <f aca="false">(H199+D199)*가정!$B$10</f>
        <v>165.603015075376</v>
      </c>
      <c r="K199" s="24" t="n">
        <f aca="false">A199*가정!$B$8*가정!$B$7</f>
        <v>975</v>
      </c>
      <c r="L199" s="11" t="n">
        <f aca="false">C199+F199</f>
        <v>20</v>
      </c>
    </row>
    <row r="200" customFormat="false" ht="15" hidden="false" customHeight="false" outlineLevel="0" collapsed="false">
      <c r="A200" s="11" t="n">
        <v>196</v>
      </c>
      <c r="B200" s="11" t="n">
        <f aca="false">MATCH(A200,월별!$C$6:$C$41,1)</f>
        <v>7</v>
      </c>
      <c r="C200" s="11" t="n">
        <f aca="false">L199</f>
        <v>20</v>
      </c>
      <c r="D200" s="24" t="n">
        <f aca="false">C200*가정!$B$8</f>
        <v>100</v>
      </c>
      <c r="E200" s="24" t="n">
        <f aca="false">H199+D199</f>
        <v>165.603015075376</v>
      </c>
      <c r="F200" s="11" t="n">
        <f aca="false">IF(가정!$B$11=1,MAX(0,MIN(가정!$B$16-C200,INT(E200/가정!$B$17))),0)</f>
        <v>0</v>
      </c>
      <c r="G200" s="24" t="n">
        <f aca="false">F200*가정!$B$17</f>
        <v>0</v>
      </c>
      <c r="H200" s="24" t="n">
        <f aca="false">E200-G200</f>
        <v>165.603015075376</v>
      </c>
      <c r="I200" s="24" t="n">
        <f aca="false">I199+D200</f>
        <v>5345</v>
      </c>
      <c r="J200" s="16" t="n">
        <f aca="false">(H200+D200)*가정!$B$10</f>
        <v>265.603015075376</v>
      </c>
      <c r="K200" s="24" t="n">
        <f aca="false">A200*가정!$B$8*가정!$B$7</f>
        <v>980</v>
      </c>
      <c r="L200" s="11" t="n">
        <f aca="false">C200+F200</f>
        <v>20</v>
      </c>
    </row>
    <row r="201" customFormat="false" ht="15" hidden="false" customHeight="false" outlineLevel="0" collapsed="false">
      <c r="A201" s="11" t="n">
        <v>197</v>
      </c>
      <c r="B201" s="11" t="n">
        <f aca="false">MATCH(A201,월별!$C$6:$C$41,1)</f>
        <v>7</v>
      </c>
      <c r="C201" s="11" t="n">
        <f aca="false">L200</f>
        <v>20</v>
      </c>
      <c r="D201" s="24" t="n">
        <f aca="false">C201*가정!$B$8</f>
        <v>100</v>
      </c>
      <c r="E201" s="24" t="n">
        <f aca="false">H200+D200</f>
        <v>265.603015075376</v>
      </c>
      <c r="F201" s="11" t="n">
        <f aca="false">IF(가정!$B$11=1,MAX(0,MIN(가정!$B$16-C201,INT(E201/가정!$B$17))),0)</f>
        <v>0</v>
      </c>
      <c r="G201" s="24" t="n">
        <f aca="false">F201*가정!$B$17</f>
        <v>0</v>
      </c>
      <c r="H201" s="24" t="n">
        <f aca="false">E201-G201</f>
        <v>265.603015075376</v>
      </c>
      <c r="I201" s="24" t="n">
        <f aca="false">I200+D201</f>
        <v>5445</v>
      </c>
      <c r="J201" s="16" t="n">
        <f aca="false">(H201+D201)*가정!$B$10</f>
        <v>365.603015075376</v>
      </c>
      <c r="K201" s="24" t="n">
        <f aca="false">A201*가정!$B$8*가정!$B$7</f>
        <v>985</v>
      </c>
      <c r="L201" s="11" t="n">
        <f aca="false">C201+F201</f>
        <v>20</v>
      </c>
    </row>
    <row r="202" customFormat="false" ht="15" hidden="false" customHeight="false" outlineLevel="0" collapsed="false">
      <c r="A202" s="11" t="n">
        <v>198</v>
      </c>
      <c r="B202" s="11" t="n">
        <f aca="false">MATCH(A202,월별!$C$6:$C$41,1)</f>
        <v>7</v>
      </c>
      <c r="C202" s="11" t="n">
        <f aca="false">L201</f>
        <v>20</v>
      </c>
      <c r="D202" s="24" t="n">
        <f aca="false">C202*가정!$B$8</f>
        <v>100</v>
      </c>
      <c r="E202" s="24" t="n">
        <f aca="false">H201+D201</f>
        <v>365.603015075376</v>
      </c>
      <c r="F202" s="11" t="n">
        <f aca="false">IF(가정!$B$11=1,MAX(0,MIN(가정!$B$16-C202,INT(E202/가정!$B$17))),0)</f>
        <v>1</v>
      </c>
      <c r="G202" s="24" t="n">
        <f aca="false">F202*가정!$B$17</f>
        <v>267.336683417085</v>
      </c>
      <c r="H202" s="24" t="n">
        <f aca="false">E202-G202</f>
        <v>98.2663316582909</v>
      </c>
      <c r="I202" s="24" t="n">
        <f aca="false">I201+D202</f>
        <v>5545</v>
      </c>
      <c r="J202" s="16" t="n">
        <f aca="false">(H202+D202)*가정!$B$10</f>
        <v>198.266331658291</v>
      </c>
      <c r="K202" s="24" t="n">
        <f aca="false">A202*가정!$B$8*가정!$B$7</f>
        <v>990</v>
      </c>
      <c r="L202" s="11" t="n">
        <f aca="false">C202+F202</f>
        <v>21</v>
      </c>
    </row>
    <row r="203" customFormat="false" ht="15" hidden="false" customHeight="false" outlineLevel="0" collapsed="false">
      <c r="A203" s="11" t="n">
        <v>199</v>
      </c>
      <c r="B203" s="11" t="n">
        <f aca="false">MATCH(A203,월별!$C$6:$C$41,1)</f>
        <v>7</v>
      </c>
      <c r="C203" s="11" t="n">
        <f aca="false">L202</f>
        <v>21</v>
      </c>
      <c r="D203" s="24" t="n">
        <f aca="false">C203*가정!$B$8</f>
        <v>105</v>
      </c>
      <c r="E203" s="24" t="n">
        <f aca="false">H202+D202</f>
        <v>198.266331658291</v>
      </c>
      <c r="F203" s="11" t="n">
        <f aca="false">IF(가정!$B$11=1,MAX(0,MIN(가정!$B$16-C203,INT(E203/가정!$B$17))),0)</f>
        <v>0</v>
      </c>
      <c r="G203" s="24" t="n">
        <f aca="false">F203*가정!$B$17</f>
        <v>0</v>
      </c>
      <c r="H203" s="24" t="n">
        <f aca="false">E203-G203</f>
        <v>198.266331658291</v>
      </c>
      <c r="I203" s="24" t="n">
        <f aca="false">I202+D203</f>
        <v>5650</v>
      </c>
      <c r="J203" s="16" t="n">
        <f aca="false">(H203+D203)*가정!$B$10</f>
        <v>303.266331658291</v>
      </c>
      <c r="K203" s="24" t="n">
        <f aca="false">A203*가정!$B$8*가정!$B$7</f>
        <v>995</v>
      </c>
      <c r="L203" s="11" t="n">
        <f aca="false">C203+F203</f>
        <v>21</v>
      </c>
    </row>
    <row r="204" customFormat="false" ht="15" hidden="false" customHeight="false" outlineLevel="0" collapsed="false">
      <c r="A204" s="11" t="n">
        <v>200</v>
      </c>
      <c r="B204" s="11" t="n">
        <f aca="false">MATCH(A204,월별!$C$6:$C$41,1)</f>
        <v>7</v>
      </c>
      <c r="C204" s="11" t="n">
        <f aca="false">L203</f>
        <v>21</v>
      </c>
      <c r="D204" s="24" t="n">
        <f aca="false">C204*가정!$B$8</f>
        <v>105</v>
      </c>
      <c r="E204" s="24" t="n">
        <f aca="false">H203+D203</f>
        <v>303.266331658291</v>
      </c>
      <c r="F204" s="11" t="n">
        <f aca="false">IF(가정!$B$11=1,MAX(0,MIN(가정!$B$16-C204,INT(E204/가정!$B$17))),0)</f>
        <v>1</v>
      </c>
      <c r="G204" s="24" t="n">
        <f aca="false">F204*가정!$B$17</f>
        <v>267.336683417085</v>
      </c>
      <c r="H204" s="24" t="n">
        <f aca="false">E204-G204</f>
        <v>35.9296482412055</v>
      </c>
      <c r="I204" s="24" t="n">
        <f aca="false">I203+D204</f>
        <v>5755</v>
      </c>
      <c r="J204" s="16" t="n">
        <f aca="false">(H204+D204)*가정!$B$10</f>
        <v>140.929648241205</v>
      </c>
      <c r="K204" s="24" t="n">
        <f aca="false">A204*가정!$B$8*가정!$B$7</f>
        <v>1000</v>
      </c>
      <c r="L204" s="11" t="n">
        <f aca="false">C204+F204</f>
        <v>22</v>
      </c>
    </row>
    <row r="205" customFormat="false" ht="15" hidden="false" customHeight="false" outlineLevel="0" collapsed="false">
      <c r="A205" s="11" t="n">
        <v>201</v>
      </c>
      <c r="B205" s="11" t="n">
        <f aca="false">MATCH(A205,월별!$C$6:$C$41,1)</f>
        <v>7</v>
      </c>
      <c r="C205" s="11" t="n">
        <f aca="false">L204</f>
        <v>22</v>
      </c>
      <c r="D205" s="24" t="n">
        <f aca="false">C205*가정!$B$8</f>
        <v>110</v>
      </c>
      <c r="E205" s="24" t="n">
        <f aca="false">H204+D204</f>
        <v>140.929648241205</v>
      </c>
      <c r="F205" s="11" t="n">
        <f aca="false">IF(가정!$B$11=1,MAX(0,MIN(가정!$B$16-C205,INT(E205/가정!$B$17))),0)</f>
        <v>0</v>
      </c>
      <c r="G205" s="24" t="n">
        <f aca="false">F205*가정!$B$17</f>
        <v>0</v>
      </c>
      <c r="H205" s="24" t="n">
        <f aca="false">E205-G205</f>
        <v>140.929648241205</v>
      </c>
      <c r="I205" s="24" t="n">
        <f aca="false">I204+D205</f>
        <v>5865</v>
      </c>
      <c r="J205" s="16" t="n">
        <f aca="false">(H205+D205)*가정!$B$10</f>
        <v>250.929648241205</v>
      </c>
      <c r="K205" s="24" t="n">
        <f aca="false">A205*가정!$B$8*가정!$B$7</f>
        <v>1005</v>
      </c>
      <c r="L205" s="11" t="n">
        <f aca="false">C205+F205</f>
        <v>22</v>
      </c>
    </row>
    <row r="206" customFormat="false" ht="15" hidden="false" customHeight="false" outlineLevel="0" collapsed="false">
      <c r="A206" s="11" t="n">
        <v>202</v>
      </c>
      <c r="B206" s="11" t="n">
        <f aca="false">MATCH(A206,월별!$C$6:$C$41,1)</f>
        <v>7</v>
      </c>
      <c r="C206" s="11" t="n">
        <f aca="false">L205</f>
        <v>22</v>
      </c>
      <c r="D206" s="24" t="n">
        <f aca="false">C206*가정!$B$8</f>
        <v>110</v>
      </c>
      <c r="E206" s="24" t="n">
        <f aca="false">H205+D205</f>
        <v>250.929648241205</v>
      </c>
      <c r="F206" s="11" t="n">
        <f aca="false">IF(가정!$B$11=1,MAX(0,MIN(가정!$B$16-C206,INT(E206/가정!$B$17))),0)</f>
        <v>0</v>
      </c>
      <c r="G206" s="24" t="n">
        <f aca="false">F206*가정!$B$17</f>
        <v>0</v>
      </c>
      <c r="H206" s="24" t="n">
        <f aca="false">E206-G206</f>
        <v>250.929648241205</v>
      </c>
      <c r="I206" s="24" t="n">
        <f aca="false">I205+D206</f>
        <v>5975</v>
      </c>
      <c r="J206" s="16" t="n">
        <f aca="false">(H206+D206)*가정!$B$10</f>
        <v>360.929648241206</v>
      </c>
      <c r="K206" s="24" t="n">
        <f aca="false">A206*가정!$B$8*가정!$B$7</f>
        <v>1010</v>
      </c>
      <c r="L206" s="11" t="n">
        <f aca="false">C206+F206</f>
        <v>22</v>
      </c>
    </row>
    <row r="207" customFormat="false" ht="15" hidden="false" customHeight="false" outlineLevel="0" collapsed="false">
      <c r="A207" s="11" t="n">
        <v>203</v>
      </c>
      <c r="B207" s="11" t="n">
        <f aca="false">MATCH(A207,월별!$C$6:$C$41,1)</f>
        <v>7</v>
      </c>
      <c r="C207" s="11" t="n">
        <f aca="false">L206</f>
        <v>22</v>
      </c>
      <c r="D207" s="24" t="n">
        <f aca="false">C207*가정!$B$8</f>
        <v>110</v>
      </c>
      <c r="E207" s="24" t="n">
        <f aca="false">H206+D206</f>
        <v>360.929648241206</v>
      </c>
      <c r="F207" s="11" t="n">
        <f aca="false">IF(가정!$B$11=1,MAX(0,MIN(가정!$B$16-C207,INT(E207/가정!$B$17))),0)</f>
        <v>1</v>
      </c>
      <c r="G207" s="24" t="n">
        <f aca="false">F207*가정!$B$17</f>
        <v>267.336683417085</v>
      </c>
      <c r="H207" s="24" t="n">
        <f aca="false">E207-G207</f>
        <v>93.59296482412</v>
      </c>
      <c r="I207" s="24" t="n">
        <f aca="false">I206+D207</f>
        <v>6085</v>
      </c>
      <c r="J207" s="16" t="n">
        <f aca="false">(H207+D207)*가정!$B$10</f>
        <v>203.59296482412</v>
      </c>
      <c r="K207" s="24" t="n">
        <f aca="false">A207*가정!$B$8*가정!$B$7</f>
        <v>1015</v>
      </c>
      <c r="L207" s="11" t="n">
        <f aca="false">C207+F207</f>
        <v>23</v>
      </c>
    </row>
    <row r="208" customFormat="false" ht="15" hidden="false" customHeight="false" outlineLevel="0" collapsed="false">
      <c r="A208" s="11" t="n">
        <v>204</v>
      </c>
      <c r="B208" s="11" t="n">
        <f aca="false">MATCH(A208,월별!$C$6:$C$41,1)</f>
        <v>7</v>
      </c>
      <c r="C208" s="11" t="n">
        <f aca="false">L207</f>
        <v>23</v>
      </c>
      <c r="D208" s="24" t="n">
        <f aca="false">C208*가정!$B$8</f>
        <v>115</v>
      </c>
      <c r="E208" s="24" t="n">
        <f aca="false">H207+D207</f>
        <v>203.59296482412</v>
      </c>
      <c r="F208" s="11" t="n">
        <f aca="false">IF(가정!$B$11=1,MAX(0,MIN(가정!$B$16-C208,INT(E208/가정!$B$17))),0)</f>
        <v>0</v>
      </c>
      <c r="G208" s="24" t="n">
        <f aca="false">F208*가정!$B$17</f>
        <v>0</v>
      </c>
      <c r="H208" s="24" t="n">
        <f aca="false">E208-G208</f>
        <v>203.59296482412</v>
      </c>
      <c r="I208" s="24" t="n">
        <f aca="false">I207+D208</f>
        <v>6200</v>
      </c>
      <c r="J208" s="16" t="n">
        <f aca="false">(H208+D208)*가정!$B$10</f>
        <v>318.59296482412</v>
      </c>
      <c r="K208" s="24" t="n">
        <f aca="false">A208*가정!$B$8*가정!$B$7</f>
        <v>1020</v>
      </c>
      <c r="L208" s="11" t="n">
        <f aca="false">C208+F208</f>
        <v>23</v>
      </c>
    </row>
    <row r="209" customFormat="false" ht="15" hidden="false" customHeight="false" outlineLevel="0" collapsed="false">
      <c r="A209" s="11" t="n">
        <v>205</v>
      </c>
      <c r="B209" s="11" t="n">
        <f aca="false">MATCH(A209,월별!$C$6:$C$41,1)</f>
        <v>7</v>
      </c>
      <c r="C209" s="11" t="n">
        <f aca="false">L208</f>
        <v>23</v>
      </c>
      <c r="D209" s="24" t="n">
        <f aca="false">C209*가정!$B$8</f>
        <v>115</v>
      </c>
      <c r="E209" s="24" t="n">
        <f aca="false">H208+D208</f>
        <v>318.59296482412</v>
      </c>
      <c r="F209" s="11" t="n">
        <f aca="false">IF(가정!$B$11=1,MAX(0,MIN(가정!$B$16-C209,INT(E209/가정!$B$17))),0)</f>
        <v>1</v>
      </c>
      <c r="G209" s="24" t="n">
        <f aca="false">F209*가정!$B$17</f>
        <v>267.336683417085</v>
      </c>
      <c r="H209" s="24" t="n">
        <f aca="false">E209-G209</f>
        <v>51.2562814070346</v>
      </c>
      <c r="I209" s="24" t="n">
        <f aca="false">I208+D209</f>
        <v>6315</v>
      </c>
      <c r="J209" s="16" t="n">
        <f aca="false">(H209+D209)*가정!$B$10</f>
        <v>166.256281407035</v>
      </c>
      <c r="K209" s="24" t="n">
        <f aca="false">A209*가정!$B$8*가정!$B$7</f>
        <v>1025</v>
      </c>
      <c r="L209" s="11" t="n">
        <f aca="false">C209+F209</f>
        <v>24</v>
      </c>
    </row>
    <row r="210" customFormat="false" ht="15" hidden="false" customHeight="false" outlineLevel="0" collapsed="false">
      <c r="A210" s="11" t="n">
        <v>206</v>
      </c>
      <c r="B210" s="11" t="n">
        <f aca="false">MATCH(A210,월별!$C$6:$C$41,1)</f>
        <v>7</v>
      </c>
      <c r="C210" s="11" t="n">
        <f aca="false">L209</f>
        <v>24</v>
      </c>
      <c r="D210" s="24" t="n">
        <f aca="false">C210*가정!$B$8</f>
        <v>120</v>
      </c>
      <c r="E210" s="24" t="n">
        <f aca="false">H209+D209</f>
        <v>166.256281407035</v>
      </c>
      <c r="F210" s="11" t="n">
        <f aca="false">IF(가정!$B$11=1,MAX(0,MIN(가정!$B$16-C210,INT(E210/가정!$B$17))),0)</f>
        <v>0</v>
      </c>
      <c r="G210" s="24" t="n">
        <f aca="false">F210*가정!$B$17</f>
        <v>0</v>
      </c>
      <c r="H210" s="24" t="n">
        <f aca="false">E210-G210</f>
        <v>166.256281407035</v>
      </c>
      <c r="I210" s="24" t="n">
        <f aca="false">I209+D210</f>
        <v>6435</v>
      </c>
      <c r="J210" s="16" t="n">
        <f aca="false">(H210+D210)*가정!$B$10</f>
        <v>286.256281407035</v>
      </c>
      <c r="K210" s="24" t="n">
        <f aca="false">A210*가정!$B$8*가정!$B$7</f>
        <v>1030</v>
      </c>
      <c r="L210" s="11" t="n">
        <f aca="false">C210+F210</f>
        <v>24</v>
      </c>
    </row>
    <row r="211" customFormat="false" ht="15" hidden="false" customHeight="false" outlineLevel="0" collapsed="false">
      <c r="A211" s="11" t="n">
        <v>207</v>
      </c>
      <c r="B211" s="11" t="n">
        <f aca="false">MATCH(A211,월별!$C$6:$C$41,1)</f>
        <v>7</v>
      </c>
      <c r="C211" s="11" t="n">
        <f aca="false">L210</f>
        <v>24</v>
      </c>
      <c r="D211" s="24" t="n">
        <f aca="false">C211*가정!$B$8</f>
        <v>120</v>
      </c>
      <c r="E211" s="24" t="n">
        <f aca="false">H210+D210</f>
        <v>286.256281407035</v>
      </c>
      <c r="F211" s="11" t="n">
        <f aca="false">IF(가정!$B$11=1,MAX(0,MIN(가정!$B$16-C211,INT(E211/가정!$B$17))),0)</f>
        <v>1</v>
      </c>
      <c r="G211" s="24" t="n">
        <f aca="false">F211*가정!$B$17</f>
        <v>267.336683417085</v>
      </c>
      <c r="H211" s="24" t="n">
        <f aca="false">E211-G211</f>
        <v>18.9195979899491</v>
      </c>
      <c r="I211" s="24" t="n">
        <f aca="false">I210+D211</f>
        <v>6555</v>
      </c>
      <c r="J211" s="16" t="n">
        <f aca="false">(H211+D211)*가정!$B$10</f>
        <v>138.919597989949</v>
      </c>
      <c r="K211" s="24" t="n">
        <f aca="false">A211*가정!$B$8*가정!$B$7</f>
        <v>1035</v>
      </c>
      <c r="L211" s="11" t="n">
        <f aca="false">C211+F211</f>
        <v>25</v>
      </c>
    </row>
    <row r="212" customFormat="false" ht="15" hidden="false" customHeight="false" outlineLevel="0" collapsed="false">
      <c r="A212" s="11" t="n">
        <v>208</v>
      </c>
      <c r="B212" s="11" t="n">
        <f aca="false">MATCH(A212,월별!$C$6:$C$41,1)</f>
        <v>7</v>
      </c>
      <c r="C212" s="11" t="n">
        <f aca="false">L211</f>
        <v>25</v>
      </c>
      <c r="D212" s="24" t="n">
        <f aca="false">C212*가정!$B$8</f>
        <v>125</v>
      </c>
      <c r="E212" s="24" t="n">
        <f aca="false">H211+D211</f>
        <v>138.919597989949</v>
      </c>
      <c r="F212" s="11" t="n">
        <f aca="false">IF(가정!$B$11=1,MAX(0,MIN(가정!$B$16-C212,INT(E212/가정!$B$17))),0)</f>
        <v>0</v>
      </c>
      <c r="G212" s="24" t="n">
        <f aca="false">F212*가정!$B$17</f>
        <v>0</v>
      </c>
      <c r="H212" s="24" t="n">
        <f aca="false">E212-G212</f>
        <v>138.919597989949</v>
      </c>
      <c r="I212" s="24" t="n">
        <f aca="false">I211+D212</f>
        <v>6680</v>
      </c>
      <c r="J212" s="16" t="n">
        <f aca="false">(H212+D212)*가정!$B$10</f>
        <v>263.919597989949</v>
      </c>
      <c r="K212" s="24" t="n">
        <f aca="false">A212*가정!$B$8*가정!$B$7</f>
        <v>1040</v>
      </c>
      <c r="L212" s="11" t="n">
        <f aca="false">C212+F212</f>
        <v>25</v>
      </c>
    </row>
    <row r="213" customFormat="false" ht="15" hidden="false" customHeight="false" outlineLevel="0" collapsed="false">
      <c r="A213" s="11" t="n">
        <v>209</v>
      </c>
      <c r="B213" s="11" t="n">
        <f aca="false">MATCH(A213,월별!$C$6:$C$41,1)</f>
        <v>7</v>
      </c>
      <c r="C213" s="11" t="n">
        <f aca="false">L212</f>
        <v>25</v>
      </c>
      <c r="D213" s="24" t="n">
        <f aca="false">C213*가정!$B$8</f>
        <v>125</v>
      </c>
      <c r="E213" s="24" t="n">
        <f aca="false">H212+D212</f>
        <v>263.919597989949</v>
      </c>
      <c r="F213" s="11" t="n">
        <f aca="false">IF(가정!$B$11=1,MAX(0,MIN(가정!$B$16-C213,INT(E213/가정!$B$17))),0)</f>
        <v>0</v>
      </c>
      <c r="G213" s="24" t="n">
        <f aca="false">F213*가정!$B$17</f>
        <v>0</v>
      </c>
      <c r="H213" s="24" t="n">
        <f aca="false">E213-G213</f>
        <v>263.919597989949</v>
      </c>
      <c r="I213" s="24" t="n">
        <f aca="false">I212+D213</f>
        <v>6805</v>
      </c>
      <c r="J213" s="16" t="n">
        <f aca="false">(H213+D213)*가정!$B$10</f>
        <v>388.919597989949</v>
      </c>
      <c r="K213" s="24" t="n">
        <f aca="false">A213*가정!$B$8*가정!$B$7</f>
        <v>1045</v>
      </c>
      <c r="L213" s="11" t="n">
        <f aca="false">C213+F213</f>
        <v>25</v>
      </c>
    </row>
    <row r="214" customFormat="false" ht="15" hidden="false" customHeight="false" outlineLevel="0" collapsed="false">
      <c r="A214" s="11" t="n">
        <v>210</v>
      </c>
      <c r="B214" s="11" t="n">
        <f aca="false">MATCH(A214,월별!$C$6:$C$41,1)</f>
        <v>7</v>
      </c>
      <c r="C214" s="11" t="n">
        <f aca="false">L213</f>
        <v>25</v>
      </c>
      <c r="D214" s="24" t="n">
        <f aca="false">C214*가정!$B$8</f>
        <v>125</v>
      </c>
      <c r="E214" s="24" t="n">
        <f aca="false">H213+D213</f>
        <v>388.919597989949</v>
      </c>
      <c r="F214" s="11" t="n">
        <f aca="false">IF(가정!$B$11=1,MAX(0,MIN(가정!$B$16-C214,INT(E214/가정!$B$17))),0)</f>
        <v>1</v>
      </c>
      <c r="G214" s="24" t="n">
        <f aca="false">F214*가정!$B$17</f>
        <v>267.336683417085</v>
      </c>
      <c r="H214" s="24" t="n">
        <f aca="false">E214-G214</f>
        <v>121.582914572864</v>
      </c>
      <c r="I214" s="24" t="n">
        <f aca="false">I213+D214</f>
        <v>6930</v>
      </c>
      <c r="J214" s="16" t="n">
        <f aca="false">(H214+D214)*가정!$B$10</f>
        <v>246.582914572864</v>
      </c>
      <c r="K214" s="24" t="n">
        <f aca="false">A214*가정!$B$8*가정!$B$7</f>
        <v>1050</v>
      </c>
      <c r="L214" s="11" t="n">
        <f aca="false">C214+F214</f>
        <v>26</v>
      </c>
    </row>
    <row r="215" customFormat="false" ht="15" hidden="false" customHeight="false" outlineLevel="0" collapsed="false">
      <c r="A215" s="11" t="n">
        <v>211</v>
      </c>
      <c r="B215" s="11" t="n">
        <f aca="false">MATCH(A215,월별!$C$6:$C$41,1)</f>
        <v>7</v>
      </c>
      <c r="C215" s="11" t="n">
        <f aca="false">L214</f>
        <v>26</v>
      </c>
      <c r="D215" s="24" t="n">
        <f aca="false">C215*가정!$B$8</f>
        <v>130</v>
      </c>
      <c r="E215" s="24" t="n">
        <f aca="false">H214+D214</f>
        <v>246.582914572864</v>
      </c>
      <c r="F215" s="11" t="n">
        <f aca="false">IF(가정!$B$11=1,MAX(0,MIN(가정!$B$16-C215,INT(E215/가정!$B$17))),0)</f>
        <v>0</v>
      </c>
      <c r="G215" s="24" t="n">
        <f aca="false">F215*가정!$B$17</f>
        <v>0</v>
      </c>
      <c r="H215" s="24" t="n">
        <f aca="false">E215-G215</f>
        <v>246.582914572864</v>
      </c>
      <c r="I215" s="24" t="n">
        <f aca="false">I214+D215</f>
        <v>7060</v>
      </c>
      <c r="J215" s="16" t="n">
        <f aca="false">(H215+D215)*가정!$B$10</f>
        <v>376.582914572864</v>
      </c>
      <c r="K215" s="24" t="n">
        <f aca="false">A215*가정!$B$8*가정!$B$7</f>
        <v>1055</v>
      </c>
      <c r="L215" s="11" t="n">
        <f aca="false">C215+F215</f>
        <v>26</v>
      </c>
    </row>
    <row r="216" customFormat="false" ht="15" hidden="false" customHeight="false" outlineLevel="0" collapsed="false">
      <c r="A216" s="11" t="n">
        <v>212</v>
      </c>
      <c r="B216" s="11" t="n">
        <f aca="false">MATCH(A216,월별!$C$6:$C$41,1)</f>
        <v>7</v>
      </c>
      <c r="C216" s="11" t="n">
        <f aca="false">L215</f>
        <v>26</v>
      </c>
      <c r="D216" s="24" t="n">
        <f aca="false">C216*가정!$B$8</f>
        <v>130</v>
      </c>
      <c r="E216" s="24" t="n">
        <f aca="false">H215+D215</f>
        <v>376.582914572864</v>
      </c>
      <c r="F216" s="11" t="n">
        <f aca="false">IF(가정!$B$11=1,MAX(0,MIN(가정!$B$16-C216,INT(E216/가정!$B$17))),0)</f>
        <v>1</v>
      </c>
      <c r="G216" s="24" t="n">
        <f aca="false">F216*가정!$B$17</f>
        <v>267.336683417085</v>
      </c>
      <c r="H216" s="24" t="n">
        <f aca="false">E216-G216</f>
        <v>109.246231155778</v>
      </c>
      <c r="I216" s="24" t="n">
        <f aca="false">I215+D216</f>
        <v>7190</v>
      </c>
      <c r="J216" s="16" t="n">
        <f aca="false">(H216+D216)*가정!$B$10</f>
        <v>239.246231155778</v>
      </c>
      <c r="K216" s="24" t="n">
        <f aca="false">A216*가정!$B$8*가정!$B$7</f>
        <v>1060</v>
      </c>
      <c r="L216" s="11" t="n">
        <f aca="false">C216+F216</f>
        <v>27</v>
      </c>
    </row>
    <row r="217" customFormat="false" ht="15" hidden="false" customHeight="false" outlineLevel="0" collapsed="false">
      <c r="A217" s="11" t="n">
        <v>213</v>
      </c>
      <c r="B217" s="11" t="n">
        <f aca="false">MATCH(A217,월별!$C$6:$C$41,1)</f>
        <v>7</v>
      </c>
      <c r="C217" s="11" t="n">
        <f aca="false">L216</f>
        <v>27</v>
      </c>
      <c r="D217" s="24" t="n">
        <f aca="false">C217*가정!$B$8</f>
        <v>135</v>
      </c>
      <c r="E217" s="24" t="n">
        <f aca="false">H216+D216</f>
        <v>239.246231155778</v>
      </c>
      <c r="F217" s="11" t="n">
        <f aca="false">IF(가정!$B$11=1,MAX(0,MIN(가정!$B$16-C217,INT(E217/가정!$B$17))),0)</f>
        <v>0</v>
      </c>
      <c r="G217" s="24" t="n">
        <f aca="false">F217*가정!$B$17</f>
        <v>0</v>
      </c>
      <c r="H217" s="24" t="n">
        <f aca="false">E217-G217</f>
        <v>239.246231155778</v>
      </c>
      <c r="I217" s="24" t="n">
        <f aca="false">I216+D217</f>
        <v>7325</v>
      </c>
      <c r="J217" s="16" t="n">
        <f aca="false">(H217+D217)*가정!$B$10</f>
        <v>374.246231155778</v>
      </c>
      <c r="K217" s="24" t="n">
        <f aca="false">A217*가정!$B$8*가정!$B$7</f>
        <v>1065</v>
      </c>
      <c r="L217" s="11" t="n">
        <f aca="false">C217+F217</f>
        <v>27</v>
      </c>
    </row>
    <row r="218" customFormat="false" ht="15" hidden="false" customHeight="false" outlineLevel="0" collapsed="false">
      <c r="A218" s="11" t="n">
        <v>214</v>
      </c>
      <c r="B218" s="11" t="n">
        <f aca="false">MATCH(A218,월별!$C$6:$C$41,1)</f>
        <v>8</v>
      </c>
      <c r="C218" s="11" t="n">
        <f aca="false">L217</f>
        <v>27</v>
      </c>
      <c r="D218" s="24" t="n">
        <f aca="false">C218*가정!$B$8</f>
        <v>135</v>
      </c>
      <c r="E218" s="24" t="n">
        <f aca="false">H217+D217</f>
        <v>374.246231155778</v>
      </c>
      <c r="F218" s="11" t="n">
        <f aca="false">IF(가정!$B$11=1,MAX(0,MIN(가정!$B$16-C218,INT(E218/가정!$B$17))),0)</f>
        <v>1</v>
      </c>
      <c r="G218" s="24" t="n">
        <f aca="false">F218*가정!$B$17</f>
        <v>267.336683417085</v>
      </c>
      <c r="H218" s="24" t="n">
        <f aca="false">E218-G218</f>
        <v>106.909547738693</v>
      </c>
      <c r="I218" s="24" t="n">
        <f aca="false">I217+D218</f>
        <v>7460</v>
      </c>
      <c r="J218" s="16" t="n">
        <f aca="false">(H218+D218)*가정!$B$10</f>
        <v>241.909547738693</v>
      </c>
      <c r="K218" s="24" t="n">
        <f aca="false">A218*가정!$B$8*가정!$B$7</f>
        <v>1070</v>
      </c>
      <c r="L218" s="11" t="n">
        <f aca="false">C218+F218</f>
        <v>28</v>
      </c>
    </row>
    <row r="219" customFormat="false" ht="15" hidden="false" customHeight="false" outlineLevel="0" collapsed="false">
      <c r="A219" s="11" t="n">
        <v>215</v>
      </c>
      <c r="B219" s="11" t="n">
        <f aca="false">MATCH(A219,월별!$C$6:$C$41,1)</f>
        <v>8</v>
      </c>
      <c r="C219" s="11" t="n">
        <f aca="false">L218</f>
        <v>28</v>
      </c>
      <c r="D219" s="24" t="n">
        <f aca="false">C219*가정!$B$8</f>
        <v>140</v>
      </c>
      <c r="E219" s="24" t="n">
        <f aca="false">H218+D218</f>
        <v>241.909547738693</v>
      </c>
      <c r="F219" s="11" t="n">
        <f aca="false">IF(가정!$B$11=1,MAX(0,MIN(가정!$B$16-C219,INT(E219/가정!$B$17))),0)</f>
        <v>0</v>
      </c>
      <c r="G219" s="24" t="n">
        <f aca="false">F219*가정!$B$17</f>
        <v>0</v>
      </c>
      <c r="H219" s="24" t="n">
        <f aca="false">E219-G219</f>
        <v>241.909547738693</v>
      </c>
      <c r="I219" s="24" t="n">
        <f aca="false">I218+D219</f>
        <v>7600</v>
      </c>
      <c r="J219" s="16" t="n">
        <f aca="false">(H219+D219)*가정!$B$10</f>
        <v>381.909547738693</v>
      </c>
      <c r="K219" s="24" t="n">
        <f aca="false">A219*가정!$B$8*가정!$B$7</f>
        <v>1075</v>
      </c>
      <c r="L219" s="11" t="n">
        <f aca="false">C219+F219</f>
        <v>28</v>
      </c>
    </row>
    <row r="220" customFormat="false" ht="15" hidden="false" customHeight="false" outlineLevel="0" collapsed="false">
      <c r="A220" s="11" t="n">
        <v>216</v>
      </c>
      <c r="B220" s="11" t="n">
        <f aca="false">MATCH(A220,월별!$C$6:$C$41,1)</f>
        <v>8</v>
      </c>
      <c r="C220" s="11" t="n">
        <f aca="false">L219</f>
        <v>28</v>
      </c>
      <c r="D220" s="24" t="n">
        <f aca="false">C220*가정!$B$8</f>
        <v>140</v>
      </c>
      <c r="E220" s="24" t="n">
        <f aca="false">H219+D219</f>
        <v>381.909547738693</v>
      </c>
      <c r="F220" s="11" t="n">
        <f aca="false">IF(가정!$B$11=1,MAX(0,MIN(가정!$B$16-C220,INT(E220/가정!$B$17))),0)</f>
        <v>1</v>
      </c>
      <c r="G220" s="24" t="n">
        <f aca="false">F220*가정!$B$17</f>
        <v>267.336683417085</v>
      </c>
      <c r="H220" s="24" t="n">
        <f aca="false">E220-G220</f>
        <v>114.572864321607</v>
      </c>
      <c r="I220" s="24" t="n">
        <f aca="false">I219+D220</f>
        <v>7740</v>
      </c>
      <c r="J220" s="16" t="n">
        <f aca="false">(H220+D220)*가정!$B$10</f>
        <v>254.572864321607</v>
      </c>
      <c r="K220" s="24" t="n">
        <f aca="false">A220*가정!$B$8*가정!$B$7</f>
        <v>1080</v>
      </c>
      <c r="L220" s="11" t="n">
        <f aca="false">C220+F220</f>
        <v>29</v>
      </c>
    </row>
    <row r="221" customFormat="false" ht="15" hidden="false" customHeight="false" outlineLevel="0" collapsed="false">
      <c r="A221" s="11" t="n">
        <v>217</v>
      </c>
      <c r="B221" s="11" t="n">
        <f aca="false">MATCH(A221,월별!$C$6:$C$41,1)</f>
        <v>8</v>
      </c>
      <c r="C221" s="11" t="n">
        <f aca="false">L220</f>
        <v>29</v>
      </c>
      <c r="D221" s="24" t="n">
        <f aca="false">C221*가정!$B$8</f>
        <v>145</v>
      </c>
      <c r="E221" s="24" t="n">
        <f aca="false">H220+D220</f>
        <v>254.572864321607</v>
      </c>
      <c r="F221" s="11" t="n">
        <f aca="false">IF(가정!$B$11=1,MAX(0,MIN(가정!$B$16-C221,INT(E221/가정!$B$17))),0)</f>
        <v>0</v>
      </c>
      <c r="G221" s="24" t="n">
        <f aca="false">F221*가정!$B$17</f>
        <v>0</v>
      </c>
      <c r="H221" s="24" t="n">
        <f aca="false">E221-G221</f>
        <v>254.572864321607</v>
      </c>
      <c r="I221" s="24" t="n">
        <f aca="false">I220+D221</f>
        <v>7885</v>
      </c>
      <c r="J221" s="16" t="n">
        <f aca="false">(H221+D221)*가정!$B$10</f>
        <v>399.572864321607</v>
      </c>
      <c r="K221" s="24" t="n">
        <f aca="false">A221*가정!$B$8*가정!$B$7</f>
        <v>1085</v>
      </c>
      <c r="L221" s="11" t="n">
        <f aca="false">C221+F221</f>
        <v>29</v>
      </c>
    </row>
    <row r="222" customFormat="false" ht="15" hidden="false" customHeight="false" outlineLevel="0" collapsed="false">
      <c r="A222" s="11" t="n">
        <v>218</v>
      </c>
      <c r="B222" s="11" t="n">
        <f aca="false">MATCH(A222,월별!$C$6:$C$41,1)</f>
        <v>8</v>
      </c>
      <c r="C222" s="11" t="n">
        <f aca="false">L221</f>
        <v>29</v>
      </c>
      <c r="D222" s="24" t="n">
        <f aca="false">C222*가정!$B$8</f>
        <v>145</v>
      </c>
      <c r="E222" s="24" t="n">
        <f aca="false">H221+D221</f>
        <v>399.572864321607</v>
      </c>
      <c r="F222" s="11" t="n">
        <f aca="false">IF(가정!$B$11=1,MAX(0,MIN(가정!$B$16-C222,INT(E222/가정!$B$17))),0)</f>
        <v>1</v>
      </c>
      <c r="G222" s="24" t="n">
        <f aca="false">F222*가정!$B$17</f>
        <v>267.336683417085</v>
      </c>
      <c r="H222" s="24" t="n">
        <f aca="false">E222-G222</f>
        <v>132.236180904522</v>
      </c>
      <c r="I222" s="24" t="n">
        <f aca="false">I221+D222</f>
        <v>8030</v>
      </c>
      <c r="J222" s="16" t="n">
        <f aca="false">(H222+D222)*가정!$B$10</f>
        <v>277.236180904522</v>
      </c>
      <c r="K222" s="24" t="n">
        <f aca="false">A222*가정!$B$8*가정!$B$7</f>
        <v>1090</v>
      </c>
      <c r="L222" s="11" t="n">
        <f aca="false">C222+F222</f>
        <v>30</v>
      </c>
    </row>
    <row r="223" customFormat="false" ht="15" hidden="false" customHeight="false" outlineLevel="0" collapsed="false">
      <c r="A223" s="11" t="n">
        <v>219</v>
      </c>
      <c r="B223" s="11" t="n">
        <f aca="false">MATCH(A223,월별!$C$6:$C$41,1)</f>
        <v>8</v>
      </c>
      <c r="C223" s="11" t="n">
        <f aca="false">L222</f>
        <v>30</v>
      </c>
      <c r="D223" s="24" t="n">
        <f aca="false">C223*가정!$B$8</f>
        <v>150</v>
      </c>
      <c r="E223" s="24" t="n">
        <f aca="false">H222+D222</f>
        <v>277.236180904522</v>
      </c>
      <c r="F223" s="11" t="n">
        <f aca="false">IF(가정!$B$11=1,MAX(0,MIN(가정!$B$16-C223,INT(E223/가정!$B$17))),0)</f>
        <v>1</v>
      </c>
      <c r="G223" s="24" t="n">
        <f aca="false">F223*가정!$B$17</f>
        <v>267.336683417085</v>
      </c>
      <c r="H223" s="24" t="n">
        <f aca="false">E223-G223</f>
        <v>9.89949748743641</v>
      </c>
      <c r="I223" s="24" t="n">
        <f aca="false">I222+D223</f>
        <v>8180</v>
      </c>
      <c r="J223" s="16" t="n">
        <f aca="false">(H223+D223)*가정!$B$10</f>
        <v>159.899497487436</v>
      </c>
      <c r="K223" s="24" t="n">
        <f aca="false">A223*가정!$B$8*가정!$B$7</f>
        <v>1095</v>
      </c>
      <c r="L223" s="11" t="n">
        <f aca="false">C223+F223</f>
        <v>31</v>
      </c>
    </row>
    <row r="224" customFormat="false" ht="15" hidden="false" customHeight="false" outlineLevel="0" collapsed="false">
      <c r="A224" s="11" t="n">
        <v>220</v>
      </c>
      <c r="B224" s="11" t="n">
        <f aca="false">MATCH(A224,월별!$C$6:$C$41,1)</f>
        <v>8</v>
      </c>
      <c r="C224" s="11" t="n">
        <f aca="false">L223</f>
        <v>31</v>
      </c>
      <c r="D224" s="24" t="n">
        <f aca="false">C224*가정!$B$8</f>
        <v>155</v>
      </c>
      <c r="E224" s="24" t="n">
        <f aca="false">H223+D223</f>
        <v>159.899497487436</v>
      </c>
      <c r="F224" s="11" t="n">
        <f aca="false">IF(가정!$B$11=1,MAX(0,MIN(가정!$B$16-C224,INT(E224/가정!$B$17))),0)</f>
        <v>0</v>
      </c>
      <c r="G224" s="24" t="n">
        <f aca="false">F224*가정!$B$17</f>
        <v>0</v>
      </c>
      <c r="H224" s="24" t="n">
        <f aca="false">E224-G224</f>
        <v>159.899497487436</v>
      </c>
      <c r="I224" s="24" t="n">
        <f aca="false">I223+D224</f>
        <v>8335</v>
      </c>
      <c r="J224" s="16" t="n">
        <f aca="false">(H224+D224)*가정!$B$10</f>
        <v>314.899497487436</v>
      </c>
      <c r="K224" s="24" t="n">
        <f aca="false">A224*가정!$B$8*가정!$B$7</f>
        <v>1100</v>
      </c>
      <c r="L224" s="11" t="n">
        <f aca="false">C224+F224</f>
        <v>31</v>
      </c>
    </row>
    <row r="225" customFormat="false" ht="15" hidden="false" customHeight="false" outlineLevel="0" collapsed="false">
      <c r="A225" s="11" t="n">
        <v>221</v>
      </c>
      <c r="B225" s="11" t="n">
        <f aca="false">MATCH(A225,월별!$C$6:$C$41,1)</f>
        <v>8</v>
      </c>
      <c r="C225" s="11" t="n">
        <f aca="false">L224</f>
        <v>31</v>
      </c>
      <c r="D225" s="24" t="n">
        <f aca="false">C225*가정!$B$8</f>
        <v>155</v>
      </c>
      <c r="E225" s="24" t="n">
        <f aca="false">H224+D224</f>
        <v>314.899497487436</v>
      </c>
      <c r="F225" s="11" t="n">
        <f aca="false">IF(가정!$B$11=1,MAX(0,MIN(가정!$B$16-C225,INT(E225/가정!$B$17))),0)</f>
        <v>1</v>
      </c>
      <c r="G225" s="24" t="n">
        <f aca="false">F225*가정!$B$17</f>
        <v>267.336683417085</v>
      </c>
      <c r="H225" s="24" t="n">
        <f aca="false">E225-G225</f>
        <v>47.562814070351</v>
      </c>
      <c r="I225" s="24" t="n">
        <f aca="false">I224+D225</f>
        <v>8490</v>
      </c>
      <c r="J225" s="16" t="n">
        <f aca="false">(H225+D225)*가정!$B$10</f>
        <v>202.562814070351</v>
      </c>
      <c r="K225" s="24" t="n">
        <f aca="false">A225*가정!$B$8*가정!$B$7</f>
        <v>1105</v>
      </c>
      <c r="L225" s="11" t="n">
        <f aca="false">C225+F225</f>
        <v>32</v>
      </c>
    </row>
    <row r="226" customFormat="false" ht="15" hidden="false" customHeight="false" outlineLevel="0" collapsed="false">
      <c r="A226" s="11" t="n">
        <v>222</v>
      </c>
      <c r="B226" s="11" t="n">
        <f aca="false">MATCH(A226,월별!$C$6:$C$41,1)</f>
        <v>8</v>
      </c>
      <c r="C226" s="11" t="n">
        <f aca="false">L225</f>
        <v>32</v>
      </c>
      <c r="D226" s="24" t="n">
        <f aca="false">C226*가정!$B$8</f>
        <v>160</v>
      </c>
      <c r="E226" s="24" t="n">
        <f aca="false">H225+D225</f>
        <v>202.562814070351</v>
      </c>
      <c r="F226" s="11" t="n">
        <f aca="false">IF(가정!$B$11=1,MAX(0,MIN(가정!$B$16-C226,INT(E226/가정!$B$17))),0)</f>
        <v>0</v>
      </c>
      <c r="G226" s="24" t="n">
        <f aca="false">F226*가정!$B$17</f>
        <v>0</v>
      </c>
      <c r="H226" s="24" t="n">
        <f aca="false">E226-G226</f>
        <v>202.562814070351</v>
      </c>
      <c r="I226" s="24" t="n">
        <f aca="false">I225+D226</f>
        <v>8650</v>
      </c>
      <c r="J226" s="16" t="n">
        <f aca="false">(H226+D226)*가정!$B$10</f>
        <v>362.562814070351</v>
      </c>
      <c r="K226" s="24" t="n">
        <f aca="false">A226*가정!$B$8*가정!$B$7</f>
        <v>1110</v>
      </c>
      <c r="L226" s="11" t="n">
        <f aca="false">C226+F226</f>
        <v>32</v>
      </c>
    </row>
    <row r="227" customFormat="false" ht="15" hidden="false" customHeight="false" outlineLevel="0" collapsed="false">
      <c r="A227" s="11" t="n">
        <v>223</v>
      </c>
      <c r="B227" s="11" t="n">
        <f aca="false">MATCH(A227,월별!$C$6:$C$41,1)</f>
        <v>8</v>
      </c>
      <c r="C227" s="11" t="n">
        <f aca="false">L226</f>
        <v>32</v>
      </c>
      <c r="D227" s="24" t="n">
        <f aca="false">C227*가정!$B$8</f>
        <v>160</v>
      </c>
      <c r="E227" s="24" t="n">
        <f aca="false">H226+D226</f>
        <v>362.562814070351</v>
      </c>
      <c r="F227" s="11" t="n">
        <f aca="false">IF(가정!$B$11=1,MAX(0,MIN(가정!$B$16-C227,INT(E227/가정!$B$17))),0)</f>
        <v>1</v>
      </c>
      <c r="G227" s="24" t="n">
        <f aca="false">F227*가정!$B$17</f>
        <v>267.336683417085</v>
      </c>
      <c r="H227" s="24" t="n">
        <f aca="false">E227-G227</f>
        <v>95.2261306532655</v>
      </c>
      <c r="I227" s="24" t="n">
        <f aca="false">I226+D227</f>
        <v>8810</v>
      </c>
      <c r="J227" s="16" t="n">
        <f aca="false">(H227+D227)*가정!$B$10</f>
        <v>255.226130653266</v>
      </c>
      <c r="K227" s="24" t="n">
        <f aca="false">A227*가정!$B$8*가정!$B$7</f>
        <v>1115</v>
      </c>
      <c r="L227" s="11" t="n">
        <f aca="false">C227+F227</f>
        <v>33</v>
      </c>
    </row>
    <row r="228" customFormat="false" ht="15" hidden="false" customHeight="false" outlineLevel="0" collapsed="false">
      <c r="A228" s="11" t="n">
        <v>224</v>
      </c>
      <c r="B228" s="11" t="n">
        <f aca="false">MATCH(A228,월별!$C$6:$C$41,1)</f>
        <v>8</v>
      </c>
      <c r="C228" s="11" t="n">
        <f aca="false">L227</f>
        <v>33</v>
      </c>
      <c r="D228" s="24" t="n">
        <f aca="false">C228*가정!$B$8</f>
        <v>165</v>
      </c>
      <c r="E228" s="24" t="n">
        <f aca="false">H227+D227</f>
        <v>255.226130653266</v>
      </c>
      <c r="F228" s="11" t="n">
        <f aca="false">IF(가정!$B$11=1,MAX(0,MIN(가정!$B$16-C228,INT(E228/가정!$B$17))),0)</f>
        <v>0</v>
      </c>
      <c r="G228" s="24" t="n">
        <f aca="false">F228*가정!$B$17</f>
        <v>0</v>
      </c>
      <c r="H228" s="24" t="n">
        <f aca="false">E228-G228</f>
        <v>255.226130653266</v>
      </c>
      <c r="I228" s="24" t="n">
        <f aca="false">I227+D228</f>
        <v>8975</v>
      </c>
      <c r="J228" s="16" t="n">
        <f aca="false">(H228+D228)*가정!$B$10</f>
        <v>420.226130653266</v>
      </c>
      <c r="K228" s="24" t="n">
        <f aca="false">A228*가정!$B$8*가정!$B$7</f>
        <v>1120</v>
      </c>
      <c r="L228" s="11" t="n">
        <f aca="false">C228+F228</f>
        <v>33</v>
      </c>
    </row>
    <row r="229" customFormat="false" ht="15" hidden="false" customHeight="false" outlineLevel="0" collapsed="false">
      <c r="A229" s="11" t="n">
        <v>225</v>
      </c>
      <c r="B229" s="11" t="n">
        <f aca="false">MATCH(A229,월별!$C$6:$C$41,1)</f>
        <v>8</v>
      </c>
      <c r="C229" s="11" t="n">
        <f aca="false">L228</f>
        <v>33</v>
      </c>
      <c r="D229" s="24" t="n">
        <f aca="false">C229*가정!$B$8</f>
        <v>165</v>
      </c>
      <c r="E229" s="24" t="n">
        <f aca="false">H228+D228</f>
        <v>420.226130653266</v>
      </c>
      <c r="F229" s="11" t="n">
        <f aca="false">IF(가정!$B$11=1,MAX(0,MIN(가정!$B$16-C229,INT(E229/가정!$B$17))),0)</f>
        <v>1</v>
      </c>
      <c r="G229" s="24" t="n">
        <f aca="false">F229*가정!$B$17</f>
        <v>267.336683417085</v>
      </c>
      <c r="H229" s="24" t="n">
        <f aca="false">E229-G229</f>
        <v>152.88944723618</v>
      </c>
      <c r="I229" s="24" t="n">
        <f aca="false">I228+D229</f>
        <v>9140</v>
      </c>
      <c r="J229" s="16" t="n">
        <f aca="false">(H229+D229)*가정!$B$10</f>
        <v>317.88944723618</v>
      </c>
      <c r="K229" s="24" t="n">
        <f aca="false">A229*가정!$B$8*가정!$B$7</f>
        <v>1125</v>
      </c>
      <c r="L229" s="11" t="n">
        <f aca="false">C229+F229</f>
        <v>34</v>
      </c>
    </row>
    <row r="230" customFormat="false" ht="15" hidden="false" customHeight="false" outlineLevel="0" collapsed="false">
      <c r="A230" s="11" t="n">
        <v>226</v>
      </c>
      <c r="B230" s="11" t="n">
        <f aca="false">MATCH(A230,월별!$C$6:$C$41,1)</f>
        <v>8</v>
      </c>
      <c r="C230" s="11" t="n">
        <f aca="false">L229</f>
        <v>34</v>
      </c>
      <c r="D230" s="24" t="n">
        <f aca="false">C230*가정!$B$8</f>
        <v>170</v>
      </c>
      <c r="E230" s="24" t="n">
        <f aca="false">H229+D229</f>
        <v>317.88944723618</v>
      </c>
      <c r="F230" s="11" t="n">
        <f aca="false">IF(가정!$B$11=1,MAX(0,MIN(가정!$B$16-C230,INT(E230/가정!$B$17))),0)</f>
        <v>1</v>
      </c>
      <c r="G230" s="24" t="n">
        <f aca="false">F230*가정!$B$17</f>
        <v>267.336683417085</v>
      </c>
      <c r="H230" s="24" t="n">
        <f aca="false">E230-G230</f>
        <v>50.5527638190946</v>
      </c>
      <c r="I230" s="24" t="n">
        <f aca="false">I229+D230</f>
        <v>9310</v>
      </c>
      <c r="J230" s="16" t="n">
        <f aca="false">(H230+D230)*가정!$B$10</f>
        <v>220.552763819095</v>
      </c>
      <c r="K230" s="24" t="n">
        <f aca="false">A230*가정!$B$8*가정!$B$7</f>
        <v>1130</v>
      </c>
      <c r="L230" s="11" t="n">
        <f aca="false">C230+F230</f>
        <v>35</v>
      </c>
    </row>
    <row r="231" customFormat="false" ht="15" hidden="false" customHeight="false" outlineLevel="0" collapsed="false">
      <c r="A231" s="11" t="n">
        <v>227</v>
      </c>
      <c r="B231" s="11" t="n">
        <f aca="false">MATCH(A231,월별!$C$6:$C$41,1)</f>
        <v>8</v>
      </c>
      <c r="C231" s="11" t="n">
        <f aca="false">L230</f>
        <v>35</v>
      </c>
      <c r="D231" s="24" t="n">
        <f aca="false">C231*가정!$B$8</f>
        <v>175</v>
      </c>
      <c r="E231" s="24" t="n">
        <f aca="false">H230+D230</f>
        <v>220.552763819095</v>
      </c>
      <c r="F231" s="11" t="n">
        <f aca="false">IF(가정!$B$11=1,MAX(0,MIN(가정!$B$16-C231,INT(E231/가정!$B$17))),0)</f>
        <v>0</v>
      </c>
      <c r="G231" s="24" t="n">
        <f aca="false">F231*가정!$B$17</f>
        <v>0</v>
      </c>
      <c r="H231" s="24" t="n">
        <f aca="false">E231-G231</f>
        <v>220.552763819095</v>
      </c>
      <c r="I231" s="24" t="n">
        <f aca="false">I230+D231</f>
        <v>9485</v>
      </c>
      <c r="J231" s="16" t="n">
        <f aca="false">(H231+D231)*가정!$B$10</f>
        <v>395.552763819095</v>
      </c>
      <c r="K231" s="24" t="n">
        <f aca="false">A231*가정!$B$8*가정!$B$7</f>
        <v>1135</v>
      </c>
      <c r="L231" s="11" t="n">
        <f aca="false">C231+F231</f>
        <v>35</v>
      </c>
    </row>
    <row r="232" customFormat="false" ht="15" hidden="false" customHeight="false" outlineLevel="0" collapsed="false">
      <c r="A232" s="11" t="n">
        <v>228</v>
      </c>
      <c r="B232" s="11" t="n">
        <f aca="false">MATCH(A232,월별!$C$6:$C$41,1)</f>
        <v>8</v>
      </c>
      <c r="C232" s="11" t="n">
        <f aca="false">L231</f>
        <v>35</v>
      </c>
      <c r="D232" s="24" t="n">
        <f aca="false">C232*가정!$B$8</f>
        <v>175</v>
      </c>
      <c r="E232" s="24" t="n">
        <f aca="false">H231+D231</f>
        <v>395.552763819095</v>
      </c>
      <c r="F232" s="11" t="n">
        <f aca="false">IF(가정!$B$11=1,MAX(0,MIN(가정!$B$16-C232,INT(E232/가정!$B$17))),0)</f>
        <v>1</v>
      </c>
      <c r="G232" s="24" t="n">
        <f aca="false">F232*가정!$B$17</f>
        <v>267.336683417085</v>
      </c>
      <c r="H232" s="24" t="n">
        <f aca="false">E232-G232</f>
        <v>128.216080402009</v>
      </c>
      <c r="I232" s="24" t="n">
        <f aca="false">I231+D232</f>
        <v>9660</v>
      </c>
      <c r="J232" s="16" t="n">
        <f aca="false">(H232+D232)*가정!$B$10</f>
        <v>303.216080402009</v>
      </c>
      <c r="K232" s="24" t="n">
        <f aca="false">A232*가정!$B$8*가정!$B$7</f>
        <v>1140</v>
      </c>
      <c r="L232" s="11" t="n">
        <f aca="false">C232+F232</f>
        <v>36</v>
      </c>
    </row>
    <row r="233" customFormat="false" ht="15" hidden="false" customHeight="false" outlineLevel="0" collapsed="false">
      <c r="A233" s="11" t="n">
        <v>229</v>
      </c>
      <c r="B233" s="11" t="n">
        <f aca="false">MATCH(A233,월별!$C$6:$C$41,1)</f>
        <v>8</v>
      </c>
      <c r="C233" s="11" t="n">
        <f aca="false">L232</f>
        <v>36</v>
      </c>
      <c r="D233" s="24" t="n">
        <f aca="false">C233*가정!$B$8</f>
        <v>180</v>
      </c>
      <c r="E233" s="24" t="n">
        <f aca="false">H232+D232</f>
        <v>303.216080402009</v>
      </c>
      <c r="F233" s="11" t="n">
        <f aca="false">IF(가정!$B$11=1,MAX(0,MIN(가정!$B$16-C233,INT(E233/가정!$B$17))),0)</f>
        <v>1</v>
      </c>
      <c r="G233" s="24" t="n">
        <f aca="false">F233*가정!$B$17</f>
        <v>267.336683417085</v>
      </c>
      <c r="H233" s="24" t="n">
        <f aca="false">E233-G233</f>
        <v>35.8793969849237</v>
      </c>
      <c r="I233" s="24" t="n">
        <f aca="false">I232+D233</f>
        <v>9840</v>
      </c>
      <c r="J233" s="16" t="n">
        <f aca="false">(H233+D233)*가정!$B$10</f>
        <v>215.879396984924</v>
      </c>
      <c r="K233" s="24" t="n">
        <f aca="false">A233*가정!$B$8*가정!$B$7</f>
        <v>1145</v>
      </c>
      <c r="L233" s="11" t="n">
        <f aca="false">C233+F233</f>
        <v>37</v>
      </c>
    </row>
    <row r="234" customFormat="false" ht="15" hidden="false" customHeight="false" outlineLevel="0" collapsed="false">
      <c r="A234" s="11" t="n">
        <v>230</v>
      </c>
      <c r="B234" s="11" t="n">
        <f aca="false">MATCH(A234,월별!$C$6:$C$41,1)</f>
        <v>8</v>
      </c>
      <c r="C234" s="11" t="n">
        <f aca="false">L233</f>
        <v>37</v>
      </c>
      <c r="D234" s="24" t="n">
        <f aca="false">C234*가정!$B$8</f>
        <v>185</v>
      </c>
      <c r="E234" s="24" t="n">
        <f aca="false">H233+D233</f>
        <v>215.879396984924</v>
      </c>
      <c r="F234" s="11" t="n">
        <f aca="false">IF(가정!$B$11=1,MAX(0,MIN(가정!$B$16-C234,INT(E234/가정!$B$17))),0)</f>
        <v>0</v>
      </c>
      <c r="G234" s="24" t="n">
        <f aca="false">F234*가정!$B$17</f>
        <v>0</v>
      </c>
      <c r="H234" s="24" t="n">
        <f aca="false">E234-G234</f>
        <v>215.879396984924</v>
      </c>
      <c r="I234" s="24" t="n">
        <f aca="false">I233+D234</f>
        <v>10025</v>
      </c>
      <c r="J234" s="16" t="n">
        <f aca="false">(H234+D234)*가정!$B$10</f>
        <v>400.879396984924</v>
      </c>
      <c r="K234" s="24" t="n">
        <f aca="false">A234*가정!$B$8*가정!$B$7</f>
        <v>1150</v>
      </c>
      <c r="L234" s="11" t="n">
        <f aca="false">C234+F234</f>
        <v>37</v>
      </c>
    </row>
    <row r="235" customFormat="false" ht="15" hidden="false" customHeight="false" outlineLevel="0" collapsed="false">
      <c r="A235" s="11" t="n">
        <v>231</v>
      </c>
      <c r="B235" s="11" t="n">
        <f aca="false">MATCH(A235,월별!$C$6:$C$41,1)</f>
        <v>8</v>
      </c>
      <c r="C235" s="11" t="n">
        <f aca="false">L234</f>
        <v>37</v>
      </c>
      <c r="D235" s="24" t="n">
        <f aca="false">C235*가정!$B$8</f>
        <v>185</v>
      </c>
      <c r="E235" s="24" t="n">
        <f aca="false">H234+D234</f>
        <v>400.879396984924</v>
      </c>
      <c r="F235" s="11" t="n">
        <f aca="false">IF(가정!$B$11=1,MAX(0,MIN(가정!$B$16-C235,INT(E235/가정!$B$17))),0)</f>
        <v>1</v>
      </c>
      <c r="G235" s="24" t="n">
        <f aca="false">F235*가정!$B$17</f>
        <v>267.336683417085</v>
      </c>
      <c r="H235" s="24" t="n">
        <f aca="false">E235-G235</f>
        <v>133.542713567838</v>
      </c>
      <c r="I235" s="24" t="n">
        <f aca="false">I234+D235</f>
        <v>10210</v>
      </c>
      <c r="J235" s="16" t="n">
        <f aca="false">(H235+D235)*가정!$B$10</f>
        <v>318.542713567838</v>
      </c>
      <c r="K235" s="24" t="n">
        <f aca="false">A235*가정!$B$8*가정!$B$7</f>
        <v>1155</v>
      </c>
      <c r="L235" s="11" t="n">
        <f aca="false">C235+F235</f>
        <v>38</v>
      </c>
    </row>
    <row r="236" customFormat="false" ht="15" hidden="false" customHeight="false" outlineLevel="0" collapsed="false">
      <c r="A236" s="11" t="n">
        <v>232</v>
      </c>
      <c r="B236" s="11" t="n">
        <f aca="false">MATCH(A236,월별!$C$6:$C$41,1)</f>
        <v>8</v>
      </c>
      <c r="C236" s="11" t="n">
        <f aca="false">L235</f>
        <v>38</v>
      </c>
      <c r="D236" s="24" t="n">
        <f aca="false">C236*가정!$B$8</f>
        <v>190</v>
      </c>
      <c r="E236" s="24" t="n">
        <f aca="false">H235+D235</f>
        <v>318.542713567838</v>
      </c>
      <c r="F236" s="11" t="n">
        <f aca="false">IF(가정!$B$11=1,MAX(0,MIN(가정!$B$16-C236,INT(E236/가정!$B$17))),0)</f>
        <v>1</v>
      </c>
      <c r="G236" s="24" t="n">
        <f aca="false">F236*가정!$B$17</f>
        <v>267.336683417085</v>
      </c>
      <c r="H236" s="24" t="n">
        <f aca="false">E236-G236</f>
        <v>51.2060301507528</v>
      </c>
      <c r="I236" s="24" t="n">
        <f aca="false">I235+D236</f>
        <v>10400</v>
      </c>
      <c r="J236" s="16" t="n">
        <f aca="false">(H236+D236)*가정!$B$10</f>
        <v>241.206030150753</v>
      </c>
      <c r="K236" s="24" t="n">
        <f aca="false">A236*가정!$B$8*가정!$B$7</f>
        <v>1160</v>
      </c>
      <c r="L236" s="11" t="n">
        <f aca="false">C236+F236</f>
        <v>39</v>
      </c>
    </row>
    <row r="237" customFormat="false" ht="15" hidden="false" customHeight="false" outlineLevel="0" collapsed="false">
      <c r="A237" s="11" t="n">
        <v>233</v>
      </c>
      <c r="B237" s="11" t="n">
        <f aca="false">MATCH(A237,월별!$C$6:$C$41,1)</f>
        <v>8</v>
      </c>
      <c r="C237" s="11" t="n">
        <f aca="false">L236</f>
        <v>39</v>
      </c>
      <c r="D237" s="24" t="n">
        <f aca="false">C237*가정!$B$8</f>
        <v>195</v>
      </c>
      <c r="E237" s="24" t="n">
        <f aca="false">H236+D236</f>
        <v>241.206030150753</v>
      </c>
      <c r="F237" s="11" t="n">
        <f aca="false">IF(가정!$B$11=1,MAX(0,MIN(가정!$B$16-C237,INT(E237/가정!$B$17))),0)</f>
        <v>0</v>
      </c>
      <c r="G237" s="24" t="n">
        <f aca="false">F237*가정!$B$17</f>
        <v>0</v>
      </c>
      <c r="H237" s="24" t="n">
        <f aca="false">E237-G237</f>
        <v>241.206030150753</v>
      </c>
      <c r="I237" s="24" t="n">
        <f aca="false">I236+D237</f>
        <v>10595</v>
      </c>
      <c r="J237" s="16" t="n">
        <f aca="false">(H237+D237)*가정!$B$10</f>
        <v>436.206030150753</v>
      </c>
      <c r="K237" s="24" t="n">
        <f aca="false">A237*가정!$B$8*가정!$B$7</f>
        <v>1165</v>
      </c>
      <c r="L237" s="11" t="n">
        <f aca="false">C237+F237</f>
        <v>39</v>
      </c>
    </row>
    <row r="238" customFormat="false" ht="15" hidden="false" customHeight="false" outlineLevel="0" collapsed="false">
      <c r="A238" s="11" t="n">
        <v>234</v>
      </c>
      <c r="B238" s="11" t="n">
        <f aca="false">MATCH(A238,월별!$C$6:$C$41,1)</f>
        <v>8</v>
      </c>
      <c r="C238" s="11" t="n">
        <f aca="false">L237</f>
        <v>39</v>
      </c>
      <c r="D238" s="24" t="n">
        <f aca="false">C238*가정!$B$8</f>
        <v>195</v>
      </c>
      <c r="E238" s="24" t="n">
        <f aca="false">H237+D237</f>
        <v>436.206030150753</v>
      </c>
      <c r="F238" s="11" t="n">
        <f aca="false">IF(가정!$B$11=1,MAX(0,MIN(가정!$B$16-C238,INT(E238/가정!$B$17))),0)</f>
        <v>1</v>
      </c>
      <c r="G238" s="24" t="n">
        <f aca="false">F238*가정!$B$17</f>
        <v>267.336683417085</v>
      </c>
      <c r="H238" s="24" t="n">
        <f aca="false">E238-G238</f>
        <v>168.869346733667</v>
      </c>
      <c r="I238" s="24" t="n">
        <f aca="false">I237+D238</f>
        <v>10790</v>
      </c>
      <c r="J238" s="16" t="n">
        <f aca="false">(H238+D238)*가정!$B$10</f>
        <v>363.869346733667</v>
      </c>
      <c r="K238" s="24" t="n">
        <f aca="false">A238*가정!$B$8*가정!$B$7</f>
        <v>1170</v>
      </c>
      <c r="L238" s="11" t="n">
        <f aca="false">C238+F238</f>
        <v>40</v>
      </c>
    </row>
    <row r="239" customFormat="false" ht="15" hidden="false" customHeight="false" outlineLevel="0" collapsed="false">
      <c r="A239" s="11" t="n">
        <v>235</v>
      </c>
      <c r="B239" s="11" t="n">
        <f aca="false">MATCH(A239,월별!$C$6:$C$41,1)</f>
        <v>8</v>
      </c>
      <c r="C239" s="11" t="n">
        <f aca="false">L238</f>
        <v>40</v>
      </c>
      <c r="D239" s="24" t="n">
        <f aca="false">C239*가정!$B$8</f>
        <v>200</v>
      </c>
      <c r="E239" s="24" t="n">
        <f aca="false">H238+D238</f>
        <v>363.869346733667</v>
      </c>
      <c r="F239" s="11" t="n">
        <f aca="false">IF(가정!$B$11=1,MAX(0,MIN(가정!$B$16-C239,INT(E239/가정!$B$17))),0)</f>
        <v>1</v>
      </c>
      <c r="G239" s="24" t="n">
        <f aca="false">F239*가정!$B$17</f>
        <v>267.336683417085</v>
      </c>
      <c r="H239" s="24" t="n">
        <f aca="false">E239-G239</f>
        <v>96.5326633165819</v>
      </c>
      <c r="I239" s="24" t="n">
        <f aca="false">I238+D239</f>
        <v>10990</v>
      </c>
      <c r="J239" s="16" t="n">
        <f aca="false">(H239+D239)*가정!$B$10</f>
        <v>296.532663316582</v>
      </c>
      <c r="K239" s="24" t="n">
        <f aca="false">A239*가정!$B$8*가정!$B$7</f>
        <v>1175</v>
      </c>
      <c r="L239" s="11" t="n">
        <f aca="false">C239+F239</f>
        <v>41</v>
      </c>
    </row>
    <row r="240" customFormat="false" ht="15" hidden="false" customHeight="false" outlineLevel="0" collapsed="false">
      <c r="A240" s="11" t="n">
        <v>236</v>
      </c>
      <c r="B240" s="11" t="n">
        <f aca="false">MATCH(A240,월별!$C$6:$C$41,1)</f>
        <v>8</v>
      </c>
      <c r="C240" s="11" t="n">
        <f aca="false">L239</f>
        <v>41</v>
      </c>
      <c r="D240" s="24" t="n">
        <f aca="false">C240*가정!$B$8</f>
        <v>205</v>
      </c>
      <c r="E240" s="24" t="n">
        <f aca="false">H239+D239</f>
        <v>296.532663316582</v>
      </c>
      <c r="F240" s="11" t="n">
        <f aca="false">IF(가정!$B$11=1,MAX(0,MIN(가정!$B$16-C240,INT(E240/가정!$B$17))),0)</f>
        <v>1</v>
      </c>
      <c r="G240" s="24" t="n">
        <f aca="false">F240*가정!$B$17</f>
        <v>267.336683417085</v>
      </c>
      <c r="H240" s="24" t="n">
        <f aca="false">E240-G240</f>
        <v>29.1959798994964</v>
      </c>
      <c r="I240" s="24" t="n">
        <f aca="false">I239+D240</f>
        <v>11195</v>
      </c>
      <c r="J240" s="16" t="n">
        <f aca="false">(H240+D240)*가정!$B$10</f>
        <v>234.195979899496</v>
      </c>
      <c r="K240" s="24" t="n">
        <f aca="false">A240*가정!$B$8*가정!$B$7</f>
        <v>1180</v>
      </c>
      <c r="L240" s="11" t="n">
        <f aca="false">C240+F240</f>
        <v>42</v>
      </c>
    </row>
    <row r="241" customFormat="false" ht="15" hidden="false" customHeight="false" outlineLevel="0" collapsed="false">
      <c r="A241" s="11" t="n">
        <v>237</v>
      </c>
      <c r="B241" s="11" t="n">
        <f aca="false">MATCH(A241,월별!$C$6:$C$41,1)</f>
        <v>8</v>
      </c>
      <c r="C241" s="11" t="n">
        <f aca="false">L240</f>
        <v>42</v>
      </c>
      <c r="D241" s="24" t="n">
        <f aca="false">C241*가정!$B$8</f>
        <v>210</v>
      </c>
      <c r="E241" s="24" t="n">
        <f aca="false">H240+D240</f>
        <v>234.195979899496</v>
      </c>
      <c r="F241" s="11" t="n">
        <f aca="false">IF(가정!$B$11=1,MAX(0,MIN(가정!$B$16-C241,INT(E241/가정!$B$17))),0)</f>
        <v>0</v>
      </c>
      <c r="G241" s="24" t="n">
        <f aca="false">F241*가정!$B$17</f>
        <v>0</v>
      </c>
      <c r="H241" s="24" t="n">
        <f aca="false">E241-G241</f>
        <v>234.195979899496</v>
      </c>
      <c r="I241" s="24" t="n">
        <f aca="false">I240+D241</f>
        <v>11405</v>
      </c>
      <c r="J241" s="16" t="n">
        <f aca="false">(H241+D241)*가정!$B$10</f>
        <v>444.195979899496</v>
      </c>
      <c r="K241" s="24" t="n">
        <f aca="false">A241*가정!$B$8*가정!$B$7</f>
        <v>1185</v>
      </c>
      <c r="L241" s="11" t="n">
        <f aca="false">C241+F241</f>
        <v>42</v>
      </c>
    </row>
    <row r="242" customFormat="false" ht="15" hidden="false" customHeight="false" outlineLevel="0" collapsed="false">
      <c r="A242" s="11" t="n">
        <v>238</v>
      </c>
      <c r="B242" s="11" t="n">
        <f aca="false">MATCH(A242,월별!$C$6:$C$41,1)</f>
        <v>8</v>
      </c>
      <c r="C242" s="11" t="n">
        <f aca="false">L241</f>
        <v>42</v>
      </c>
      <c r="D242" s="24" t="n">
        <f aca="false">C242*가정!$B$8</f>
        <v>210</v>
      </c>
      <c r="E242" s="24" t="n">
        <f aca="false">H241+D241</f>
        <v>444.195979899496</v>
      </c>
      <c r="F242" s="11" t="n">
        <f aca="false">IF(가정!$B$11=1,MAX(0,MIN(가정!$B$16-C242,INT(E242/가정!$B$17))),0)</f>
        <v>1</v>
      </c>
      <c r="G242" s="24" t="n">
        <f aca="false">F242*가정!$B$17</f>
        <v>267.336683417085</v>
      </c>
      <c r="H242" s="24" t="n">
        <f aca="false">E242-G242</f>
        <v>176.859296482411</v>
      </c>
      <c r="I242" s="24" t="n">
        <f aca="false">I241+D242</f>
        <v>11615</v>
      </c>
      <c r="J242" s="16" t="n">
        <f aca="false">(H242+D242)*가정!$B$10</f>
        <v>386.859296482411</v>
      </c>
      <c r="K242" s="24" t="n">
        <f aca="false">A242*가정!$B$8*가정!$B$7</f>
        <v>1190</v>
      </c>
      <c r="L242" s="11" t="n">
        <f aca="false">C242+F242</f>
        <v>43</v>
      </c>
    </row>
    <row r="243" customFormat="false" ht="15" hidden="false" customHeight="false" outlineLevel="0" collapsed="false">
      <c r="A243" s="11" t="n">
        <v>239</v>
      </c>
      <c r="B243" s="11" t="n">
        <f aca="false">MATCH(A243,월별!$C$6:$C$41,1)</f>
        <v>8</v>
      </c>
      <c r="C243" s="11" t="n">
        <f aca="false">L242</f>
        <v>43</v>
      </c>
      <c r="D243" s="24" t="n">
        <f aca="false">C243*가정!$B$8</f>
        <v>215</v>
      </c>
      <c r="E243" s="24" t="n">
        <f aca="false">H242+D242</f>
        <v>386.859296482411</v>
      </c>
      <c r="F243" s="11" t="n">
        <f aca="false">IF(가정!$B$11=1,MAX(0,MIN(가정!$B$16-C243,INT(E243/가정!$B$17))),0)</f>
        <v>1</v>
      </c>
      <c r="G243" s="24" t="n">
        <f aca="false">F243*가정!$B$17</f>
        <v>267.336683417085</v>
      </c>
      <c r="H243" s="24" t="n">
        <f aca="false">E243-G243</f>
        <v>119.522613065326</v>
      </c>
      <c r="I243" s="24" t="n">
        <f aca="false">I242+D243</f>
        <v>11830</v>
      </c>
      <c r="J243" s="16" t="n">
        <f aca="false">(H243+D243)*가정!$B$10</f>
        <v>334.522613065326</v>
      </c>
      <c r="K243" s="24" t="n">
        <f aca="false">A243*가정!$B$8*가정!$B$7</f>
        <v>1195</v>
      </c>
      <c r="L243" s="11" t="n">
        <f aca="false">C243+F243</f>
        <v>44</v>
      </c>
    </row>
    <row r="244" customFormat="false" ht="15" hidden="false" customHeight="false" outlineLevel="0" collapsed="false">
      <c r="A244" s="11" t="n">
        <v>240</v>
      </c>
      <c r="B244" s="11" t="n">
        <f aca="false">MATCH(A244,월별!$C$6:$C$41,1)</f>
        <v>8</v>
      </c>
      <c r="C244" s="11" t="n">
        <f aca="false">L243</f>
        <v>44</v>
      </c>
      <c r="D244" s="24" t="n">
        <f aca="false">C244*가정!$B$8</f>
        <v>220</v>
      </c>
      <c r="E244" s="24" t="n">
        <f aca="false">H243+D243</f>
        <v>334.522613065326</v>
      </c>
      <c r="F244" s="11" t="n">
        <f aca="false">IF(가정!$B$11=1,MAX(0,MIN(가정!$B$16-C244,INT(E244/가정!$B$17))),0)</f>
        <v>1</v>
      </c>
      <c r="G244" s="24" t="n">
        <f aca="false">F244*가정!$B$17</f>
        <v>267.336683417085</v>
      </c>
      <c r="H244" s="24" t="n">
        <f aca="false">E244-G244</f>
        <v>67.1859296482401</v>
      </c>
      <c r="I244" s="24" t="n">
        <f aca="false">I243+D244</f>
        <v>12050</v>
      </c>
      <c r="J244" s="16" t="n">
        <f aca="false">(H244+D244)*가정!$B$10</f>
        <v>287.18592964824</v>
      </c>
      <c r="K244" s="24" t="n">
        <f aca="false">A244*가정!$B$8*가정!$B$7</f>
        <v>1200</v>
      </c>
      <c r="L244" s="11" t="n">
        <f aca="false">C244+F244</f>
        <v>45</v>
      </c>
    </row>
    <row r="245" customFormat="false" ht="15" hidden="false" customHeight="false" outlineLevel="0" collapsed="false">
      <c r="A245" s="11" t="n">
        <v>241</v>
      </c>
      <c r="B245" s="11" t="n">
        <f aca="false">MATCH(A245,월별!$C$6:$C$41,1)</f>
        <v>8</v>
      </c>
      <c r="C245" s="11" t="n">
        <f aca="false">L244</f>
        <v>45</v>
      </c>
      <c r="D245" s="24" t="n">
        <f aca="false">C245*가정!$B$8</f>
        <v>225</v>
      </c>
      <c r="E245" s="24" t="n">
        <f aca="false">H244+D244</f>
        <v>287.18592964824</v>
      </c>
      <c r="F245" s="11" t="n">
        <f aca="false">IF(가정!$B$11=1,MAX(0,MIN(가정!$B$16-C245,INT(E245/가정!$B$17))),0)</f>
        <v>1</v>
      </c>
      <c r="G245" s="24" t="n">
        <f aca="false">F245*가정!$B$17</f>
        <v>267.336683417085</v>
      </c>
      <c r="H245" s="24" t="n">
        <f aca="false">E245-G245</f>
        <v>19.8492462311546</v>
      </c>
      <c r="I245" s="24" t="n">
        <f aca="false">I244+D245</f>
        <v>12275</v>
      </c>
      <c r="J245" s="16" t="n">
        <f aca="false">(H245+D245)*가정!$B$10</f>
        <v>244.849246231155</v>
      </c>
      <c r="K245" s="24" t="n">
        <f aca="false">A245*가정!$B$8*가정!$B$7</f>
        <v>1205</v>
      </c>
      <c r="L245" s="11" t="n">
        <f aca="false">C245+F245</f>
        <v>46</v>
      </c>
    </row>
    <row r="246" customFormat="false" ht="15" hidden="false" customHeight="false" outlineLevel="0" collapsed="false">
      <c r="A246" s="11" t="n">
        <v>242</v>
      </c>
      <c r="B246" s="11" t="n">
        <f aca="false">MATCH(A246,월별!$C$6:$C$41,1)</f>
        <v>8</v>
      </c>
      <c r="C246" s="11" t="n">
        <f aca="false">L245</f>
        <v>46</v>
      </c>
      <c r="D246" s="24" t="n">
        <f aca="false">C246*가정!$B$8</f>
        <v>230</v>
      </c>
      <c r="E246" s="24" t="n">
        <f aca="false">H245+D245</f>
        <v>244.849246231155</v>
      </c>
      <c r="F246" s="11" t="n">
        <f aca="false">IF(가정!$B$11=1,MAX(0,MIN(가정!$B$16-C246,INT(E246/가정!$B$17))),0)</f>
        <v>0</v>
      </c>
      <c r="G246" s="24" t="n">
        <f aca="false">F246*가정!$B$17</f>
        <v>0</v>
      </c>
      <c r="H246" s="24" t="n">
        <f aca="false">E246-G246</f>
        <v>244.849246231155</v>
      </c>
      <c r="I246" s="24" t="n">
        <f aca="false">I245+D246</f>
        <v>12505</v>
      </c>
      <c r="J246" s="16" t="n">
        <f aca="false">(H246+D246)*가정!$B$10</f>
        <v>474.849246231155</v>
      </c>
      <c r="K246" s="24" t="n">
        <f aca="false">A246*가정!$B$8*가정!$B$7</f>
        <v>1210</v>
      </c>
      <c r="L246" s="11" t="n">
        <f aca="false">C246+F246</f>
        <v>46</v>
      </c>
    </row>
    <row r="247" customFormat="false" ht="15" hidden="false" customHeight="false" outlineLevel="0" collapsed="false">
      <c r="A247" s="11" t="n">
        <v>243</v>
      </c>
      <c r="B247" s="11" t="n">
        <f aca="false">MATCH(A247,월별!$C$6:$C$41,1)</f>
        <v>8</v>
      </c>
      <c r="C247" s="11" t="n">
        <f aca="false">L246</f>
        <v>46</v>
      </c>
      <c r="D247" s="24" t="n">
        <f aca="false">C247*가정!$B$8</f>
        <v>230</v>
      </c>
      <c r="E247" s="24" t="n">
        <f aca="false">H246+D246</f>
        <v>474.849246231155</v>
      </c>
      <c r="F247" s="11" t="n">
        <f aca="false">IF(가정!$B$11=1,MAX(0,MIN(가정!$B$16-C247,INT(E247/가정!$B$17))),0)</f>
        <v>1</v>
      </c>
      <c r="G247" s="24" t="n">
        <f aca="false">F247*가정!$B$17</f>
        <v>267.336683417085</v>
      </c>
      <c r="H247" s="24" t="n">
        <f aca="false">E247-G247</f>
        <v>207.512562814069</v>
      </c>
      <c r="I247" s="24" t="n">
        <f aca="false">I246+D247</f>
        <v>12735</v>
      </c>
      <c r="J247" s="16" t="n">
        <f aca="false">(H247+D247)*가정!$B$10</f>
        <v>437.512562814069</v>
      </c>
      <c r="K247" s="24" t="n">
        <f aca="false">A247*가정!$B$8*가정!$B$7</f>
        <v>1215</v>
      </c>
      <c r="L247" s="11" t="n">
        <f aca="false">C247+F247</f>
        <v>47</v>
      </c>
    </row>
    <row r="248" customFormat="false" ht="15" hidden="false" customHeight="false" outlineLevel="0" collapsed="false">
      <c r="A248" s="11" t="n">
        <v>244</v>
      </c>
      <c r="B248" s="11" t="n">
        <f aca="false">MATCH(A248,월별!$C$6:$C$41,1)</f>
        <v>9</v>
      </c>
      <c r="C248" s="11" t="n">
        <f aca="false">L247</f>
        <v>47</v>
      </c>
      <c r="D248" s="24" t="n">
        <f aca="false">C248*가정!$B$8</f>
        <v>235</v>
      </c>
      <c r="E248" s="24" t="n">
        <f aca="false">H247+D247</f>
        <v>437.512562814069</v>
      </c>
      <c r="F248" s="11" t="n">
        <f aca="false">IF(가정!$B$11=1,MAX(0,MIN(가정!$B$16-C248,INT(E248/가정!$B$17))),0)</f>
        <v>1</v>
      </c>
      <c r="G248" s="24" t="n">
        <f aca="false">F248*가정!$B$17</f>
        <v>267.336683417085</v>
      </c>
      <c r="H248" s="24" t="n">
        <f aca="false">E248-G248</f>
        <v>170.175879396984</v>
      </c>
      <c r="I248" s="24" t="n">
        <f aca="false">I247+D248</f>
        <v>12970</v>
      </c>
      <c r="J248" s="16" t="n">
        <f aca="false">(H248+D248)*가정!$B$10</f>
        <v>405.175879396984</v>
      </c>
      <c r="K248" s="24" t="n">
        <f aca="false">A248*가정!$B$8*가정!$B$7</f>
        <v>1220</v>
      </c>
      <c r="L248" s="11" t="n">
        <f aca="false">C248+F248</f>
        <v>48</v>
      </c>
    </row>
    <row r="249" customFormat="false" ht="15" hidden="false" customHeight="false" outlineLevel="0" collapsed="false">
      <c r="A249" s="11" t="n">
        <v>245</v>
      </c>
      <c r="B249" s="11" t="n">
        <f aca="false">MATCH(A249,월별!$C$6:$C$41,1)</f>
        <v>9</v>
      </c>
      <c r="C249" s="11" t="n">
        <f aca="false">L248</f>
        <v>48</v>
      </c>
      <c r="D249" s="24" t="n">
        <f aca="false">C249*가정!$B$8</f>
        <v>240</v>
      </c>
      <c r="E249" s="24" t="n">
        <f aca="false">H248+D248</f>
        <v>405.175879396984</v>
      </c>
      <c r="F249" s="11" t="n">
        <f aca="false">IF(가정!$B$11=1,MAX(0,MIN(가정!$B$16-C249,INT(E249/가정!$B$17))),0)</f>
        <v>1</v>
      </c>
      <c r="G249" s="24" t="n">
        <f aca="false">F249*가정!$B$17</f>
        <v>267.336683417085</v>
      </c>
      <c r="H249" s="24" t="n">
        <f aca="false">E249-G249</f>
        <v>137.839195979898</v>
      </c>
      <c r="I249" s="24" t="n">
        <f aca="false">I248+D249</f>
        <v>13210</v>
      </c>
      <c r="J249" s="16" t="n">
        <f aca="false">(H249+D249)*가정!$B$10</f>
        <v>377.839195979898</v>
      </c>
      <c r="K249" s="24" t="n">
        <f aca="false">A249*가정!$B$8*가정!$B$7</f>
        <v>1225</v>
      </c>
      <c r="L249" s="11" t="n">
        <f aca="false">C249+F249</f>
        <v>49</v>
      </c>
    </row>
    <row r="250" customFormat="false" ht="15" hidden="false" customHeight="false" outlineLevel="0" collapsed="false">
      <c r="A250" s="11" t="n">
        <v>246</v>
      </c>
      <c r="B250" s="11" t="n">
        <f aca="false">MATCH(A250,월별!$C$6:$C$41,1)</f>
        <v>9</v>
      </c>
      <c r="C250" s="11" t="n">
        <f aca="false">L249</f>
        <v>49</v>
      </c>
      <c r="D250" s="24" t="n">
        <f aca="false">C250*가정!$B$8</f>
        <v>245</v>
      </c>
      <c r="E250" s="24" t="n">
        <f aca="false">H249+D249</f>
        <v>377.839195979898</v>
      </c>
      <c r="F250" s="11" t="n">
        <f aca="false">IF(가정!$B$11=1,MAX(0,MIN(가정!$B$16-C250,INT(E250/가정!$B$17))),0)</f>
        <v>1</v>
      </c>
      <c r="G250" s="24" t="n">
        <f aca="false">F250*가정!$B$17</f>
        <v>267.336683417085</v>
      </c>
      <c r="H250" s="24" t="n">
        <f aca="false">E250-G250</f>
        <v>110.502512562813</v>
      </c>
      <c r="I250" s="24" t="n">
        <f aca="false">I249+D250</f>
        <v>13455</v>
      </c>
      <c r="J250" s="16" t="n">
        <f aca="false">(H250+D250)*가정!$B$10</f>
        <v>355.502512562813</v>
      </c>
      <c r="K250" s="24" t="n">
        <f aca="false">A250*가정!$B$8*가정!$B$7</f>
        <v>1230</v>
      </c>
      <c r="L250" s="11" t="n">
        <f aca="false">C250+F250</f>
        <v>50</v>
      </c>
    </row>
    <row r="251" customFormat="false" ht="15" hidden="false" customHeight="false" outlineLevel="0" collapsed="false">
      <c r="A251" s="11" t="n">
        <v>247</v>
      </c>
      <c r="B251" s="11" t="n">
        <f aca="false">MATCH(A251,월별!$C$6:$C$41,1)</f>
        <v>9</v>
      </c>
      <c r="C251" s="11" t="n">
        <f aca="false">L250</f>
        <v>50</v>
      </c>
      <c r="D251" s="24" t="n">
        <f aca="false">C251*가정!$B$8</f>
        <v>250</v>
      </c>
      <c r="E251" s="24" t="n">
        <f aca="false">H250+D250</f>
        <v>355.502512562813</v>
      </c>
      <c r="F251" s="11" t="n">
        <f aca="false">IF(가정!$B$11=1,MAX(0,MIN(가정!$B$16-C251,INT(E251/가정!$B$17))),0)</f>
        <v>1</v>
      </c>
      <c r="G251" s="24" t="n">
        <f aca="false">F251*가정!$B$17</f>
        <v>267.336683417085</v>
      </c>
      <c r="H251" s="24" t="n">
        <f aca="false">E251-G251</f>
        <v>88.1658291457273</v>
      </c>
      <c r="I251" s="24" t="n">
        <f aca="false">I250+D251</f>
        <v>13705</v>
      </c>
      <c r="J251" s="16" t="n">
        <f aca="false">(H251+D251)*가정!$B$10</f>
        <v>338.165829145727</v>
      </c>
      <c r="K251" s="24" t="n">
        <f aca="false">A251*가정!$B$8*가정!$B$7</f>
        <v>1235</v>
      </c>
      <c r="L251" s="11" t="n">
        <f aca="false">C251+F251</f>
        <v>51</v>
      </c>
    </row>
    <row r="252" customFormat="false" ht="15" hidden="false" customHeight="false" outlineLevel="0" collapsed="false">
      <c r="A252" s="11" t="n">
        <v>248</v>
      </c>
      <c r="B252" s="11" t="n">
        <f aca="false">MATCH(A252,월별!$C$6:$C$41,1)</f>
        <v>9</v>
      </c>
      <c r="C252" s="11" t="n">
        <f aca="false">L251</f>
        <v>51</v>
      </c>
      <c r="D252" s="24" t="n">
        <f aca="false">C252*가정!$B$8</f>
        <v>255</v>
      </c>
      <c r="E252" s="24" t="n">
        <f aca="false">H251+D251</f>
        <v>338.165829145727</v>
      </c>
      <c r="F252" s="11" t="n">
        <f aca="false">IF(가정!$B$11=1,MAX(0,MIN(가정!$B$16-C252,INT(E252/가정!$B$17))),0)</f>
        <v>1</v>
      </c>
      <c r="G252" s="24" t="n">
        <f aca="false">F252*가정!$B$17</f>
        <v>267.336683417085</v>
      </c>
      <c r="H252" s="24" t="n">
        <f aca="false">E252-G252</f>
        <v>70.8291457286419</v>
      </c>
      <c r="I252" s="24" t="n">
        <f aca="false">I251+D252</f>
        <v>13960</v>
      </c>
      <c r="J252" s="16" t="n">
        <f aca="false">(H252+D252)*가정!$B$10</f>
        <v>325.829145728642</v>
      </c>
      <c r="K252" s="24" t="n">
        <f aca="false">A252*가정!$B$8*가정!$B$7</f>
        <v>1240</v>
      </c>
      <c r="L252" s="11" t="n">
        <f aca="false">C252+F252</f>
        <v>52</v>
      </c>
    </row>
    <row r="253" customFormat="false" ht="15" hidden="false" customHeight="false" outlineLevel="0" collapsed="false">
      <c r="A253" s="11" t="n">
        <v>249</v>
      </c>
      <c r="B253" s="11" t="n">
        <f aca="false">MATCH(A253,월별!$C$6:$C$41,1)</f>
        <v>9</v>
      </c>
      <c r="C253" s="11" t="n">
        <f aca="false">L252</f>
        <v>52</v>
      </c>
      <c r="D253" s="24" t="n">
        <f aca="false">C253*가정!$B$8</f>
        <v>260</v>
      </c>
      <c r="E253" s="24" t="n">
        <f aca="false">H252+D252</f>
        <v>325.829145728642</v>
      </c>
      <c r="F253" s="11" t="n">
        <f aca="false">IF(가정!$B$11=1,MAX(0,MIN(가정!$B$16-C253,INT(E253/가정!$B$17))),0)</f>
        <v>1</v>
      </c>
      <c r="G253" s="24" t="n">
        <f aca="false">F253*가정!$B$17</f>
        <v>267.336683417085</v>
      </c>
      <c r="H253" s="24" t="n">
        <f aca="false">E253-G253</f>
        <v>58.4924623115564</v>
      </c>
      <c r="I253" s="24" t="n">
        <f aca="false">I252+D253</f>
        <v>14220</v>
      </c>
      <c r="J253" s="16" t="n">
        <f aca="false">(H253+D253)*가정!$B$10</f>
        <v>318.492462311556</v>
      </c>
      <c r="K253" s="24" t="n">
        <f aca="false">A253*가정!$B$8*가정!$B$7</f>
        <v>1245</v>
      </c>
      <c r="L253" s="11" t="n">
        <f aca="false">C253+F253</f>
        <v>53</v>
      </c>
    </row>
    <row r="254" customFormat="false" ht="15" hidden="false" customHeight="false" outlineLevel="0" collapsed="false">
      <c r="A254" s="11" t="n">
        <v>250</v>
      </c>
      <c r="B254" s="11" t="n">
        <f aca="false">MATCH(A254,월별!$C$6:$C$41,1)</f>
        <v>9</v>
      </c>
      <c r="C254" s="11" t="n">
        <f aca="false">L253</f>
        <v>53</v>
      </c>
      <c r="D254" s="24" t="n">
        <f aca="false">C254*가정!$B$8</f>
        <v>265</v>
      </c>
      <c r="E254" s="24" t="n">
        <f aca="false">H253+D253</f>
        <v>318.492462311556</v>
      </c>
      <c r="F254" s="11" t="n">
        <f aca="false">IF(가정!$B$11=1,MAX(0,MIN(가정!$B$16-C254,INT(E254/가정!$B$17))),0)</f>
        <v>1</v>
      </c>
      <c r="G254" s="24" t="n">
        <f aca="false">F254*가정!$B$17</f>
        <v>267.336683417085</v>
      </c>
      <c r="H254" s="24" t="n">
        <f aca="false">E254-G254</f>
        <v>51.155778894471</v>
      </c>
      <c r="I254" s="24" t="n">
        <f aca="false">I253+D254</f>
        <v>14485</v>
      </c>
      <c r="J254" s="16" t="n">
        <f aca="false">(H254+D254)*가정!$B$10</f>
        <v>316.155778894471</v>
      </c>
      <c r="K254" s="24" t="n">
        <f aca="false">A254*가정!$B$8*가정!$B$7</f>
        <v>1250</v>
      </c>
      <c r="L254" s="11" t="n">
        <f aca="false">C254+F254</f>
        <v>54</v>
      </c>
    </row>
    <row r="255" customFormat="false" ht="15" hidden="false" customHeight="false" outlineLevel="0" collapsed="false">
      <c r="A255" s="11" t="n">
        <v>251</v>
      </c>
      <c r="B255" s="11" t="n">
        <f aca="false">MATCH(A255,월별!$C$6:$C$41,1)</f>
        <v>9</v>
      </c>
      <c r="C255" s="11" t="n">
        <f aca="false">L254</f>
        <v>54</v>
      </c>
      <c r="D255" s="24" t="n">
        <f aca="false">C255*가정!$B$8</f>
        <v>270</v>
      </c>
      <c r="E255" s="24" t="n">
        <f aca="false">H254+D254</f>
        <v>316.155778894471</v>
      </c>
      <c r="F255" s="11" t="n">
        <f aca="false">IF(가정!$B$11=1,MAX(0,MIN(가정!$B$16-C255,INT(E255/가정!$B$17))),0)</f>
        <v>1</v>
      </c>
      <c r="G255" s="24" t="n">
        <f aca="false">F255*가정!$B$17</f>
        <v>267.336683417085</v>
      </c>
      <c r="H255" s="24" t="n">
        <f aca="false">E255-G255</f>
        <v>48.8190954773855</v>
      </c>
      <c r="I255" s="24" t="n">
        <f aca="false">I254+D255</f>
        <v>14755</v>
      </c>
      <c r="J255" s="16" t="n">
        <f aca="false">(H255+D255)*가정!$B$10</f>
        <v>318.819095477386</v>
      </c>
      <c r="K255" s="24" t="n">
        <f aca="false">A255*가정!$B$8*가정!$B$7</f>
        <v>1255</v>
      </c>
      <c r="L255" s="11" t="n">
        <f aca="false">C255+F255</f>
        <v>55</v>
      </c>
    </row>
    <row r="256" customFormat="false" ht="15" hidden="false" customHeight="false" outlineLevel="0" collapsed="false">
      <c r="A256" s="11" t="n">
        <v>252</v>
      </c>
      <c r="B256" s="11" t="n">
        <f aca="false">MATCH(A256,월별!$C$6:$C$41,1)</f>
        <v>9</v>
      </c>
      <c r="C256" s="11" t="n">
        <f aca="false">L255</f>
        <v>55</v>
      </c>
      <c r="D256" s="24" t="n">
        <f aca="false">C256*가정!$B$8</f>
        <v>275</v>
      </c>
      <c r="E256" s="24" t="n">
        <f aca="false">H255+D255</f>
        <v>318.819095477386</v>
      </c>
      <c r="F256" s="11" t="n">
        <f aca="false">IF(가정!$B$11=1,MAX(0,MIN(가정!$B$16-C256,INT(E256/가정!$B$17))),0)</f>
        <v>1</v>
      </c>
      <c r="G256" s="24" t="n">
        <f aca="false">F256*가정!$B$17</f>
        <v>267.336683417085</v>
      </c>
      <c r="H256" s="24" t="n">
        <f aca="false">E256-G256</f>
        <v>51.4824120603001</v>
      </c>
      <c r="I256" s="24" t="n">
        <f aca="false">I255+D256</f>
        <v>15030</v>
      </c>
      <c r="J256" s="16" t="n">
        <f aca="false">(H256+D256)*가정!$B$10</f>
        <v>326.4824120603</v>
      </c>
      <c r="K256" s="24" t="n">
        <f aca="false">A256*가정!$B$8*가정!$B$7</f>
        <v>1260</v>
      </c>
      <c r="L256" s="11" t="n">
        <f aca="false">C256+F256</f>
        <v>56</v>
      </c>
    </row>
    <row r="257" customFormat="false" ht="15" hidden="false" customHeight="false" outlineLevel="0" collapsed="false">
      <c r="A257" s="11" t="n">
        <v>253</v>
      </c>
      <c r="B257" s="11" t="n">
        <f aca="false">MATCH(A257,월별!$C$6:$C$41,1)</f>
        <v>9</v>
      </c>
      <c r="C257" s="11" t="n">
        <f aca="false">L256</f>
        <v>56</v>
      </c>
      <c r="D257" s="24" t="n">
        <f aca="false">C257*가정!$B$8</f>
        <v>280</v>
      </c>
      <c r="E257" s="24" t="n">
        <f aca="false">H256+D256</f>
        <v>326.4824120603</v>
      </c>
      <c r="F257" s="11" t="n">
        <f aca="false">IF(가정!$B$11=1,MAX(0,MIN(가정!$B$16-C257,INT(E257/가정!$B$17))),0)</f>
        <v>1</v>
      </c>
      <c r="G257" s="24" t="n">
        <f aca="false">F257*가정!$B$17</f>
        <v>267.336683417085</v>
      </c>
      <c r="H257" s="24" t="n">
        <f aca="false">E257-G257</f>
        <v>59.1457286432146</v>
      </c>
      <c r="I257" s="24" t="n">
        <f aca="false">I256+D257</f>
        <v>15310</v>
      </c>
      <c r="J257" s="16" t="n">
        <f aca="false">(H257+D257)*가정!$B$10</f>
        <v>339.145728643215</v>
      </c>
      <c r="K257" s="24" t="n">
        <f aca="false">A257*가정!$B$8*가정!$B$7</f>
        <v>1265</v>
      </c>
      <c r="L257" s="11" t="n">
        <f aca="false">C257+F257</f>
        <v>57</v>
      </c>
    </row>
    <row r="258" customFormat="false" ht="15" hidden="false" customHeight="false" outlineLevel="0" collapsed="false">
      <c r="A258" s="11" t="n">
        <v>254</v>
      </c>
      <c r="B258" s="11" t="n">
        <f aca="false">MATCH(A258,월별!$C$6:$C$41,1)</f>
        <v>9</v>
      </c>
      <c r="C258" s="11" t="n">
        <f aca="false">L257</f>
        <v>57</v>
      </c>
      <c r="D258" s="24" t="n">
        <f aca="false">C258*가정!$B$8</f>
        <v>285</v>
      </c>
      <c r="E258" s="24" t="n">
        <f aca="false">H257+D257</f>
        <v>339.145728643215</v>
      </c>
      <c r="F258" s="11" t="n">
        <f aca="false">IF(가정!$B$11=1,MAX(0,MIN(가정!$B$16-C258,INT(E258/가정!$B$17))),0)</f>
        <v>1</v>
      </c>
      <c r="G258" s="24" t="n">
        <f aca="false">F258*가정!$B$17</f>
        <v>267.336683417085</v>
      </c>
      <c r="H258" s="24" t="n">
        <f aca="false">E258-G258</f>
        <v>71.8090452261292</v>
      </c>
      <c r="I258" s="24" t="n">
        <f aca="false">I257+D258</f>
        <v>15595</v>
      </c>
      <c r="J258" s="16" t="n">
        <f aca="false">(H258+D258)*가정!$B$10</f>
        <v>356.809045226129</v>
      </c>
      <c r="K258" s="24" t="n">
        <f aca="false">A258*가정!$B$8*가정!$B$7</f>
        <v>1270</v>
      </c>
      <c r="L258" s="11" t="n">
        <f aca="false">C258+F258</f>
        <v>58</v>
      </c>
    </row>
    <row r="259" customFormat="false" ht="15" hidden="false" customHeight="false" outlineLevel="0" collapsed="false">
      <c r="A259" s="11" t="n">
        <v>255</v>
      </c>
      <c r="B259" s="11" t="n">
        <f aca="false">MATCH(A259,월별!$C$6:$C$41,1)</f>
        <v>9</v>
      </c>
      <c r="C259" s="11" t="n">
        <f aca="false">L258</f>
        <v>58</v>
      </c>
      <c r="D259" s="24" t="n">
        <f aca="false">C259*가정!$B$8</f>
        <v>290</v>
      </c>
      <c r="E259" s="24" t="n">
        <f aca="false">H258+D258</f>
        <v>356.809045226129</v>
      </c>
      <c r="F259" s="11" t="n">
        <f aca="false">IF(가정!$B$11=1,MAX(0,MIN(가정!$B$16-C259,INT(E259/가정!$B$17))),0)</f>
        <v>1</v>
      </c>
      <c r="G259" s="24" t="n">
        <f aca="false">F259*가정!$B$17</f>
        <v>267.336683417085</v>
      </c>
      <c r="H259" s="24" t="n">
        <f aca="false">E259-G259</f>
        <v>89.4723618090437</v>
      </c>
      <c r="I259" s="24" t="n">
        <f aca="false">I258+D259</f>
        <v>15885</v>
      </c>
      <c r="J259" s="16" t="n">
        <f aca="false">(H259+D259)*가정!$B$10</f>
        <v>379.472361809044</v>
      </c>
      <c r="K259" s="24" t="n">
        <f aca="false">A259*가정!$B$8*가정!$B$7</f>
        <v>1275</v>
      </c>
      <c r="L259" s="11" t="n">
        <f aca="false">C259+F259</f>
        <v>59</v>
      </c>
    </row>
    <row r="260" customFormat="false" ht="15" hidden="false" customHeight="false" outlineLevel="0" collapsed="false">
      <c r="A260" s="11" t="n">
        <v>256</v>
      </c>
      <c r="B260" s="11" t="n">
        <f aca="false">MATCH(A260,월별!$C$6:$C$41,1)</f>
        <v>9</v>
      </c>
      <c r="C260" s="11" t="n">
        <f aca="false">L259</f>
        <v>59</v>
      </c>
      <c r="D260" s="24" t="n">
        <f aca="false">C260*가정!$B$8</f>
        <v>295</v>
      </c>
      <c r="E260" s="24" t="n">
        <f aca="false">H259+D259</f>
        <v>379.472361809044</v>
      </c>
      <c r="F260" s="11" t="n">
        <f aca="false">IF(가정!$B$11=1,MAX(0,MIN(가정!$B$16-C260,INT(E260/가정!$B$17))),0)</f>
        <v>1</v>
      </c>
      <c r="G260" s="24" t="n">
        <f aca="false">F260*가정!$B$17</f>
        <v>267.336683417085</v>
      </c>
      <c r="H260" s="24" t="n">
        <f aca="false">E260-G260</f>
        <v>112.135678391958</v>
      </c>
      <c r="I260" s="24" t="n">
        <f aca="false">I259+D260</f>
        <v>16180</v>
      </c>
      <c r="J260" s="16" t="n">
        <f aca="false">(H260+D260)*가정!$B$10</f>
        <v>407.135678391958</v>
      </c>
      <c r="K260" s="24" t="n">
        <f aca="false">A260*가정!$B$8*가정!$B$7</f>
        <v>1280</v>
      </c>
      <c r="L260" s="11" t="n">
        <f aca="false">C260+F260</f>
        <v>60</v>
      </c>
    </row>
    <row r="261" customFormat="false" ht="15" hidden="false" customHeight="false" outlineLevel="0" collapsed="false">
      <c r="A261" s="11" t="n">
        <v>257</v>
      </c>
      <c r="B261" s="11" t="n">
        <f aca="false">MATCH(A261,월별!$C$6:$C$41,1)</f>
        <v>9</v>
      </c>
      <c r="C261" s="11" t="n">
        <f aca="false">L260</f>
        <v>60</v>
      </c>
      <c r="D261" s="24" t="n">
        <f aca="false">C261*가정!$B$8</f>
        <v>300</v>
      </c>
      <c r="E261" s="24" t="n">
        <f aca="false">H260+D260</f>
        <v>407.135678391958</v>
      </c>
      <c r="F261" s="11" t="n">
        <f aca="false">IF(가정!$B$11=1,MAX(0,MIN(가정!$B$16-C261,INT(E261/가정!$B$17))),0)</f>
        <v>1</v>
      </c>
      <c r="G261" s="24" t="n">
        <f aca="false">F261*가정!$B$17</f>
        <v>267.336683417085</v>
      </c>
      <c r="H261" s="24" t="n">
        <f aca="false">E261-G261</f>
        <v>139.798994974873</v>
      </c>
      <c r="I261" s="24" t="n">
        <f aca="false">I260+D261</f>
        <v>16480</v>
      </c>
      <c r="J261" s="16" t="n">
        <f aca="false">(H261+D261)*가정!$B$10</f>
        <v>439.798994974873</v>
      </c>
      <c r="K261" s="24" t="n">
        <f aca="false">A261*가정!$B$8*가정!$B$7</f>
        <v>1285</v>
      </c>
      <c r="L261" s="11" t="n">
        <f aca="false">C261+F261</f>
        <v>61</v>
      </c>
    </row>
    <row r="262" customFormat="false" ht="15" hidden="false" customHeight="false" outlineLevel="0" collapsed="false">
      <c r="A262" s="11" t="n">
        <v>258</v>
      </c>
      <c r="B262" s="11" t="n">
        <f aca="false">MATCH(A262,월별!$C$6:$C$41,1)</f>
        <v>9</v>
      </c>
      <c r="C262" s="11" t="n">
        <f aca="false">L261</f>
        <v>61</v>
      </c>
      <c r="D262" s="24" t="n">
        <f aca="false">C262*가정!$B$8</f>
        <v>305</v>
      </c>
      <c r="E262" s="24" t="n">
        <f aca="false">H261+D261</f>
        <v>439.798994974873</v>
      </c>
      <c r="F262" s="11" t="n">
        <f aca="false">IF(가정!$B$11=1,MAX(0,MIN(가정!$B$16-C262,INT(E262/가정!$B$17))),0)</f>
        <v>1</v>
      </c>
      <c r="G262" s="24" t="n">
        <f aca="false">F262*가정!$B$17</f>
        <v>267.336683417085</v>
      </c>
      <c r="H262" s="24" t="n">
        <f aca="false">E262-G262</f>
        <v>172.462311557787</v>
      </c>
      <c r="I262" s="24" t="n">
        <f aca="false">I261+D262</f>
        <v>16785</v>
      </c>
      <c r="J262" s="16" t="n">
        <f aca="false">(H262+D262)*가정!$B$10</f>
        <v>477.462311557787</v>
      </c>
      <c r="K262" s="24" t="n">
        <f aca="false">A262*가정!$B$8*가정!$B$7</f>
        <v>1290</v>
      </c>
      <c r="L262" s="11" t="n">
        <f aca="false">C262+F262</f>
        <v>62</v>
      </c>
    </row>
    <row r="263" customFormat="false" ht="15" hidden="false" customHeight="false" outlineLevel="0" collapsed="false">
      <c r="A263" s="11" t="n">
        <v>259</v>
      </c>
      <c r="B263" s="11" t="n">
        <f aca="false">MATCH(A263,월별!$C$6:$C$41,1)</f>
        <v>9</v>
      </c>
      <c r="C263" s="11" t="n">
        <f aca="false">L262</f>
        <v>62</v>
      </c>
      <c r="D263" s="24" t="n">
        <f aca="false">C263*가정!$B$8</f>
        <v>310</v>
      </c>
      <c r="E263" s="24" t="n">
        <f aca="false">H262+D262</f>
        <v>477.462311557787</v>
      </c>
      <c r="F263" s="11" t="n">
        <f aca="false">IF(가정!$B$11=1,MAX(0,MIN(가정!$B$16-C263,INT(E263/가정!$B$17))),0)</f>
        <v>1</v>
      </c>
      <c r="G263" s="24" t="n">
        <f aca="false">F263*가정!$B$17</f>
        <v>267.336683417085</v>
      </c>
      <c r="H263" s="24" t="n">
        <f aca="false">E263-G263</f>
        <v>210.125628140702</v>
      </c>
      <c r="I263" s="24" t="n">
        <f aca="false">I262+D263</f>
        <v>17095</v>
      </c>
      <c r="J263" s="16" t="n">
        <f aca="false">(H263+D263)*가정!$B$10</f>
        <v>520.125628140702</v>
      </c>
      <c r="K263" s="24" t="n">
        <f aca="false">A263*가정!$B$8*가정!$B$7</f>
        <v>1295</v>
      </c>
      <c r="L263" s="11" t="n">
        <f aca="false">C263+F263</f>
        <v>63</v>
      </c>
    </row>
    <row r="264" customFormat="false" ht="15" hidden="false" customHeight="false" outlineLevel="0" collapsed="false">
      <c r="A264" s="11" t="n">
        <v>260</v>
      </c>
      <c r="B264" s="11" t="n">
        <f aca="false">MATCH(A264,월별!$C$6:$C$41,1)</f>
        <v>9</v>
      </c>
      <c r="C264" s="11" t="n">
        <f aca="false">L263</f>
        <v>63</v>
      </c>
      <c r="D264" s="24" t="n">
        <f aca="false">C264*가정!$B$8</f>
        <v>315</v>
      </c>
      <c r="E264" s="24" t="n">
        <f aca="false">H263+D263</f>
        <v>520.125628140702</v>
      </c>
      <c r="F264" s="11" t="n">
        <f aca="false">IF(가정!$B$11=1,MAX(0,MIN(가정!$B$16-C264,INT(E264/가정!$B$17))),0)</f>
        <v>1</v>
      </c>
      <c r="G264" s="24" t="n">
        <f aca="false">F264*가정!$B$17</f>
        <v>267.336683417085</v>
      </c>
      <c r="H264" s="24" t="n">
        <f aca="false">E264-G264</f>
        <v>252.788944723616</v>
      </c>
      <c r="I264" s="24" t="n">
        <f aca="false">I263+D264</f>
        <v>17410</v>
      </c>
      <c r="J264" s="16" t="n">
        <f aca="false">(H264+D264)*가정!$B$10</f>
        <v>567.788944723616</v>
      </c>
      <c r="K264" s="24" t="n">
        <f aca="false">A264*가정!$B$8*가정!$B$7</f>
        <v>1300</v>
      </c>
      <c r="L264" s="11" t="n">
        <f aca="false">C264+F264</f>
        <v>64</v>
      </c>
    </row>
    <row r="265" customFormat="false" ht="15" hidden="false" customHeight="false" outlineLevel="0" collapsed="false">
      <c r="A265" s="11" t="n">
        <v>261</v>
      </c>
      <c r="B265" s="11" t="n">
        <f aca="false">MATCH(A265,월별!$C$6:$C$41,1)</f>
        <v>9</v>
      </c>
      <c r="C265" s="11" t="n">
        <f aca="false">L264</f>
        <v>64</v>
      </c>
      <c r="D265" s="24" t="n">
        <f aca="false">C265*가정!$B$8</f>
        <v>320</v>
      </c>
      <c r="E265" s="24" t="n">
        <f aca="false">H264+D264</f>
        <v>567.788944723616</v>
      </c>
      <c r="F265" s="11" t="n">
        <f aca="false">IF(가정!$B$11=1,MAX(0,MIN(가정!$B$16-C265,INT(E265/가정!$B$17))),0)</f>
        <v>2</v>
      </c>
      <c r="G265" s="24" t="n">
        <f aca="false">F265*가정!$B$17</f>
        <v>534.673366834171</v>
      </c>
      <c r="H265" s="24" t="n">
        <f aca="false">E265-G265</f>
        <v>33.1155778894455</v>
      </c>
      <c r="I265" s="24" t="n">
        <f aca="false">I264+D265</f>
        <v>17730</v>
      </c>
      <c r="J265" s="16" t="n">
        <f aca="false">(H265+D265)*가정!$B$10</f>
        <v>353.115577889446</v>
      </c>
      <c r="K265" s="24" t="n">
        <f aca="false">A265*가정!$B$8*가정!$B$7</f>
        <v>1305</v>
      </c>
      <c r="L265" s="11" t="n">
        <f aca="false">C265+F265</f>
        <v>66</v>
      </c>
    </row>
    <row r="266" customFormat="false" ht="15" hidden="false" customHeight="false" outlineLevel="0" collapsed="false">
      <c r="A266" s="11" t="n">
        <v>262</v>
      </c>
      <c r="B266" s="11" t="n">
        <f aca="false">MATCH(A266,월별!$C$6:$C$41,1)</f>
        <v>9</v>
      </c>
      <c r="C266" s="11" t="n">
        <f aca="false">L265</f>
        <v>66</v>
      </c>
      <c r="D266" s="24" t="n">
        <f aca="false">C266*가정!$B$8</f>
        <v>330</v>
      </c>
      <c r="E266" s="24" t="n">
        <f aca="false">H265+D265</f>
        <v>353.115577889446</v>
      </c>
      <c r="F266" s="11" t="n">
        <f aca="false">IF(가정!$B$11=1,MAX(0,MIN(가정!$B$16-C266,INT(E266/가정!$B$17))),0)</f>
        <v>1</v>
      </c>
      <c r="G266" s="24" t="n">
        <f aca="false">F266*가정!$B$17</f>
        <v>267.336683417085</v>
      </c>
      <c r="H266" s="24" t="n">
        <f aca="false">E266-G266</f>
        <v>85.77889447236</v>
      </c>
      <c r="I266" s="24" t="n">
        <f aca="false">I265+D266</f>
        <v>18060</v>
      </c>
      <c r="J266" s="16" t="n">
        <f aca="false">(H266+D266)*가정!$B$10</f>
        <v>415.77889447236</v>
      </c>
      <c r="K266" s="24" t="n">
        <f aca="false">A266*가정!$B$8*가정!$B$7</f>
        <v>1310</v>
      </c>
      <c r="L266" s="11" t="n">
        <f aca="false">C266+F266</f>
        <v>67</v>
      </c>
    </row>
    <row r="267" customFormat="false" ht="15" hidden="false" customHeight="false" outlineLevel="0" collapsed="false">
      <c r="A267" s="11" t="n">
        <v>263</v>
      </c>
      <c r="B267" s="11" t="n">
        <f aca="false">MATCH(A267,월별!$C$6:$C$41,1)</f>
        <v>9</v>
      </c>
      <c r="C267" s="11" t="n">
        <f aca="false">L266</f>
        <v>67</v>
      </c>
      <c r="D267" s="24" t="n">
        <f aca="false">C267*가정!$B$8</f>
        <v>335</v>
      </c>
      <c r="E267" s="24" t="n">
        <f aca="false">H266+D266</f>
        <v>415.77889447236</v>
      </c>
      <c r="F267" s="11" t="n">
        <f aca="false">IF(가정!$B$11=1,MAX(0,MIN(가정!$B$16-C267,INT(E267/가정!$B$17))),0)</f>
        <v>1</v>
      </c>
      <c r="G267" s="24" t="n">
        <f aca="false">F267*가정!$B$17</f>
        <v>267.336683417085</v>
      </c>
      <c r="H267" s="24" t="n">
        <f aca="false">E267-G267</f>
        <v>148.442211055275</v>
      </c>
      <c r="I267" s="24" t="n">
        <f aca="false">I266+D267</f>
        <v>18395</v>
      </c>
      <c r="J267" s="16" t="n">
        <f aca="false">(H267+D267)*가정!$B$10</f>
        <v>483.442211055275</v>
      </c>
      <c r="K267" s="24" t="n">
        <f aca="false">A267*가정!$B$8*가정!$B$7</f>
        <v>1315</v>
      </c>
      <c r="L267" s="11" t="n">
        <f aca="false">C267+F267</f>
        <v>68</v>
      </c>
    </row>
    <row r="268" customFormat="false" ht="15" hidden="false" customHeight="false" outlineLevel="0" collapsed="false">
      <c r="A268" s="11" t="n">
        <v>264</v>
      </c>
      <c r="B268" s="11" t="n">
        <f aca="false">MATCH(A268,월별!$C$6:$C$41,1)</f>
        <v>9</v>
      </c>
      <c r="C268" s="11" t="n">
        <f aca="false">L267</f>
        <v>68</v>
      </c>
      <c r="D268" s="24" t="n">
        <f aca="false">C268*가정!$B$8</f>
        <v>340</v>
      </c>
      <c r="E268" s="24" t="n">
        <f aca="false">H267+D267</f>
        <v>483.442211055275</v>
      </c>
      <c r="F268" s="11" t="n">
        <f aca="false">IF(가정!$B$11=1,MAX(0,MIN(가정!$B$16-C268,INT(E268/가정!$B$17))),0)</f>
        <v>1</v>
      </c>
      <c r="G268" s="24" t="n">
        <f aca="false">F268*가정!$B$17</f>
        <v>267.336683417085</v>
      </c>
      <c r="H268" s="24" t="n">
        <f aca="false">E268-G268</f>
        <v>216.105527638189</v>
      </c>
      <c r="I268" s="24" t="n">
        <f aca="false">I267+D268</f>
        <v>18735</v>
      </c>
      <c r="J268" s="16" t="n">
        <f aca="false">(H268+D268)*가정!$B$10</f>
        <v>556.105527638189</v>
      </c>
      <c r="K268" s="24" t="n">
        <f aca="false">A268*가정!$B$8*가정!$B$7</f>
        <v>1320</v>
      </c>
      <c r="L268" s="11" t="n">
        <f aca="false">C268+F268</f>
        <v>69</v>
      </c>
    </row>
    <row r="269" customFormat="false" ht="15" hidden="false" customHeight="false" outlineLevel="0" collapsed="false">
      <c r="A269" s="11" t="n">
        <v>265</v>
      </c>
      <c r="B269" s="11" t="n">
        <f aca="false">MATCH(A269,월별!$C$6:$C$41,1)</f>
        <v>9</v>
      </c>
      <c r="C269" s="11" t="n">
        <f aca="false">L268</f>
        <v>69</v>
      </c>
      <c r="D269" s="24" t="n">
        <f aca="false">C269*가정!$B$8</f>
        <v>345</v>
      </c>
      <c r="E269" s="24" t="n">
        <f aca="false">H268+D268</f>
        <v>556.105527638189</v>
      </c>
      <c r="F269" s="11" t="n">
        <f aca="false">IF(가정!$B$11=1,MAX(0,MIN(가정!$B$16-C269,INT(E269/가정!$B$17))),0)</f>
        <v>2</v>
      </c>
      <c r="G269" s="24" t="n">
        <f aca="false">F269*가정!$B$17</f>
        <v>534.673366834171</v>
      </c>
      <c r="H269" s="24" t="n">
        <f aca="false">E269-G269</f>
        <v>21.4321608040183</v>
      </c>
      <c r="I269" s="24" t="n">
        <f aca="false">I268+D269</f>
        <v>19080</v>
      </c>
      <c r="J269" s="16" t="n">
        <f aca="false">(H269+D269)*가정!$B$10</f>
        <v>366.432160804018</v>
      </c>
      <c r="K269" s="24" t="n">
        <f aca="false">A269*가정!$B$8*가정!$B$7</f>
        <v>1325</v>
      </c>
      <c r="L269" s="11" t="n">
        <f aca="false">C269+F269</f>
        <v>71</v>
      </c>
    </row>
    <row r="270" customFormat="false" ht="15" hidden="false" customHeight="false" outlineLevel="0" collapsed="false">
      <c r="A270" s="11" t="n">
        <v>266</v>
      </c>
      <c r="B270" s="11" t="n">
        <f aca="false">MATCH(A270,월별!$C$6:$C$41,1)</f>
        <v>9</v>
      </c>
      <c r="C270" s="11" t="n">
        <f aca="false">L269</f>
        <v>71</v>
      </c>
      <c r="D270" s="24" t="n">
        <f aca="false">C270*가정!$B$8</f>
        <v>355</v>
      </c>
      <c r="E270" s="24" t="n">
        <f aca="false">H269+D269</f>
        <v>366.432160804018</v>
      </c>
      <c r="F270" s="11" t="n">
        <f aca="false">IF(가정!$B$11=1,MAX(0,MIN(가정!$B$16-C270,INT(E270/가정!$B$17))),0)</f>
        <v>1</v>
      </c>
      <c r="G270" s="24" t="n">
        <f aca="false">F270*가정!$B$17</f>
        <v>267.336683417085</v>
      </c>
      <c r="H270" s="24" t="n">
        <f aca="false">E270-G270</f>
        <v>99.0954773869328</v>
      </c>
      <c r="I270" s="24" t="n">
        <f aca="false">I269+D270</f>
        <v>19435</v>
      </c>
      <c r="J270" s="16" t="n">
        <f aca="false">(H270+D270)*가정!$B$10</f>
        <v>454.095477386933</v>
      </c>
      <c r="K270" s="24" t="n">
        <f aca="false">A270*가정!$B$8*가정!$B$7</f>
        <v>1330</v>
      </c>
      <c r="L270" s="11" t="n">
        <f aca="false">C270+F270</f>
        <v>72</v>
      </c>
    </row>
    <row r="271" customFormat="false" ht="15" hidden="false" customHeight="false" outlineLevel="0" collapsed="false">
      <c r="A271" s="11" t="n">
        <v>267</v>
      </c>
      <c r="B271" s="11" t="n">
        <f aca="false">MATCH(A271,월별!$C$6:$C$41,1)</f>
        <v>9</v>
      </c>
      <c r="C271" s="11" t="n">
        <f aca="false">L270</f>
        <v>72</v>
      </c>
      <c r="D271" s="24" t="n">
        <f aca="false">C271*가정!$B$8</f>
        <v>360</v>
      </c>
      <c r="E271" s="24" t="n">
        <f aca="false">H270+D270</f>
        <v>454.095477386933</v>
      </c>
      <c r="F271" s="11" t="n">
        <f aca="false">IF(가정!$B$11=1,MAX(0,MIN(가정!$B$16-C271,INT(E271/가정!$B$17))),0)</f>
        <v>1</v>
      </c>
      <c r="G271" s="24" t="n">
        <f aca="false">F271*가정!$B$17</f>
        <v>267.336683417085</v>
      </c>
      <c r="H271" s="24" t="n">
        <f aca="false">E271-G271</f>
        <v>186.758793969847</v>
      </c>
      <c r="I271" s="24" t="n">
        <f aca="false">I270+D271</f>
        <v>19795</v>
      </c>
      <c r="J271" s="16" t="n">
        <f aca="false">(H271+D271)*가정!$B$10</f>
        <v>546.758793969847</v>
      </c>
      <c r="K271" s="24" t="n">
        <f aca="false">A271*가정!$B$8*가정!$B$7</f>
        <v>1335</v>
      </c>
      <c r="L271" s="11" t="n">
        <f aca="false">C271+F271</f>
        <v>73</v>
      </c>
    </row>
    <row r="272" customFormat="false" ht="15" hidden="false" customHeight="false" outlineLevel="0" collapsed="false">
      <c r="A272" s="11" t="n">
        <v>268</v>
      </c>
      <c r="B272" s="11" t="n">
        <f aca="false">MATCH(A272,월별!$C$6:$C$41,1)</f>
        <v>9</v>
      </c>
      <c r="C272" s="11" t="n">
        <f aca="false">L271</f>
        <v>73</v>
      </c>
      <c r="D272" s="24" t="n">
        <f aca="false">C272*가정!$B$8</f>
        <v>365</v>
      </c>
      <c r="E272" s="24" t="n">
        <f aca="false">H271+D271</f>
        <v>546.758793969847</v>
      </c>
      <c r="F272" s="11" t="n">
        <f aca="false">IF(가정!$B$11=1,MAX(0,MIN(가정!$B$16-C272,INT(E272/가정!$B$17))),0)</f>
        <v>2</v>
      </c>
      <c r="G272" s="24" t="n">
        <f aca="false">F272*가정!$B$17</f>
        <v>534.673366834171</v>
      </c>
      <c r="H272" s="24" t="n">
        <f aca="false">E272-G272</f>
        <v>12.0854271356765</v>
      </c>
      <c r="I272" s="24" t="n">
        <f aca="false">I271+D272</f>
        <v>20160</v>
      </c>
      <c r="J272" s="16" t="n">
        <f aca="false">(H272+D272)*가정!$B$10</f>
        <v>377.085427135676</v>
      </c>
      <c r="K272" s="24" t="n">
        <f aca="false">A272*가정!$B$8*가정!$B$7</f>
        <v>1340</v>
      </c>
      <c r="L272" s="11" t="n">
        <f aca="false">C272+F272</f>
        <v>75</v>
      </c>
    </row>
    <row r="273" customFormat="false" ht="15" hidden="false" customHeight="false" outlineLevel="0" collapsed="false">
      <c r="A273" s="11" t="n">
        <v>269</v>
      </c>
      <c r="B273" s="11" t="n">
        <f aca="false">MATCH(A273,월별!$C$6:$C$41,1)</f>
        <v>9</v>
      </c>
      <c r="C273" s="11" t="n">
        <f aca="false">L272</f>
        <v>75</v>
      </c>
      <c r="D273" s="24" t="n">
        <f aca="false">C273*가정!$B$8</f>
        <v>375</v>
      </c>
      <c r="E273" s="24" t="n">
        <f aca="false">H272+D272</f>
        <v>377.085427135676</v>
      </c>
      <c r="F273" s="11" t="n">
        <f aca="false">IF(가정!$B$11=1,MAX(0,MIN(가정!$B$16-C273,INT(E273/가정!$B$17))),0)</f>
        <v>1</v>
      </c>
      <c r="G273" s="24" t="n">
        <f aca="false">F273*가정!$B$17</f>
        <v>267.336683417085</v>
      </c>
      <c r="H273" s="24" t="n">
        <f aca="false">E273-G273</f>
        <v>109.748743718591</v>
      </c>
      <c r="I273" s="24" t="n">
        <f aca="false">I272+D273</f>
        <v>20535</v>
      </c>
      <c r="J273" s="16" t="n">
        <f aca="false">(H273+D273)*가정!$B$10</f>
        <v>484.748743718591</v>
      </c>
      <c r="K273" s="24" t="n">
        <f aca="false">A273*가정!$B$8*가정!$B$7</f>
        <v>1345</v>
      </c>
      <c r="L273" s="11" t="n">
        <f aca="false">C273+F273</f>
        <v>76</v>
      </c>
    </row>
    <row r="274" customFormat="false" ht="15" hidden="false" customHeight="false" outlineLevel="0" collapsed="false">
      <c r="A274" s="11" t="n">
        <v>270</v>
      </c>
      <c r="B274" s="11" t="n">
        <f aca="false">MATCH(A274,월별!$C$6:$C$41,1)</f>
        <v>9</v>
      </c>
      <c r="C274" s="11" t="n">
        <f aca="false">L273</f>
        <v>76</v>
      </c>
      <c r="D274" s="24" t="n">
        <f aca="false">C274*가정!$B$8</f>
        <v>380</v>
      </c>
      <c r="E274" s="24" t="n">
        <f aca="false">H273+D273</f>
        <v>484.748743718591</v>
      </c>
      <c r="F274" s="11" t="n">
        <f aca="false">IF(가정!$B$11=1,MAX(0,MIN(가정!$B$16-C274,INT(E274/가정!$B$17))),0)</f>
        <v>1</v>
      </c>
      <c r="G274" s="24" t="n">
        <f aca="false">F274*가정!$B$17</f>
        <v>267.336683417085</v>
      </c>
      <c r="H274" s="24" t="n">
        <f aca="false">E274-G274</f>
        <v>217.412060301506</v>
      </c>
      <c r="I274" s="24" t="n">
        <f aca="false">I273+D274</f>
        <v>20915</v>
      </c>
      <c r="J274" s="16" t="n">
        <f aca="false">(H274+D274)*가정!$B$10</f>
        <v>597.412060301506</v>
      </c>
      <c r="K274" s="24" t="n">
        <f aca="false">A274*가정!$B$8*가정!$B$7</f>
        <v>1350</v>
      </c>
      <c r="L274" s="11" t="n">
        <f aca="false">C274+F274</f>
        <v>77</v>
      </c>
    </row>
    <row r="275" customFormat="false" ht="15" hidden="false" customHeight="false" outlineLevel="0" collapsed="false">
      <c r="A275" s="11" t="n">
        <v>271</v>
      </c>
      <c r="B275" s="11" t="n">
        <f aca="false">MATCH(A275,월별!$C$6:$C$41,1)</f>
        <v>9</v>
      </c>
      <c r="C275" s="11" t="n">
        <f aca="false">L274</f>
        <v>77</v>
      </c>
      <c r="D275" s="24" t="n">
        <f aca="false">C275*가정!$B$8</f>
        <v>385</v>
      </c>
      <c r="E275" s="24" t="n">
        <f aca="false">H274+D274</f>
        <v>597.412060301506</v>
      </c>
      <c r="F275" s="11" t="n">
        <f aca="false">IF(가정!$B$11=1,MAX(0,MIN(가정!$B$16-C275,INT(E275/가정!$B$17))),0)</f>
        <v>2</v>
      </c>
      <c r="G275" s="24" t="n">
        <f aca="false">F275*가정!$B$17</f>
        <v>534.673366834171</v>
      </c>
      <c r="H275" s="24" t="n">
        <f aca="false">E275-G275</f>
        <v>62.7386934673347</v>
      </c>
      <c r="I275" s="24" t="n">
        <f aca="false">I274+D275</f>
        <v>21300</v>
      </c>
      <c r="J275" s="16" t="n">
        <f aca="false">(H275+D275)*가정!$B$10</f>
        <v>447.738693467335</v>
      </c>
      <c r="K275" s="24" t="n">
        <f aca="false">A275*가정!$B$8*가정!$B$7</f>
        <v>1355</v>
      </c>
      <c r="L275" s="11" t="n">
        <f aca="false">C275+F275</f>
        <v>79</v>
      </c>
    </row>
    <row r="276" customFormat="false" ht="15" hidden="false" customHeight="false" outlineLevel="0" collapsed="false">
      <c r="A276" s="11" t="n">
        <v>272</v>
      </c>
      <c r="B276" s="11" t="n">
        <f aca="false">MATCH(A276,월별!$C$6:$C$41,1)</f>
        <v>9</v>
      </c>
      <c r="C276" s="11" t="n">
        <f aca="false">L275</f>
        <v>79</v>
      </c>
      <c r="D276" s="24" t="n">
        <f aca="false">C276*가정!$B$8</f>
        <v>395</v>
      </c>
      <c r="E276" s="24" t="n">
        <f aca="false">H275+D275</f>
        <v>447.738693467335</v>
      </c>
      <c r="F276" s="11" t="n">
        <f aca="false">IF(가정!$B$11=1,MAX(0,MIN(가정!$B$16-C276,INT(E276/가정!$B$17))),0)</f>
        <v>1</v>
      </c>
      <c r="G276" s="24" t="n">
        <f aca="false">F276*가정!$B$17</f>
        <v>267.336683417085</v>
      </c>
      <c r="H276" s="24" t="n">
        <f aca="false">E276-G276</f>
        <v>180.402010050249</v>
      </c>
      <c r="I276" s="24" t="n">
        <f aca="false">I275+D276</f>
        <v>21695</v>
      </c>
      <c r="J276" s="16" t="n">
        <f aca="false">(H276+D276)*가정!$B$10</f>
        <v>575.402010050249</v>
      </c>
      <c r="K276" s="24" t="n">
        <f aca="false">A276*가정!$B$8*가정!$B$7</f>
        <v>1360</v>
      </c>
      <c r="L276" s="11" t="n">
        <f aca="false">C276+F276</f>
        <v>80</v>
      </c>
    </row>
    <row r="277" customFormat="false" ht="15" hidden="false" customHeight="false" outlineLevel="0" collapsed="false">
      <c r="A277" s="11" t="n">
        <v>273</v>
      </c>
      <c r="B277" s="11" t="n">
        <f aca="false">MATCH(A277,월별!$C$6:$C$41,1)</f>
        <v>9</v>
      </c>
      <c r="C277" s="11" t="n">
        <f aca="false">L276</f>
        <v>80</v>
      </c>
      <c r="D277" s="24" t="n">
        <f aca="false">C277*가정!$B$8</f>
        <v>400</v>
      </c>
      <c r="E277" s="24" t="n">
        <f aca="false">H276+D276</f>
        <v>575.402010050249</v>
      </c>
      <c r="F277" s="11" t="n">
        <f aca="false">IF(가정!$B$11=1,MAX(0,MIN(가정!$B$16-C277,INT(E277/가정!$B$17))),0)</f>
        <v>2</v>
      </c>
      <c r="G277" s="24" t="n">
        <f aca="false">F277*가정!$B$17</f>
        <v>534.673366834171</v>
      </c>
      <c r="H277" s="24" t="n">
        <f aca="false">E277-G277</f>
        <v>40.7286432160782</v>
      </c>
      <c r="I277" s="24" t="n">
        <f aca="false">I276+D277</f>
        <v>22095</v>
      </c>
      <c r="J277" s="16" t="n">
        <f aca="false">(H277+D277)*가정!$B$10</f>
        <v>440.728643216078</v>
      </c>
      <c r="K277" s="24" t="n">
        <f aca="false">A277*가정!$B$8*가정!$B$7</f>
        <v>1365</v>
      </c>
      <c r="L277" s="11" t="n">
        <f aca="false">C277+F277</f>
        <v>82</v>
      </c>
    </row>
    <row r="278" customFormat="false" ht="15" hidden="false" customHeight="false" outlineLevel="0" collapsed="false">
      <c r="A278" s="11" t="n">
        <v>274</v>
      </c>
      <c r="B278" s="11" t="n">
        <f aca="false">MATCH(A278,월별!$C$6:$C$41,1)</f>
        <v>9</v>
      </c>
      <c r="C278" s="11" t="n">
        <f aca="false">L277</f>
        <v>82</v>
      </c>
      <c r="D278" s="24" t="n">
        <f aca="false">C278*가정!$B$8</f>
        <v>410</v>
      </c>
      <c r="E278" s="24" t="n">
        <f aca="false">H277+D277</f>
        <v>440.728643216078</v>
      </c>
      <c r="F278" s="11" t="n">
        <f aca="false">IF(가정!$B$11=1,MAX(0,MIN(가정!$B$16-C278,INT(E278/가정!$B$17))),0)</f>
        <v>1</v>
      </c>
      <c r="G278" s="24" t="n">
        <f aca="false">F278*가정!$B$17</f>
        <v>267.336683417085</v>
      </c>
      <c r="H278" s="24" t="n">
        <f aca="false">E278-G278</f>
        <v>173.391959798993</v>
      </c>
      <c r="I278" s="24" t="n">
        <f aca="false">I277+D278</f>
        <v>22505</v>
      </c>
      <c r="J278" s="16" t="n">
        <f aca="false">(H278+D278)*가정!$B$10</f>
        <v>583.391959798993</v>
      </c>
      <c r="K278" s="24" t="n">
        <f aca="false">A278*가정!$B$8*가정!$B$7</f>
        <v>1370</v>
      </c>
      <c r="L278" s="11" t="n">
        <f aca="false">C278+F278</f>
        <v>83</v>
      </c>
    </row>
    <row r="279" customFormat="false" ht="15" hidden="false" customHeight="false" outlineLevel="0" collapsed="false">
      <c r="A279" s="11" t="n">
        <v>275</v>
      </c>
      <c r="B279" s="11" t="n">
        <f aca="false">MATCH(A279,월별!$C$6:$C$41,1)</f>
        <v>10</v>
      </c>
      <c r="C279" s="11" t="n">
        <f aca="false">L278</f>
        <v>83</v>
      </c>
      <c r="D279" s="24" t="n">
        <f aca="false">C279*가정!$B$8</f>
        <v>415</v>
      </c>
      <c r="E279" s="24" t="n">
        <f aca="false">H278+D278</f>
        <v>583.391959798993</v>
      </c>
      <c r="F279" s="11" t="n">
        <f aca="false">IF(가정!$B$11=1,MAX(0,MIN(가정!$B$16-C279,INT(E279/가정!$B$17))),0)</f>
        <v>2</v>
      </c>
      <c r="G279" s="24" t="n">
        <f aca="false">F279*가정!$B$17</f>
        <v>534.673366834171</v>
      </c>
      <c r="H279" s="24" t="n">
        <f aca="false">E279-G279</f>
        <v>48.7185929648218</v>
      </c>
      <c r="I279" s="24" t="n">
        <f aca="false">I278+D279</f>
        <v>22920</v>
      </c>
      <c r="J279" s="16" t="n">
        <f aca="false">(H279+D279)*가정!$B$10</f>
        <v>463.718592964822</v>
      </c>
      <c r="K279" s="24" t="n">
        <f aca="false">A279*가정!$B$8*가정!$B$7</f>
        <v>1375</v>
      </c>
      <c r="L279" s="11" t="n">
        <f aca="false">C279+F279</f>
        <v>85</v>
      </c>
    </row>
    <row r="280" customFormat="false" ht="15" hidden="false" customHeight="false" outlineLevel="0" collapsed="false">
      <c r="A280" s="11" t="n">
        <v>276</v>
      </c>
      <c r="B280" s="11" t="n">
        <f aca="false">MATCH(A280,월별!$C$6:$C$41,1)</f>
        <v>10</v>
      </c>
      <c r="C280" s="11" t="n">
        <f aca="false">L279</f>
        <v>85</v>
      </c>
      <c r="D280" s="24" t="n">
        <f aca="false">C280*가정!$B$8</f>
        <v>425</v>
      </c>
      <c r="E280" s="24" t="n">
        <f aca="false">H279+D279</f>
        <v>463.718592964822</v>
      </c>
      <c r="F280" s="11" t="n">
        <f aca="false">IF(가정!$B$11=1,MAX(0,MIN(가정!$B$16-C280,INT(E280/가정!$B$17))),0)</f>
        <v>1</v>
      </c>
      <c r="G280" s="24" t="n">
        <f aca="false">F280*가정!$B$17</f>
        <v>267.336683417085</v>
      </c>
      <c r="H280" s="24" t="n">
        <f aca="false">E280-G280</f>
        <v>196.381909547736</v>
      </c>
      <c r="I280" s="24" t="n">
        <f aca="false">I279+D280</f>
        <v>23345</v>
      </c>
      <c r="J280" s="16" t="n">
        <f aca="false">(H280+D280)*가정!$B$10</f>
        <v>621.381909547736</v>
      </c>
      <c r="K280" s="24" t="n">
        <f aca="false">A280*가정!$B$8*가정!$B$7</f>
        <v>1380</v>
      </c>
      <c r="L280" s="11" t="n">
        <f aca="false">C280+F280</f>
        <v>86</v>
      </c>
    </row>
    <row r="281" customFormat="false" ht="15" hidden="false" customHeight="false" outlineLevel="0" collapsed="false">
      <c r="A281" s="11" t="n">
        <v>277</v>
      </c>
      <c r="B281" s="11" t="n">
        <f aca="false">MATCH(A281,월별!$C$6:$C$41,1)</f>
        <v>10</v>
      </c>
      <c r="C281" s="11" t="n">
        <f aca="false">L280</f>
        <v>86</v>
      </c>
      <c r="D281" s="24" t="n">
        <f aca="false">C281*가정!$B$8</f>
        <v>430</v>
      </c>
      <c r="E281" s="24" t="n">
        <f aca="false">H280+D280</f>
        <v>621.381909547736</v>
      </c>
      <c r="F281" s="11" t="n">
        <f aca="false">IF(가정!$B$11=1,MAX(0,MIN(가정!$B$16-C281,INT(E281/가정!$B$17))),0)</f>
        <v>2</v>
      </c>
      <c r="G281" s="24" t="n">
        <f aca="false">F281*가정!$B$17</f>
        <v>534.673366834171</v>
      </c>
      <c r="H281" s="24" t="n">
        <f aca="false">E281-G281</f>
        <v>86.7085427135654</v>
      </c>
      <c r="I281" s="24" t="n">
        <f aca="false">I280+D281</f>
        <v>23775</v>
      </c>
      <c r="J281" s="16" t="n">
        <f aca="false">(H281+D281)*가정!$B$10</f>
        <v>516.708542713565</v>
      </c>
      <c r="K281" s="24" t="n">
        <f aca="false">A281*가정!$B$8*가정!$B$7</f>
        <v>1385</v>
      </c>
      <c r="L281" s="11" t="n">
        <f aca="false">C281+F281</f>
        <v>88</v>
      </c>
    </row>
    <row r="282" customFormat="false" ht="15" hidden="false" customHeight="false" outlineLevel="0" collapsed="false">
      <c r="A282" s="11" t="n">
        <v>278</v>
      </c>
      <c r="B282" s="11" t="n">
        <f aca="false">MATCH(A282,월별!$C$6:$C$41,1)</f>
        <v>10</v>
      </c>
      <c r="C282" s="11" t="n">
        <f aca="false">L281</f>
        <v>88</v>
      </c>
      <c r="D282" s="24" t="n">
        <f aca="false">C282*가정!$B$8</f>
        <v>440</v>
      </c>
      <c r="E282" s="24" t="n">
        <f aca="false">H281+D281</f>
        <v>516.708542713565</v>
      </c>
      <c r="F282" s="11" t="n">
        <f aca="false">IF(가정!$B$11=1,MAX(0,MIN(가정!$B$16-C282,INT(E282/가정!$B$17))),0)</f>
        <v>1</v>
      </c>
      <c r="G282" s="24" t="n">
        <f aca="false">F282*가정!$B$17</f>
        <v>267.336683417085</v>
      </c>
      <c r="H282" s="24" t="n">
        <f aca="false">E282-G282</f>
        <v>249.37185929648</v>
      </c>
      <c r="I282" s="24" t="n">
        <f aca="false">I281+D282</f>
        <v>24215</v>
      </c>
      <c r="J282" s="16" t="n">
        <f aca="false">(H282+D282)*가정!$B$10</f>
        <v>689.37185929648</v>
      </c>
      <c r="K282" s="24" t="n">
        <f aca="false">A282*가정!$B$8*가정!$B$7</f>
        <v>1390</v>
      </c>
      <c r="L282" s="11" t="n">
        <f aca="false">C282+F282</f>
        <v>89</v>
      </c>
    </row>
    <row r="283" customFormat="false" ht="15" hidden="false" customHeight="false" outlineLevel="0" collapsed="false">
      <c r="A283" s="11" t="n">
        <v>279</v>
      </c>
      <c r="B283" s="11" t="n">
        <f aca="false">MATCH(A283,월별!$C$6:$C$41,1)</f>
        <v>10</v>
      </c>
      <c r="C283" s="11" t="n">
        <f aca="false">L282</f>
        <v>89</v>
      </c>
      <c r="D283" s="24" t="n">
        <f aca="false">C283*가정!$B$8</f>
        <v>445</v>
      </c>
      <c r="E283" s="24" t="n">
        <f aca="false">H282+D282</f>
        <v>689.37185929648</v>
      </c>
      <c r="F283" s="11" t="n">
        <f aca="false">IF(가정!$B$11=1,MAX(0,MIN(가정!$B$16-C283,INT(E283/가정!$B$17))),0)</f>
        <v>2</v>
      </c>
      <c r="G283" s="24" t="n">
        <f aca="false">F283*가정!$B$17</f>
        <v>534.673366834171</v>
      </c>
      <c r="H283" s="24" t="n">
        <f aca="false">E283-G283</f>
        <v>154.698492462309</v>
      </c>
      <c r="I283" s="24" t="n">
        <f aca="false">I282+D283</f>
        <v>24660</v>
      </c>
      <c r="J283" s="16" t="n">
        <f aca="false">(H283+D283)*가정!$B$10</f>
        <v>599.698492462309</v>
      </c>
      <c r="K283" s="24" t="n">
        <f aca="false">A283*가정!$B$8*가정!$B$7</f>
        <v>1395</v>
      </c>
      <c r="L283" s="11" t="n">
        <f aca="false">C283+F283</f>
        <v>91</v>
      </c>
    </row>
    <row r="284" customFormat="false" ht="15" hidden="false" customHeight="false" outlineLevel="0" collapsed="false">
      <c r="A284" s="11" t="n">
        <v>280</v>
      </c>
      <c r="B284" s="11" t="n">
        <f aca="false">MATCH(A284,월별!$C$6:$C$41,1)</f>
        <v>10</v>
      </c>
      <c r="C284" s="11" t="n">
        <f aca="false">L283</f>
        <v>91</v>
      </c>
      <c r="D284" s="24" t="n">
        <f aca="false">C284*가정!$B$8</f>
        <v>455</v>
      </c>
      <c r="E284" s="24" t="n">
        <f aca="false">H283+D283</f>
        <v>599.698492462309</v>
      </c>
      <c r="F284" s="11" t="n">
        <f aca="false">IF(가정!$B$11=1,MAX(0,MIN(가정!$B$16-C284,INT(E284/가정!$B$17))),0)</f>
        <v>2</v>
      </c>
      <c r="G284" s="24" t="n">
        <f aca="false">F284*가정!$B$17</f>
        <v>534.673366834171</v>
      </c>
      <c r="H284" s="24" t="n">
        <f aca="false">E284-G284</f>
        <v>65.0251256281381</v>
      </c>
      <c r="I284" s="24" t="n">
        <f aca="false">I283+D284</f>
        <v>25115</v>
      </c>
      <c r="J284" s="16" t="n">
        <f aca="false">(H284+D284)*가정!$B$10</f>
        <v>520.025125628138</v>
      </c>
      <c r="K284" s="24" t="n">
        <f aca="false">A284*가정!$B$8*가정!$B$7</f>
        <v>1400</v>
      </c>
      <c r="L284" s="11" t="n">
        <f aca="false">C284+F284</f>
        <v>93</v>
      </c>
    </row>
    <row r="285" customFormat="false" ht="15" hidden="false" customHeight="false" outlineLevel="0" collapsed="false">
      <c r="A285" s="11" t="n">
        <v>281</v>
      </c>
      <c r="B285" s="11" t="n">
        <f aca="false">MATCH(A285,월별!$C$6:$C$41,1)</f>
        <v>10</v>
      </c>
      <c r="C285" s="11" t="n">
        <f aca="false">L284</f>
        <v>93</v>
      </c>
      <c r="D285" s="24" t="n">
        <f aca="false">C285*가정!$B$8</f>
        <v>465</v>
      </c>
      <c r="E285" s="24" t="n">
        <f aca="false">H284+D284</f>
        <v>520.025125628138</v>
      </c>
      <c r="F285" s="11" t="n">
        <f aca="false">IF(가정!$B$11=1,MAX(0,MIN(가정!$B$16-C285,INT(E285/가정!$B$17))),0)</f>
        <v>1</v>
      </c>
      <c r="G285" s="24" t="n">
        <f aca="false">F285*가정!$B$17</f>
        <v>267.336683417085</v>
      </c>
      <c r="H285" s="24" t="n">
        <f aca="false">E285-G285</f>
        <v>252.688442211053</v>
      </c>
      <c r="I285" s="24" t="n">
        <f aca="false">I284+D285</f>
        <v>25580</v>
      </c>
      <c r="J285" s="16" t="n">
        <f aca="false">(H285+D285)*가정!$B$10</f>
        <v>717.688442211053</v>
      </c>
      <c r="K285" s="24" t="n">
        <f aca="false">A285*가정!$B$8*가정!$B$7</f>
        <v>1405</v>
      </c>
      <c r="L285" s="11" t="n">
        <f aca="false">C285+F285</f>
        <v>94</v>
      </c>
    </row>
    <row r="286" customFormat="false" ht="15" hidden="false" customHeight="false" outlineLevel="0" collapsed="false">
      <c r="A286" s="11" t="n">
        <v>282</v>
      </c>
      <c r="B286" s="11" t="n">
        <f aca="false">MATCH(A286,월별!$C$6:$C$41,1)</f>
        <v>10</v>
      </c>
      <c r="C286" s="11" t="n">
        <f aca="false">L285</f>
        <v>94</v>
      </c>
      <c r="D286" s="24" t="n">
        <f aca="false">C286*가정!$B$8</f>
        <v>470</v>
      </c>
      <c r="E286" s="24" t="n">
        <f aca="false">H285+D285</f>
        <v>717.688442211053</v>
      </c>
      <c r="F286" s="11" t="n">
        <f aca="false">IF(가정!$B$11=1,MAX(0,MIN(가정!$B$16-C286,INT(E286/가정!$B$17))),0)</f>
        <v>2</v>
      </c>
      <c r="G286" s="24" t="n">
        <f aca="false">F286*가정!$B$17</f>
        <v>534.673366834171</v>
      </c>
      <c r="H286" s="24" t="n">
        <f aca="false">E286-G286</f>
        <v>183.015075376882</v>
      </c>
      <c r="I286" s="24" t="n">
        <f aca="false">I285+D286</f>
        <v>26050</v>
      </c>
      <c r="J286" s="16" t="n">
        <f aca="false">(H286+D286)*가정!$B$10</f>
        <v>653.015075376882</v>
      </c>
      <c r="K286" s="24" t="n">
        <f aca="false">A286*가정!$B$8*가정!$B$7</f>
        <v>1410</v>
      </c>
      <c r="L286" s="11" t="n">
        <f aca="false">C286+F286</f>
        <v>96</v>
      </c>
    </row>
    <row r="287" customFormat="false" ht="15" hidden="false" customHeight="false" outlineLevel="0" collapsed="false">
      <c r="A287" s="11" t="n">
        <v>283</v>
      </c>
      <c r="B287" s="11" t="n">
        <f aca="false">MATCH(A287,월별!$C$6:$C$41,1)</f>
        <v>10</v>
      </c>
      <c r="C287" s="11" t="n">
        <f aca="false">L286</f>
        <v>96</v>
      </c>
      <c r="D287" s="24" t="n">
        <f aca="false">C287*가정!$B$8</f>
        <v>480</v>
      </c>
      <c r="E287" s="24" t="n">
        <f aca="false">H286+D286</f>
        <v>653.015075376882</v>
      </c>
      <c r="F287" s="11" t="n">
        <f aca="false">IF(가정!$B$11=1,MAX(0,MIN(가정!$B$16-C287,INT(E287/가정!$B$17))),0)</f>
        <v>2</v>
      </c>
      <c r="G287" s="24" t="n">
        <f aca="false">F287*가정!$B$17</f>
        <v>534.673366834171</v>
      </c>
      <c r="H287" s="24" t="n">
        <f aca="false">E287-G287</f>
        <v>118.341708542711</v>
      </c>
      <c r="I287" s="24" t="n">
        <f aca="false">I286+D287</f>
        <v>26530</v>
      </c>
      <c r="J287" s="16" t="n">
        <f aca="false">(H287+D287)*가정!$B$10</f>
        <v>598.341708542711</v>
      </c>
      <c r="K287" s="24" t="n">
        <f aca="false">A287*가정!$B$8*가정!$B$7</f>
        <v>1415</v>
      </c>
      <c r="L287" s="11" t="n">
        <f aca="false">C287+F287</f>
        <v>98</v>
      </c>
    </row>
    <row r="288" customFormat="false" ht="15" hidden="false" customHeight="false" outlineLevel="0" collapsed="false">
      <c r="A288" s="11" t="n">
        <v>284</v>
      </c>
      <c r="B288" s="11" t="n">
        <f aca="false">MATCH(A288,월별!$C$6:$C$41,1)</f>
        <v>10</v>
      </c>
      <c r="C288" s="11" t="n">
        <f aca="false">L287</f>
        <v>98</v>
      </c>
      <c r="D288" s="24" t="n">
        <f aca="false">C288*가정!$B$8</f>
        <v>490</v>
      </c>
      <c r="E288" s="24" t="n">
        <f aca="false">H287+D287</f>
        <v>598.341708542711</v>
      </c>
      <c r="F288" s="11" t="n">
        <f aca="false">IF(가정!$B$11=1,MAX(0,MIN(가정!$B$16-C288,INT(E288/가정!$B$17))),0)</f>
        <v>2</v>
      </c>
      <c r="G288" s="24" t="n">
        <f aca="false">F288*가정!$B$17</f>
        <v>534.673366834171</v>
      </c>
      <c r="H288" s="24" t="n">
        <f aca="false">E288-G288</f>
        <v>63.66834170854</v>
      </c>
      <c r="I288" s="24" t="n">
        <f aca="false">I287+D288</f>
        <v>27020</v>
      </c>
      <c r="J288" s="16" t="n">
        <f aca="false">(H288+D288)*가정!$B$10</f>
        <v>553.66834170854</v>
      </c>
      <c r="K288" s="24" t="n">
        <f aca="false">A288*가정!$B$8*가정!$B$7</f>
        <v>1420</v>
      </c>
      <c r="L288" s="11" t="n">
        <f aca="false">C288+F288</f>
        <v>100</v>
      </c>
    </row>
    <row r="289" customFormat="false" ht="15" hidden="false" customHeight="false" outlineLevel="0" collapsed="false">
      <c r="A289" s="11" t="n">
        <v>285</v>
      </c>
      <c r="B289" s="11" t="n">
        <f aca="false">MATCH(A289,월별!$C$6:$C$41,1)</f>
        <v>10</v>
      </c>
      <c r="C289" s="11" t="n">
        <f aca="false">L288</f>
        <v>100</v>
      </c>
      <c r="D289" s="24" t="n">
        <f aca="false">C289*가정!$B$8</f>
        <v>500</v>
      </c>
      <c r="E289" s="24" t="n">
        <f aca="false">H288+D288</f>
        <v>553.66834170854</v>
      </c>
      <c r="F289" s="11" t="n">
        <f aca="false">IF(가정!$B$11=1,MAX(0,MIN(가정!$B$16-C289,INT(E289/가정!$B$17))),0)</f>
        <v>0</v>
      </c>
      <c r="G289" s="24" t="n">
        <f aca="false">F289*가정!$B$17</f>
        <v>0</v>
      </c>
      <c r="H289" s="24" t="n">
        <f aca="false">E289-G289</f>
        <v>553.66834170854</v>
      </c>
      <c r="I289" s="24" t="n">
        <f aca="false">I288+D289</f>
        <v>27520</v>
      </c>
      <c r="J289" s="16" t="n">
        <f aca="false">(H289+D289)*가정!$B$10</f>
        <v>1053.66834170854</v>
      </c>
      <c r="K289" s="24" t="n">
        <f aca="false">A289*가정!$B$8*가정!$B$7</f>
        <v>1425</v>
      </c>
      <c r="L289" s="11" t="n">
        <f aca="false">C289+F289</f>
        <v>100</v>
      </c>
    </row>
    <row r="290" customFormat="false" ht="15" hidden="false" customHeight="false" outlineLevel="0" collapsed="false">
      <c r="A290" s="11" t="n">
        <v>286</v>
      </c>
      <c r="B290" s="11" t="n">
        <f aca="false">MATCH(A290,월별!$C$6:$C$41,1)</f>
        <v>10</v>
      </c>
      <c r="C290" s="11" t="n">
        <f aca="false">L289</f>
        <v>100</v>
      </c>
      <c r="D290" s="24" t="n">
        <f aca="false">C290*가정!$B$8</f>
        <v>500</v>
      </c>
      <c r="E290" s="24" t="n">
        <f aca="false">H289+D289</f>
        <v>1053.66834170854</v>
      </c>
      <c r="F290" s="11" t="n">
        <f aca="false">IF(가정!$B$11=1,MAX(0,MIN(가정!$B$16-C290,INT(E290/가정!$B$17))),0)</f>
        <v>0</v>
      </c>
      <c r="G290" s="24" t="n">
        <f aca="false">F290*가정!$B$17</f>
        <v>0</v>
      </c>
      <c r="H290" s="24" t="n">
        <f aca="false">E290-G290</f>
        <v>1053.66834170854</v>
      </c>
      <c r="I290" s="24" t="n">
        <f aca="false">I289+D290</f>
        <v>28020</v>
      </c>
      <c r="J290" s="16" t="n">
        <f aca="false">(H290+D290)*가정!$B$10</f>
        <v>1553.66834170854</v>
      </c>
      <c r="K290" s="24" t="n">
        <f aca="false">A290*가정!$B$8*가정!$B$7</f>
        <v>1430</v>
      </c>
      <c r="L290" s="11" t="n">
        <f aca="false">C290+F290</f>
        <v>100</v>
      </c>
    </row>
    <row r="291" customFormat="false" ht="15" hidden="false" customHeight="false" outlineLevel="0" collapsed="false">
      <c r="A291" s="11" t="n">
        <v>287</v>
      </c>
      <c r="B291" s="11" t="n">
        <f aca="false">MATCH(A291,월별!$C$6:$C$41,1)</f>
        <v>10</v>
      </c>
      <c r="C291" s="11" t="n">
        <f aca="false">L290</f>
        <v>100</v>
      </c>
      <c r="D291" s="24" t="n">
        <f aca="false">C291*가정!$B$8</f>
        <v>500</v>
      </c>
      <c r="E291" s="24" t="n">
        <f aca="false">H290+D290</f>
        <v>1553.66834170854</v>
      </c>
      <c r="F291" s="11" t="n">
        <f aca="false">IF(가정!$B$11=1,MAX(0,MIN(가정!$B$16-C291,INT(E291/가정!$B$17))),0)</f>
        <v>0</v>
      </c>
      <c r="G291" s="24" t="n">
        <f aca="false">F291*가정!$B$17</f>
        <v>0</v>
      </c>
      <c r="H291" s="24" t="n">
        <f aca="false">E291-G291</f>
        <v>1553.66834170854</v>
      </c>
      <c r="I291" s="24" t="n">
        <f aca="false">I290+D291</f>
        <v>28520</v>
      </c>
      <c r="J291" s="16" t="n">
        <f aca="false">(H291+D291)*가정!$B$10</f>
        <v>2053.66834170854</v>
      </c>
      <c r="K291" s="24" t="n">
        <f aca="false">A291*가정!$B$8*가정!$B$7</f>
        <v>1435</v>
      </c>
      <c r="L291" s="11" t="n">
        <f aca="false">C291+F291</f>
        <v>100</v>
      </c>
    </row>
    <row r="292" customFormat="false" ht="15" hidden="false" customHeight="false" outlineLevel="0" collapsed="false">
      <c r="A292" s="11" t="n">
        <v>288</v>
      </c>
      <c r="B292" s="11" t="n">
        <f aca="false">MATCH(A292,월별!$C$6:$C$41,1)</f>
        <v>10</v>
      </c>
      <c r="C292" s="11" t="n">
        <f aca="false">L291</f>
        <v>100</v>
      </c>
      <c r="D292" s="24" t="n">
        <f aca="false">C292*가정!$B$8</f>
        <v>500</v>
      </c>
      <c r="E292" s="24" t="n">
        <f aca="false">H291+D291</f>
        <v>2053.66834170854</v>
      </c>
      <c r="F292" s="11" t="n">
        <f aca="false">IF(가정!$B$11=1,MAX(0,MIN(가정!$B$16-C292,INT(E292/가정!$B$17))),0)</f>
        <v>0</v>
      </c>
      <c r="G292" s="24" t="n">
        <f aca="false">F292*가정!$B$17</f>
        <v>0</v>
      </c>
      <c r="H292" s="24" t="n">
        <f aca="false">E292-G292</f>
        <v>2053.66834170854</v>
      </c>
      <c r="I292" s="24" t="n">
        <f aca="false">I291+D292</f>
        <v>29020</v>
      </c>
      <c r="J292" s="16" t="n">
        <f aca="false">(H292+D292)*가정!$B$10</f>
        <v>2553.66834170854</v>
      </c>
      <c r="K292" s="24" t="n">
        <f aca="false">A292*가정!$B$8*가정!$B$7</f>
        <v>1440</v>
      </c>
      <c r="L292" s="11" t="n">
        <f aca="false">C292+F292</f>
        <v>100</v>
      </c>
    </row>
    <row r="293" customFormat="false" ht="15" hidden="false" customHeight="false" outlineLevel="0" collapsed="false">
      <c r="A293" s="11" t="n">
        <v>289</v>
      </c>
      <c r="B293" s="11" t="n">
        <f aca="false">MATCH(A293,월별!$C$6:$C$41,1)</f>
        <v>10</v>
      </c>
      <c r="C293" s="11" t="n">
        <f aca="false">L292</f>
        <v>100</v>
      </c>
      <c r="D293" s="24" t="n">
        <f aca="false">C293*가정!$B$8</f>
        <v>500</v>
      </c>
      <c r="E293" s="24" t="n">
        <f aca="false">H292+D292</f>
        <v>2553.66834170854</v>
      </c>
      <c r="F293" s="11" t="n">
        <f aca="false">IF(가정!$B$11=1,MAX(0,MIN(가정!$B$16-C293,INT(E293/가정!$B$17))),0)</f>
        <v>0</v>
      </c>
      <c r="G293" s="24" t="n">
        <f aca="false">F293*가정!$B$17</f>
        <v>0</v>
      </c>
      <c r="H293" s="24" t="n">
        <f aca="false">E293-G293</f>
        <v>2553.66834170854</v>
      </c>
      <c r="I293" s="24" t="n">
        <f aca="false">I292+D293</f>
        <v>29520</v>
      </c>
      <c r="J293" s="16" t="n">
        <f aca="false">(H293+D293)*가정!$B$10</f>
        <v>3053.66834170854</v>
      </c>
      <c r="K293" s="24" t="n">
        <f aca="false">A293*가정!$B$8*가정!$B$7</f>
        <v>1445</v>
      </c>
      <c r="L293" s="11" t="n">
        <f aca="false">C293+F293</f>
        <v>100</v>
      </c>
    </row>
    <row r="294" customFormat="false" ht="15" hidden="false" customHeight="false" outlineLevel="0" collapsed="false">
      <c r="A294" s="11" t="n">
        <v>290</v>
      </c>
      <c r="B294" s="11" t="n">
        <f aca="false">MATCH(A294,월별!$C$6:$C$41,1)</f>
        <v>10</v>
      </c>
      <c r="C294" s="11" t="n">
        <f aca="false">L293</f>
        <v>100</v>
      </c>
      <c r="D294" s="24" t="n">
        <f aca="false">C294*가정!$B$8</f>
        <v>500</v>
      </c>
      <c r="E294" s="24" t="n">
        <f aca="false">H293+D293</f>
        <v>3053.66834170854</v>
      </c>
      <c r="F294" s="11" t="n">
        <f aca="false">IF(가정!$B$11=1,MAX(0,MIN(가정!$B$16-C294,INT(E294/가정!$B$17))),0)</f>
        <v>0</v>
      </c>
      <c r="G294" s="24" t="n">
        <f aca="false">F294*가정!$B$17</f>
        <v>0</v>
      </c>
      <c r="H294" s="24" t="n">
        <f aca="false">E294-G294</f>
        <v>3053.66834170854</v>
      </c>
      <c r="I294" s="24" t="n">
        <f aca="false">I293+D294</f>
        <v>30020</v>
      </c>
      <c r="J294" s="16" t="n">
        <f aca="false">(H294+D294)*가정!$B$10</f>
        <v>3553.66834170854</v>
      </c>
      <c r="K294" s="24" t="n">
        <f aca="false">A294*가정!$B$8*가정!$B$7</f>
        <v>1450</v>
      </c>
      <c r="L294" s="11" t="n">
        <f aca="false">C294+F294</f>
        <v>100</v>
      </c>
    </row>
    <row r="295" customFormat="false" ht="15" hidden="false" customHeight="false" outlineLevel="0" collapsed="false">
      <c r="A295" s="11" t="n">
        <v>291</v>
      </c>
      <c r="B295" s="11" t="n">
        <f aca="false">MATCH(A295,월별!$C$6:$C$41,1)</f>
        <v>10</v>
      </c>
      <c r="C295" s="11" t="n">
        <f aca="false">L294</f>
        <v>100</v>
      </c>
      <c r="D295" s="24" t="n">
        <f aca="false">C295*가정!$B$8</f>
        <v>500</v>
      </c>
      <c r="E295" s="24" t="n">
        <f aca="false">H294+D294</f>
        <v>3553.66834170854</v>
      </c>
      <c r="F295" s="11" t="n">
        <f aca="false">IF(가정!$B$11=1,MAX(0,MIN(가정!$B$16-C295,INT(E295/가정!$B$17))),0)</f>
        <v>0</v>
      </c>
      <c r="G295" s="24" t="n">
        <f aca="false">F295*가정!$B$17</f>
        <v>0</v>
      </c>
      <c r="H295" s="24" t="n">
        <f aca="false">E295-G295</f>
        <v>3553.66834170854</v>
      </c>
      <c r="I295" s="24" t="n">
        <f aca="false">I294+D295</f>
        <v>30520</v>
      </c>
      <c r="J295" s="16" t="n">
        <f aca="false">(H295+D295)*가정!$B$10</f>
        <v>4053.66834170854</v>
      </c>
      <c r="K295" s="24" t="n">
        <f aca="false">A295*가정!$B$8*가정!$B$7</f>
        <v>1455</v>
      </c>
      <c r="L295" s="11" t="n">
        <f aca="false">C295+F295</f>
        <v>100</v>
      </c>
    </row>
    <row r="296" customFormat="false" ht="15" hidden="false" customHeight="false" outlineLevel="0" collapsed="false">
      <c r="A296" s="11" t="n">
        <v>292</v>
      </c>
      <c r="B296" s="11" t="n">
        <f aca="false">MATCH(A296,월별!$C$6:$C$41,1)</f>
        <v>10</v>
      </c>
      <c r="C296" s="11" t="n">
        <f aca="false">L295</f>
        <v>100</v>
      </c>
      <c r="D296" s="24" t="n">
        <f aca="false">C296*가정!$B$8</f>
        <v>500</v>
      </c>
      <c r="E296" s="24" t="n">
        <f aca="false">H295+D295</f>
        <v>4053.66834170854</v>
      </c>
      <c r="F296" s="11" t="n">
        <f aca="false">IF(가정!$B$11=1,MAX(0,MIN(가정!$B$16-C296,INT(E296/가정!$B$17))),0)</f>
        <v>0</v>
      </c>
      <c r="G296" s="24" t="n">
        <f aca="false">F296*가정!$B$17</f>
        <v>0</v>
      </c>
      <c r="H296" s="24" t="n">
        <f aca="false">E296-G296</f>
        <v>4053.66834170854</v>
      </c>
      <c r="I296" s="24" t="n">
        <f aca="false">I295+D296</f>
        <v>31020</v>
      </c>
      <c r="J296" s="16" t="n">
        <f aca="false">(H296+D296)*가정!$B$10</f>
        <v>4553.66834170854</v>
      </c>
      <c r="K296" s="24" t="n">
        <f aca="false">A296*가정!$B$8*가정!$B$7</f>
        <v>1460</v>
      </c>
      <c r="L296" s="11" t="n">
        <f aca="false">C296+F296</f>
        <v>100</v>
      </c>
    </row>
    <row r="297" customFormat="false" ht="15" hidden="false" customHeight="false" outlineLevel="0" collapsed="false">
      <c r="A297" s="11" t="n">
        <v>293</v>
      </c>
      <c r="B297" s="11" t="n">
        <f aca="false">MATCH(A297,월별!$C$6:$C$41,1)</f>
        <v>10</v>
      </c>
      <c r="C297" s="11" t="n">
        <f aca="false">L296</f>
        <v>100</v>
      </c>
      <c r="D297" s="24" t="n">
        <f aca="false">C297*가정!$B$8</f>
        <v>500</v>
      </c>
      <c r="E297" s="24" t="n">
        <f aca="false">H296+D296</f>
        <v>4553.66834170854</v>
      </c>
      <c r="F297" s="11" t="n">
        <f aca="false">IF(가정!$B$11=1,MAX(0,MIN(가정!$B$16-C297,INT(E297/가정!$B$17))),0)</f>
        <v>0</v>
      </c>
      <c r="G297" s="24" t="n">
        <f aca="false">F297*가정!$B$17</f>
        <v>0</v>
      </c>
      <c r="H297" s="24" t="n">
        <f aca="false">E297-G297</f>
        <v>4553.66834170854</v>
      </c>
      <c r="I297" s="24" t="n">
        <f aca="false">I296+D297</f>
        <v>31520</v>
      </c>
      <c r="J297" s="16" t="n">
        <f aca="false">(H297+D297)*가정!$B$10</f>
        <v>5053.66834170854</v>
      </c>
      <c r="K297" s="24" t="n">
        <f aca="false">A297*가정!$B$8*가정!$B$7</f>
        <v>1465</v>
      </c>
      <c r="L297" s="11" t="n">
        <f aca="false">C297+F297</f>
        <v>100</v>
      </c>
    </row>
    <row r="298" customFormat="false" ht="15" hidden="false" customHeight="false" outlineLevel="0" collapsed="false">
      <c r="A298" s="11" t="n">
        <v>294</v>
      </c>
      <c r="B298" s="11" t="n">
        <f aca="false">MATCH(A298,월별!$C$6:$C$41,1)</f>
        <v>10</v>
      </c>
      <c r="C298" s="11" t="n">
        <f aca="false">L297</f>
        <v>100</v>
      </c>
      <c r="D298" s="24" t="n">
        <f aca="false">C298*가정!$B$8</f>
        <v>500</v>
      </c>
      <c r="E298" s="24" t="n">
        <f aca="false">H297+D297</f>
        <v>5053.66834170854</v>
      </c>
      <c r="F298" s="11" t="n">
        <f aca="false">IF(가정!$B$11=1,MAX(0,MIN(가정!$B$16-C298,INT(E298/가정!$B$17))),0)</f>
        <v>0</v>
      </c>
      <c r="G298" s="24" t="n">
        <f aca="false">F298*가정!$B$17</f>
        <v>0</v>
      </c>
      <c r="H298" s="24" t="n">
        <f aca="false">E298-G298</f>
        <v>5053.66834170854</v>
      </c>
      <c r="I298" s="24" t="n">
        <f aca="false">I297+D298</f>
        <v>32020</v>
      </c>
      <c r="J298" s="16" t="n">
        <f aca="false">(H298+D298)*가정!$B$10</f>
        <v>5553.66834170854</v>
      </c>
      <c r="K298" s="24" t="n">
        <f aca="false">A298*가정!$B$8*가정!$B$7</f>
        <v>1470</v>
      </c>
      <c r="L298" s="11" t="n">
        <f aca="false">C298+F298</f>
        <v>100</v>
      </c>
    </row>
    <row r="299" customFormat="false" ht="15" hidden="false" customHeight="false" outlineLevel="0" collapsed="false">
      <c r="A299" s="11" t="n">
        <v>295</v>
      </c>
      <c r="B299" s="11" t="n">
        <f aca="false">MATCH(A299,월별!$C$6:$C$41,1)</f>
        <v>10</v>
      </c>
      <c r="C299" s="11" t="n">
        <f aca="false">L298</f>
        <v>100</v>
      </c>
      <c r="D299" s="24" t="n">
        <f aca="false">C299*가정!$B$8</f>
        <v>500</v>
      </c>
      <c r="E299" s="24" t="n">
        <f aca="false">H298+D298</f>
        <v>5553.66834170854</v>
      </c>
      <c r="F299" s="11" t="n">
        <f aca="false">IF(가정!$B$11=1,MAX(0,MIN(가정!$B$16-C299,INT(E299/가정!$B$17))),0)</f>
        <v>0</v>
      </c>
      <c r="G299" s="24" t="n">
        <f aca="false">F299*가정!$B$17</f>
        <v>0</v>
      </c>
      <c r="H299" s="24" t="n">
        <f aca="false">E299-G299</f>
        <v>5553.66834170854</v>
      </c>
      <c r="I299" s="24" t="n">
        <f aca="false">I298+D299</f>
        <v>32520</v>
      </c>
      <c r="J299" s="16" t="n">
        <f aca="false">(H299+D299)*가정!$B$10</f>
        <v>6053.66834170854</v>
      </c>
      <c r="K299" s="24" t="n">
        <f aca="false">A299*가정!$B$8*가정!$B$7</f>
        <v>1475</v>
      </c>
      <c r="L299" s="11" t="n">
        <f aca="false">C299+F299</f>
        <v>100</v>
      </c>
    </row>
    <row r="300" customFormat="false" ht="15" hidden="false" customHeight="false" outlineLevel="0" collapsed="false">
      <c r="A300" s="11" t="n">
        <v>296</v>
      </c>
      <c r="B300" s="11" t="n">
        <f aca="false">MATCH(A300,월별!$C$6:$C$41,1)</f>
        <v>10</v>
      </c>
      <c r="C300" s="11" t="n">
        <f aca="false">L299</f>
        <v>100</v>
      </c>
      <c r="D300" s="24" t="n">
        <f aca="false">C300*가정!$B$8</f>
        <v>500</v>
      </c>
      <c r="E300" s="24" t="n">
        <f aca="false">H299+D299</f>
        <v>6053.66834170854</v>
      </c>
      <c r="F300" s="11" t="n">
        <f aca="false">IF(가정!$B$11=1,MAX(0,MIN(가정!$B$16-C300,INT(E300/가정!$B$17))),0)</f>
        <v>0</v>
      </c>
      <c r="G300" s="24" t="n">
        <f aca="false">F300*가정!$B$17</f>
        <v>0</v>
      </c>
      <c r="H300" s="24" t="n">
        <f aca="false">E300-G300</f>
        <v>6053.66834170854</v>
      </c>
      <c r="I300" s="24" t="n">
        <f aca="false">I299+D300</f>
        <v>33020</v>
      </c>
      <c r="J300" s="16" t="n">
        <f aca="false">(H300+D300)*가정!$B$10</f>
        <v>6553.66834170854</v>
      </c>
      <c r="K300" s="24" t="n">
        <f aca="false">A300*가정!$B$8*가정!$B$7</f>
        <v>1480</v>
      </c>
      <c r="L300" s="11" t="n">
        <f aca="false">C300+F300</f>
        <v>100</v>
      </c>
    </row>
    <row r="301" customFormat="false" ht="15" hidden="false" customHeight="false" outlineLevel="0" collapsed="false">
      <c r="A301" s="11" t="n">
        <v>297</v>
      </c>
      <c r="B301" s="11" t="n">
        <f aca="false">MATCH(A301,월별!$C$6:$C$41,1)</f>
        <v>10</v>
      </c>
      <c r="C301" s="11" t="n">
        <f aca="false">L300</f>
        <v>100</v>
      </c>
      <c r="D301" s="24" t="n">
        <f aca="false">C301*가정!$B$8</f>
        <v>500</v>
      </c>
      <c r="E301" s="24" t="n">
        <f aca="false">H300+D300</f>
        <v>6553.66834170854</v>
      </c>
      <c r="F301" s="11" t="n">
        <f aca="false">IF(가정!$B$11=1,MAX(0,MIN(가정!$B$16-C301,INT(E301/가정!$B$17))),0)</f>
        <v>0</v>
      </c>
      <c r="G301" s="24" t="n">
        <f aca="false">F301*가정!$B$17</f>
        <v>0</v>
      </c>
      <c r="H301" s="24" t="n">
        <f aca="false">E301-G301</f>
        <v>6553.66834170854</v>
      </c>
      <c r="I301" s="24" t="n">
        <f aca="false">I300+D301</f>
        <v>33520</v>
      </c>
      <c r="J301" s="16" t="n">
        <f aca="false">(H301+D301)*가정!$B$10</f>
        <v>7053.66834170854</v>
      </c>
      <c r="K301" s="24" t="n">
        <f aca="false">A301*가정!$B$8*가정!$B$7</f>
        <v>1485</v>
      </c>
      <c r="L301" s="11" t="n">
        <f aca="false">C301+F301</f>
        <v>100</v>
      </c>
    </row>
    <row r="302" customFormat="false" ht="15" hidden="false" customHeight="false" outlineLevel="0" collapsed="false">
      <c r="A302" s="11" t="n">
        <v>298</v>
      </c>
      <c r="B302" s="11" t="n">
        <f aca="false">MATCH(A302,월별!$C$6:$C$41,1)</f>
        <v>10</v>
      </c>
      <c r="C302" s="11" t="n">
        <f aca="false">L301</f>
        <v>100</v>
      </c>
      <c r="D302" s="24" t="n">
        <f aca="false">C302*가정!$B$8</f>
        <v>500</v>
      </c>
      <c r="E302" s="24" t="n">
        <f aca="false">H301+D301</f>
        <v>7053.66834170854</v>
      </c>
      <c r="F302" s="11" t="n">
        <f aca="false">IF(가정!$B$11=1,MAX(0,MIN(가정!$B$16-C302,INT(E302/가정!$B$17))),0)</f>
        <v>0</v>
      </c>
      <c r="G302" s="24" t="n">
        <f aca="false">F302*가정!$B$17</f>
        <v>0</v>
      </c>
      <c r="H302" s="24" t="n">
        <f aca="false">E302-G302</f>
        <v>7053.66834170854</v>
      </c>
      <c r="I302" s="24" t="n">
        <f aca="false">I301+D302</f>
        <v>34020</v>
      </c>
      <c r="J302" s="16" t="n">
        <f aca="false">(H302+D302)*가정!$B$10</f>
        <v>7553.66834170854</v>
      </c>
      <c r="K302" s="24" t="n">
        <f aca="false">A302*가정!$B$8*가정!$B$7</f>
        <v>1490</v>
      </c>
      <c r="L302" s="11" t="n">
        <f aca="false">C302+F302</f>
        <v>100</v>
      </c>
    </row>
    <row r="303" customFormat="false" ht="15" hidden="false" customHeight="false" outlineLevel="0" collapsed="false">
      <c r="A303" s="11" t="n">
        <v>299</v>
      </c>
      <c r="B303" s="11" t="n">
        <f aca="false">MATCH(A303,월별!$C$6:$C$41,1)</f>
        <v>10</v>
      </c>
      <c r="C303" s="11" t="n">
        <f aca="false">L302</f>
        <v>100</v>
      </c>
      <c r="D303" s="24" t="n">
        <f aca="false">C303*가정!$B$8</f>
        <v>500</v>
      </c>
      <c r="E303" s="24" t="n">
        <f aca="false">H302+D302</f>
        <v>7553.66834170854</v>
      </c>
      <c r="F303" s="11" t="n">
        <f aca="false">IF(가정!$B$11=1,MAX(0,MIN(가정!$B$16-C303,INT(E303/가정!$B$17))),0)</f>
        <v>0</v>
      </c>
      <c r="G303" s="24" t="n">
        <f aca="false">F303*가정!$B$17</f>
        <v>0</v>
      </c>
      <c r="H303" s="24" t="n">
        <f aca="false">E303-G303</f>
        <v>7553.66834170854</v>
      </c>
      <c r="I303" s="24" t="n">
        <f aca="false">I302+D303</f>
        <v>34520</v>
      </c>
      <c r="J303" s="16" t="n">
        <f aca="false">(H303+D303)*가정!$B$10</f>
        <v>8053.66834170854</v>
      </c>
      <c r="K303" s="24" t="n">
        <f aca="false">A303*가정!$B$8*가정!$B$7</f>
        <v>1495</v>
      </c>
      <c r="L303" s="11" t="n">
        <f aca="false">C303+F303</f>
        <v>100</v>
      </c>
    </row>
    <row r="304" customFormat="false" ht="15" hidden="false" customHeight="false" outlineLevel="0" collapsed="false">
      <c r="A304" s="11" t="n">
        <v>300</v>
      </c>
      <c r="B304" s="11" t="n">
        <f aca="false">MATCH(A304,월별!$C$6:$C$41,1)</f>
        <v>10</v>
      </c>
      <c r="C304" s="11" t="n">
        <f aca="false">L303</f>
        <v>100</v>
      </c>
      <c r="D304" s="24" t="n">
        <f aca="false">C304*가정!$B$8</f>
        <v>500</v>
      </c>
      <c r="E304" s="24" t="n">
        <f aca="false">H303+D303</f>
        <v>8053.66834170854</v>
      </c>
      <c r="F304" s="11" t="n">
        <f aca="false">IF(가정!$B$11=1,MAX(0,MIN(가정!$B$16-C304,INT(E304/가정!$B$17))),0)</f>
        <v>0</v>
      </c>
      <c r="G304" s="24" t="n">
        <f aca="false">F304*가정!$B$17</f>
        <v>0</v>
      </c>
      <c r="H304" s="24" t="n">
        <f aca="false">E304-G304</f>
        <v>8053.66834170854</v>
      </c>
      <c r="I304" s="24" t="n">
        <f aca="false">I303+D304</f>
        <v>35020</v>
      </c>
      <c r="J304" s="16" t="n">
        <f aca="false">(H304+D304)*가정!$B$10</f>
        <v>8553.66834170854</v>
      </c>
      <c r="K304" s="24" t="n">
        <f aca="false">A304*가정!$B$8*가정!$B$7</f>
        <v>1500</v>
      </c>
      <c r="L304" s="11" t="n">
        <f aca="false">C304+F304</f>
        <v>100</v>
      </c>
    </row>
    <row r="305" customFormat="false" ht="15" hidden="false" customHeight="false" outlineLevel="0" collapsed="false">
      <c r="A305" s="11" t="n">
        <v>301</v>
      </c>
      <c r="B305" s="11" t="n">
        <f aca="false">MATCH(A305,월별!$C$6:$C$41,1)</f>
        <v>10</v>
      </c>
      <c r="C305" s="11" t="n">
        <f aca="false">L304</f>
        <v>100</v>
      </c>
      <c r="D305" s="24" t="n">
        <f aca="false">C305*가정!$B$8</f>
        <v>500</v>
      </c>
      <c r="E305" s="24" t="n">
        <f aca="false">H304+D304</f>
        <v>8553.66834170854</v>
      </c>
      <c r="F305" s="11" t="n">
        <f aca="false">IF(가정!$B$11=1,MAX(0,MIN(가정!$B$16-C305,INT(E305/가정!$B$17))),0)</f>
        <v>0</v>
      </c>
      <c r="G305" s="24" t="n">
        <f aca="false">F305*가정!$B$17</f>
        <v>0</v>
      </c>
      <c r="H305" s="24" t="n">
        <f aca="false">E305-G305</f>
        <v>8553.66834170854</v>
      </c>
      <c r="I305" s="24" t="n">
        <f aca="false">I304+D305</f>
        <v>35520</v>
      </c>
      <c r="J305" s="16" t="n">
        <f aca="false">(H305+D305)*가정!$B$10</f>
        <v>9053.66834170854</v>
      </c>
      <c r="K305" s="24" t="n">
        <f aca="false">A305*가정!$B$8*가정!$B$7</f>
        <v>1505</v>
      </c>
      <c r="L305" s="11" t="n">
        <f aca="false">C305+F305</f>
        <v>100</v>
      </c>
    </row>
    <row r="306" customFormat="false" ht="15" hidden="false" customHeight="false" outlineLevel="0" collapsed="false">
      <c r="A306" s="11" t="n">
        <v>302</v>
      </c>
      <c r="B306" s="11" t="n">
        <f aca="false">MATCH(A306,월별!$C$6:$C$41,1)</f>
        <v>10</v>
      </c>
      <c r="C306" s="11" t="n">
        <f aca="false">L305</f>
        <v>100</v>
      </c>
      <c r="D306" s="24" t="n">
        <f aca="false">C306*가정!$B$8</f>
        <v>500</v>
      </c>
      <c r="E306" s="24" t="n">
        <f aca="false">H305+D305</f>
        <v>9053.66834170854</v>
      </c>
      <c r="F306" s="11" t="n">
        <f aca="false">IF(가정!$B$11=1,MAX(0,MIN(가정!$B$16-C306,INT(E306/가정!$B$17))),0)</f>
        <v>0</v>
      </c>
      <c r="G306" s="24" t="n">
        <f aca="false">F306*가정!$B$17</f>
        <v>0</v>
      </c>
      <c r="H306" s="24" t="n">
        <f aca="false">E306-G306</f>
        <v>9053.66834170854</v>
      </c>
      <c r="I306" s="24" t="n">
        <f aca="false">I305+D306</f>
        <v>36020</v>
      </c>
      <c r="J306" s="16" t="n">
        <f aca="false">(H306+D306)*가정!$B$10</f>
        <v>9553.66834170854</v>
      </c>
      <c r="K306" s="24" t="n">
        <f aca="false">A306*가정!$B$8*가정!$B$7</f>
        <v>1510</v>
      </c>
      <c r="L306" s="11" t="n">
        <f aca="false">C306+F306</f>
        <v>100</v>
      </c>
    </row>
    <row r="307" customFormat="false" ht="15" hidden="false" customHeight="false" outlineLevel="0" collapsed="false">
      <c r="A307" s="11" t="n">
        <v>303</v>
      </c>
      <c r="B307" s="11" t="n">
        <f aca="false">MATCH(A307,월별!$C$6:$C$41,1)</f>
        <v>10</v>
      </c>
      <c r="C307" s="11" t="n">
        <f aca="false">L306</f>
        <v>100</v>
      </c>
      <c r="D307" s="24" t="n">
        <f aca="false">C307*가정!$B$8</f>
        <v>500</v>
      </c>
      <c r="E307" s="24" t="n">
        <f aca="false">H306+D306</f>
        <v>9553.66834170854</v>
      </c>
      <c r="F307" s="11" t="n">
        <f aca="false">IF(가정!$B$11=1,MAX(0,MIN(가정!$B$16-C307,INT(E307/가정!$B$17))),0)</f>
        <v>0</v>
      </c>
      <c r="G307" s="24" t="n">
        <f aca="false">F307*가정!$B$17</f>
        <v>0</v>
      </c>
      <c r="H307" s="24" t="n">
        <f aca="false">E307-G307</f>
        <v>9553.66834170854</v>
      </c>
      <c r="I307" s="24" t="n">
        <f aca="false">I306+D307</f>
        <v>36520</v>
      </c>
      <c r="J307" s="16" t="n">
        <f aca="false">(H307+D307)*가정!$B$10</f>
        <v>10053.6683417085</v>
      </c>
      <c r="K307" s="24" t="n">
        <f aca="false">A307*가정!$B$8*가정!$B$7</f>
        <v>1515</v>
      </c>
      <c r="L307" s="11" t="n">
        <f aca="false">C307+F307</f>
        <v>100</v>
      </c>
    </row>
    <row r="308" customFormat="false" ht="15" hidden="false" customHeight="false" outlineLevel="0" collapsed="false">
      <c r="A308" s="11" t="n">
        <v>304</v>
      </c>
      <c r="B308" s="11" t="n">
        <f aca="false">MATCH(A308,월별!$C$6:$C$41,1)</f>
        <v>10</v>
      </c>
      <c r="C308" s="11" t="n">
        <f aca="false">L307</f>
        <v>100</v>
      </c>
      <c r="D308" s="24" t="n">
        <f aca="false">C308*가정!$B$8</f>
        <v>500</v>
      </c>
      <c r="E308" s="24" t="n">
        <f aca="false">H307+D307</f>
        <v>10053.6683417085</v>
      </c>
      <c r="F308" s="11" t="n">
        <f aca="false">IF(가정!$B$11=1,MAX(0,MIN(가정!$B$16-C308,INT(E308/가정!$B$17))),0)</f>
        <v>0</v>
      </c>
      <c r="G308" s="24" t="n">
        <f aca="false">F308*가정!$B$17</f>
        <v>0</v>
      </c>
      <c r="H308" s="24" t="n">
        <f aca="false">E308-G308</f>
        <v>10053.6683417085</v>
      </c>
      <c r="I308" s="24" t="n">
        <f aca="false">I307+D308</f>
        <v>37020</v>
      </c>
      <c r="J308" s="16" t="n">
        <f aca="false">(H308+D308)*가정!$B$10</f>
        <v>10553.6683417085</v>
      </c>
      <c r="K308" s="24" t="n">
        <f aca="false">A308*가정!$B$8*가정!$B$7</f>
        <v>1520</v>
      </c>
      <c r="L308" s="11" t="n">
        <f aca="false">C308+F308</f>
        <v>100</v>
      </c>
    </row>
    <row r="309" customFormat="false" ht="15" hidden="false" customHeight="false" outlineLevel="0" collapsed="false">
      <c r="A309" s="11" t="n">
        <v>305</v>
      </c>
      <c r="B309" s="11" t="n">
        <f aca="false">MATCH(A309,월별!$C$6:$C$41,1)</f>
        <v>11</v>
      </c>
      <c r="C309" s="11" t="n">
        <f aca="false">L308</f>
        <v>100</v>
      </c>
      <c r="D309" s="24" t="n">
        <f aca="false">C309*가정!$B$8</f>
        <v>500</v>
      </c>
      <c r="E309" s="24" t="n">
        <f aca="false">H308+D308</f>
        <v>10553.6683417085</v>
      </c>
      <c r="F309" s="11" t="n">
        <f aca="false">IF(가정!$B$11=1,MAX(0,MIN(가정!$B$16-C309,INT(E309/가정!$B$17))),0)</f>
        <v>0</v>
      </c>
      <c r="G309" s="24" t="n">
        <f aca="false">F309*가정!$B$17</f>
        <v>0</v>
      </c>
      <c r="H309" s="24" t="n">
        <f aca="false">E309-G309</f>
        <v>10553.6683417085</v>
      </c>
      <c r="I309" s="24" t="n">
        <f aca="false">I308+D309</f>
        <v>37520</v>
      </c>
      <c r="J309" s="16" t="n">
        <f aca="false">(H309+D309)*가정!$B$10</f>
        <v>11053.6683417085</v>
      </c>
      <c r="K309" s="24" t="n">
        <f aca="false">A309*가정!$B$8*가정!$B$7</f>
        <v>1525</v>
      </c>
      <c r="L309" s="11" t="n">
        <f aca="false">C309+F309</f>
        <v>100</v>
      </c>
    </row>
    <row r="310" customFormat="false" ht="15" hidden="false" customHeight="false" outlineLevel="0" collapsed="false">
      <c r="A310" s="11" t="n">
        <v>306</v>
      </c>
      <c r="B310" s="11" t="n">
        <f aca="false">MATCH(A310,월별!$C$6:$C$41,1)</f>
        <v>11</v>
      </c>
      <c r="C310" s="11" t="n">
        <f aca="false">L309</f>
        <v>100</v>
      </c>
      <c r="D310" s="24" t="n">
        <f aca="false">C310*가정!$B$8</f>
        <v>500</v>
      </c>
      <c r="E310" s="24" t="n">
        <f aca="false">H309+D309</f>
        <v>11053.6683417085</v>
      </c>
      <c r="F310" s="11" t="n">
        <f aca="false">IF(가정!$B$11=1,MAX(0,MIN(가정!$B$16-C310,INT(E310/가정!$B$17))),0)</f>
        <v>0</v>
      </c>
      <c r="G310" s="24" t="n">
        <f aca="false">F310*가정!$B$17</f>
        <v>0</v>
      </c>
      <c r="H310" s="24" t="n">
        <f aca="false">E310-G310</f>
        <v>11053.6683417085</v>
      </c>
      <c r="I310" s="24" t="n">
        <f aca="false">I309+D310</f>
        <v>38020</v>
      </c>
      <c r="J310" s="16" t="n">
        <f aca="false">(H310+D310)*가정!$B$10</f>
        <v>11553.6683417085</v>
      </c>
      <c r="K310" s="24" t="n">
        <f aca="false">A310*가정!$B$8*가정!$B$7</f>
        <v>1530</v>
      </c>
      <c r="L310" s="11" t="n">
        <f aca="false">C310+F310</f>
        <v>100</v>
      </c>
    </row>
    <row r="311" customFormat="false" ht="15" hidden="false" customHeight="false" outlineLevel="0" collapsed="false">
      <c r="A311" s="11" t="n">
        <v>307</v>
      </c>
      <c r="B311" s="11" t="n">
        <f aca="false">MATCH(A311,월별!$C$6:$C$41,1)</f>
        <v>11</v>
      </c>
      <c r="C311" s="11" t="n">
        <f aca="false">L310</f>
        <v>100</v>
      </c>
      <c r="D311" s="24" t="n">
        <f aca="false">C311*가정!$B$8</f>
        <v>500</v>
      </c>
      <c r="E311" s="24" t="n">
        <f aca="false">H310+D310</f>
        <v>11553.6683417085</v>
      </c>
      <c r="F311" s="11" t="n">
        <f aca="false">IF(가정!$B$11=1,MAX(0,MIN(가정!$B$16-C311,INT(E311/가정!$B$17))),0)</f>
        <v>0</v>
      </c>
      <c r="G311" s="24" t="n">
        <f aca="false">F311*가정!$B$17</f>
        <v>0</v>
      </c>
      <c r="H311" s="24" t="n">
        <f aca="false">E311-G311</f>
        <v>11553.6683417085</v>
      </c>
      <c r="I311" s="24" t="n">
        <f aca="false">I310+D311</f>
        <v>38520</v>
      </c>
      <c r="J311" s="16" t="n">
        <f aca="false">(H311+D311)*가정!$B$10</f>
        <v>12053.6683417085</v>
      </c>
      <c r="K311" s="24" t="n">
        <f aca="false">A311*가정!$B$8*가정!$B$7</f>
        <v>1535</v>
      </c>
      <c r="L311" s="11" t="n">
        <f aca="false">C311+F311</f>
        <v>100</v>
      </c>
    </row>
    <row r="312" customFormat="false" ht="15" hidden="false" customHeight="false" outlineLevel="0" collapsed="false">
      <c r="A312" s="11" t="n">
        <v>308</v>
      </c>
      <c r="B312" s="11" t="n">
        <f aca="false">MATCH(A312,월별!$C$6:$C$41,1)</f>
        <v>11</v>
      </c>
      <c r="C312" s="11" t="n">
        <f aca="false">L311</f>
        <v>100</v>
      </c>
      <c r="D312" s="24" t="n">
        <f aca="false">C312*가정!$B$8</f>
        <v>500</v>
      </c>
      <c r="E312" s="24" t="n">
        <f aca="false">H311+D311</f>
        <v>12053.6683417085</v>
      </c>
      <c r="F312" s="11" t="n">
        <f aca="false">IF(가정!$B$11=1,MAX(0,MIN(가정!$B$16-C312,INT(E312/가정!$B$17))),0)</f>
        <v>0</v>
      </c>
      <c r="G312" s="24" t="n">
        <f aca="false">F312*가정!$B$17</f>
        <v>0</v>
      </c>
      <c r="H312" s="24" t="n">
        <f aca="false">E312-G312</f>
        <v>12053.6683417085</v>
      </c>
      <c r="I312" s="24" t="n">
        <f aca="false">I311+D312</f>
        <v>39020</v>
      </c>
      <c r="J312" s="16" t="n">
        <f aca="false">(H312+D312)*가정!$B$10</f>
        <v>12553.6683417085</v>
      </c>
      <c r="K312" s="24" t="n">
        <f aca="false">A312*가정!$B$8*가정!$B$7</f>
        <v>1540</v>
      </c>
      <c r="L312" s="11" t="n">
        <f aca="false">C312+F312</f>
        <v>100</v>
      </c>
    </row>
    <row r="313" customFormat="false" ht="15" hidden="false" customHeight="false" outlineLevel="0" collapsed="false">
      <c r="A313" s="11" t="n">
        <v>309</v>
      </c>
      <c r="B313" s="11" t="n">
        <f aca="false">MATCH(A313,월별!$C$6:$C$41,1)</f>
        <v>11</v>
      </c>
      <c r="C313" s="11" t="n">
        <f aca="false">L312</f>
        <v>100</v>
      </c>
      <c r="D313" s="24" t="n">
        <f aca="false">C313*가정!$B$8</f>
        <v>500</v>
      </c>
      <c r="E313" s="24" t="n">
        <f aca="false">H312+D312</f>
        <v>12553.6683417085</v>
      </c>
      <c r="F313" s="11" t="n">
        <f aca="false">IF(가정!$B$11=1,MAX(0,MIN(가정!$B$16-C313,INT(E313/가정!$B$17))),0)</f>
        <v>0</v>
      </c>
      <c r="G313" s="24" t="n">
        <f aca="false">F313*가정!$B$17</f>
        <v>0</v>
      </c>
      <c r="H313" s="24" t="n">
        <f aca="false">E313-G313</f>
        <v>12553.6683417085</v>
      </c>
      <c r="I313" s="24" t="n">
        <f aca="false">I312+D313</f>
        <v>39520</v>
      </c>
      <c r="J313" s="16" t="n">
        <f aca="false">(H313+D313)*가정!$B$10</f>
        <v>13053.6683417085</v>
      </c>
      <c r="K313" s="24" t="n">
        <f aca="false">A313*가정!$B$8*가정!$B$7</f>
        <v>1545</v>
      </c>
      <c r="L313" s="11" t="n">
        <f aca="false">C313+F313</f>
        <v>100</v>
      </c>
    </row>
    <row r="314" customFormat="false" ht="15" hidden="false" customHeight="false" outlineLevel="0" collapsed="false">
      <c r="A314" s="11" t="n">
        <v>310</v>
      </c>
      <c r="B314" s="11" t="n">
        <f aca="false">MATCH(A314,월별!$C$6:$C$41,1)</f>
        <v>11</v>
      </c>
      <c r="C314" s="11" t="n">
        <f aca="false">L313</f>
        <v>100</v>
      </c>
      <c r="D314" s="24" t="n">
        <f aca="false">C314*가정!$B$8</f>
        <v>500</v>
      </c>
      <c r="E314" s="24" t="n">
        <f aca="false">H313+D313</f>
        <v>13053.6683417085</v>
      </c>
      <c r="F314" s="11" t="n">
        <f aca="false">IF(가정!$B$11=1,MAX(0,MIN(가정!$B$16-C314,INT(E314/가정!$B$17))),0)</f>
        <v>0</v>
      </c>
      <c r="G314" s="24" t="n">
        <f aca="false">F314*가정!$B$17</f>
        <v>0</v>
      </c>
      <c r="H314" s="24" t="n">
        <f aca="false">E314-G314</f>
        <v>13053.6683417085</v>
      </c>
      <c r="I314" s="24" t="n">
        <f aca="false">I313+D314</f>
        <v>40020</v>
      </c>
      <c r="J314" s="16" t="n">
        <f aca="false">(H314+D314)*가정!$B$10</f>
        <v>13553.6683417085</v>
      </c>
      <c r="K314" s="24" t="n">
        <f aca="false">A314*가정!$B$8*가정!$B$7</f>
        <v>1550</v>
      </c>
      <c r="L314" s="11" t="n">
        <f aca="false">C314+F314</f>
        <v>100</v>
      </c>
    </row>
    <row r="315" customFormat="false" ht="15" hidden="false" customHeight="false" outlineLevel="0" collapsed="false">
      <c r="A315" s="11" t="n">
        <v>311</v>
      </c>
      <c r="B315" s="11" t="n">
        <f aca="false">MATCH(A315,월별!$C$6:$C$41,1)</f>
        <v>11</v>
      </c>
      <c r="C315" s="11" t="n">
        <f aca="false">L314</f>
        <v>100</v>
      </c>
      <c r="D315" s="24" t="n">
        <f aca="false">C315*가정!$B$8</f>
        <v>500</v>
      </c>
      <c r="E315" s="24" t="n">
        <f aca="false">H314+D314</f>
        <v>13553.6683417085</v>
      </c>
      <c r="F315" s="11" t="n">
        <f aca="false">IF(가정!$B$11=1,MAX(0,MIN(가정!$B$16-C315,INT(E315/가정!$B$17))),0)</f>
        <v>0</v>
      </c>
      <c r="G315" s="24" t="n">
        <f aca="false">F315*가정!$B$17</f>
        <v>0</v>
      </c>
      <c r="H315" s="24" t="n">
        <f aca="false">E315-G315</f>
        <v>13553.6683417085</v>
      </c>
      <c r="I315" s="24" t="n">
        <f aca="false">I314+D315</f>
        <v>40520</v>
      </c>
      <c r="J315" s="16" t="n">
        <f aca="false">(H315+D315)*가정!$B$10</f>
        <v>14053.6683417085</v>
      </c>
      <c r="K315" s="24" t="n">
        <f aca="false">A315*가정!$B$8*가정!$B$7</f>
        <v>1555</v>
      </c>
      <c r="L315" s="11" t="n">
        <f aca="false">C315+F315</f>
        <v>100</v>
      </c>
    </row>
    <row r="316" customFormat="false" ht="15" hidden="false" customHeight="false" outlineLevel="0" collapsed="false">
      <c r="A316" s="11" t="n">
        <v>312</v>
      </c>
      <c r="B316" s="11" t="n">
        <f aca="false">MATCH(A316,월별!$C$6:$C$41,1)</f>
        <v>11</v>
      </c>
      <c r="C316" s="11" t="n">
        <f aca="false">L315</f>
        <v>100</v>
      </c>
      <c r="D316" s="24" t="n">
        <f aca="false">C316*가정!$B$8</f>
        <v>500</v>
      </c>
      <c r="E316" s="24" t="n">
        <f aca="false">H315+D315</f>
        <v>14053.6683417085</v>
      </c>
      <c r="F316" s="11" t="n">
        <f aca="false">IF(가정!$B$11=1,MAX(0,MIN(가정!$B$16-C316,INT(E316/가정!$B$17))),0)</f>
        <v>0</v>
      </c>
      <c r="G316" s="24" t="n">
        <f aca="false">F316*가정!$B$17</f>
        <v>0</v>
      </c>
      <c r="H316" s="24" t="n">
        <f aca="false">E316-G316</f>
        <v>14053.6683417085</v>
      </c>
      <c r="I316" s="24" t="n">
        <f aca="false">I315+D316</f>
        <v>41020</v>
      </c>
      <c r="J316" s="16" t="n">
        <f aca="false">(H316+D316)*가정!$B$10</f>
        <v>14553.6683417085</v>
      </c>
      <c r="K316" s="24" t="n">
        <f aca="false">A316*가정!$B$8*가정!$B$7</f>
        <v>1560</v>
      </c>
      <c r="L316" s="11" t="n">
        <f aca="false">C316+F316</f>
        <v>100</v>
      </c>
    </row>
    <row r="317" customFormat="false" ht="15" hidden="false" customHeight="false" outlineLevel="0" collapsed="false">
      <c r="A317" s="11" t="n">
        <v>313</v>
      </c>
      <c r="B317" s="11" t="n">
        <f aca="false">MATCH(A317,월별!$C$6:$C$41,1)</f>
        <v>11</v>
      </c>
      <c r="C317" s="11" t="n">
        <f aca="false">L316</f>
        <v>100</v>
      </c>
      <c r="D317" s="24" t="n">
        <f aca="false">C317*가정!$B$8</f>
        <v>500</v>
      </c>
      <c r="E317" s="24" t="n">
        <f aca="false">H316+D316</f>
        <v>14553.6683417085</v>
      </c>
      <c r="F317" s="11" t="n">
        <f aca="false">IF(가정!$B$11=1,MAX(0,MIN(가정!$B$16-C317,INT(E317/가정!$B$17))),0)</f>
        <v>0</v>
      </c>
      <c r="G317" s="24" t="n">
        <f aca="false">F317*가정!$B$17</f>
        <v>0</v>
      </c>
      <c r="H317" s="24" t="n">
        <f aca="false">E317-G317</f>
        <v>14553.6683417085</v>
      </c>
      <c r="I317" s="24" t="n">
        <f aca="false">I316+D317</f>
        <v>41520</v>
      </c>
      <c r="J317" s="16" t="n">
        <f aca="false">(H317+D317)*가정!$B$10</f>
        <v>15053.6683417085</v>
      </c>
      <c r="K317" s="24" t="n">
        <f aca="false">A317*가정!$B$8*가정!$B$7</f>
        <v>1565</v>
      </c>
      <c r="L317" s="11" t="n">
        <f aca="false">C317+F317</f>
        <v>100</v>
      </c>
    </row>
    <row r="318" customFormat="false" ht="15" hidden="false" customHeight="false" outlineLevel="0" collapsed="false">
      <c r="A318" s="11" t="n">
        <v>314</v>
      </c>
      <c r="B318" s="11" t="n">
        <f aca="false">MATCH(A318,월별!$C$6:$C$41,1)</f>
        <v>11</v>
      </c>
      <c r="C318" s="11" t="n">
        <f aca="false">L317</f>
        <v>100</v>
      </c>
      <c r="D318" s="24" t="n">
        <f aca="false">C318*가정!$B$8</f>
        <v>500</v>
      </c>
      <c r="E318" s="24" t="n">
        <f aca="false">H317+D317</f>
        <v>15053.6683417085</v>
      </c>
      <c r="F318" s="11" t="n">
        <f aca="false">IF(가정!$B$11=1,MAX(0,MIN(가정!$B$16-C318,INT(E318/가정!$B$17))),0)</f>
        <v>0</v>
      </c>
      <c r="G318" s="24" t="n">
        <f aca="false">F318*가정!$B$17</f>
        <v>0</v>
      </c>
      <c r="H318" s="24" t="n">
        <f aca="false">E318-G318</f>
        <v>15053.6683417085</v>
      </c>
      <c r="I318" s="24" t="n">
        <f aca="false">I317+D318</f>
        <v>42020</v>
      </c>
      <c r="J318" s="16" t="n">
        <f aca="false">(H318+D318)*가정!$B$10</f>
        <v>15553.6683417085</v>
      </c>
      <c r="K318" s="24" t="n">
        <f aca="false">A318*가정!$B$8*가정!$B$7</f>
        <v>1570</v>
      </c>
      <c r="L318" s="11" t="n">
        <f aca="false">C318+F318</f>
        <v>100</v>
      </c>
    </row>
    <row r="319" customFormat="false" ht="15" hidden="false" customHeight="false" outlineLevel="0" collapsed="false">
      <c r="A319" s="11" t="n">
        <v>315</v>
      </c>
      <c r="B319" s="11" t="n">
        <f aca="false">MATCH(A319,월별!$C$6:$C$41,1)</f>
        <v>11</v>
      </c>
      <c r="C319" s="11" t="n">
        <f aca="false">L318</f>
        <v>100</v>
      </c>
      <c r="D319" s="24" t="n">
        <f aca="false">C319*가정!$B$8</f>
        <v>500</v>
      </c>
      <c r="E319" s="24" t="n">
        <f aca="false">H318+D318</f>
        <v>15553.6683417085</v>
      </c>
      <c r="F319" s="11" t="n">
        <f aca="false">IF(가정!$B$11=1,MAX(0,MIN(가정!$B$16-C319,INT(E319/가정!$B$17))),0)</f>
        <v>0</v>
      </c>
      <c r="G319" s="24" t="n">
        <f aca="false">F319*가정!$B$17</f>
        <v>0</v>
      </c>
      <c r="H319" s="24" t="n">
        <f aca="false">E319-G319</f>
        <v>15553.6683417085</v>
      </c>
      <c r="I319" s="24" t="n">
        <f aca="false">I318+D319</f>
        <v>42520</v>
      </c>
      <c r="J319" s="16" t="n">
        <f aca="false">(H319+D319)*가정!$B$10</f>
        <v>16053.6683417085</v>
      </c>
      <c r="K319" s="24" t="n">
        <f aca="false">A319*가정!$B$8*가정!$B$7</f>
        <v>1575</v>
      </c>
      <c r="L319" s="11" t="n">
        <f aca="false">C319+F319</f>
        <v>100</v>
      </c>
    </row>
    <row r="320" customFormat="false" ht="15" hidden="false" customHeight="false" outlineLevel="0" collapsed="false">
      <c r="A320" s="11" t="n">
        <v>316</v>
      </c>
      <c r="B320" s="11" t="n">
        <f aca="false">MATCH(A320,월별!$C$6:$C$41,1)</f>
        <v>11</v>
      </c>
      <c r="C320" s="11" t="n">
        <f aca="false">L319</f>
        <v>100</v>
      </c>
      <c r="D320" s="24" t="n">
        <f aca="false">C320*가정!$B$8</f>
        <v>500</v>
      </c>
      <c r="E320" s="24" t="n">
        <f aca="false">H319+D319</f>
        <v>16053.6683417085</v>
      </c>
      <c r="F320" s="11" t="n">
        <f aca="false">IF(가정!$B$11=1,MAX(0,MIN(가정!$B$16-C320,INT(E320/가정!$B$17))),0)</f>
        <v>0</v>
      </c>
      <c r="G320" s="24" t="n">
        <f aca="false">F320*가정!$B$17</f>
        <v>0</v>
      </c>
      <c r="H320" s="24" t="n">
        <f aca="false">E320-G320</f>
        <v>16053.6683417085</v>
      </c>
      <c r="I320" s="24" t="n">
        <f aca="false">I319+D320</f>
        <v>43020</v>
      </c>
      <c r="J320" s="16" t="n">
        <f aca="false">(H320+D320)*가정!$B$10</f>
        <v>16553.6683417085</v>
      </c>
      <c r="K320" s="24" t="n">
        <f aca="false">A320*가정!$B$8*가정!$B$7</f>
        <v>1580</v>
      </c>
      <c r="L320" s="11" t="n">
        <f aca="false">C320+F320</f>
        <v>100</v>
      </c>
    </row>
    <row r="321" customFormat="false" ht="15" hidden="false" customHeight="false" outlineLevel="0" collapsed="false">
      <c r="A321" s="11" t="n">
        <v>317</v>
      </c>
      <c r="B321" s="11" t="n">
        <f aca="false">MATCH(A321,월별!$C$6:$C$41,1)</f>
        <v>11</v>
      </c>
      <c r="C321" s="11" t="n">
        <f aca="false">L320</f>
        <v>100</v>
      </c>
      <c r="D321" s="24" t="n">
        <f aca="false">C321*가정!$B$8</f>
        <v>500</v>
      </c>
      <c r="E321" s="24" t="n">
        <f aca="false">H320+D320</f>
        <v>16553.6683417085</v>
      </c>
      <c r="F321" s="11" t="n">
        <f aca="false">IF(가정!$B$11=1,MAX(0,MIN(가정!$B$16-C321,INT(E321/가정!$B$17))),0)</f>
        <v>0</v>
      </c>
      <c r="G321" s="24" t="n">
        <f aca="false">F321*가정!$B$17</f>
        <v>0</v>
      </c>
      <c r="H321" s="24" t="n">
        <f aca="false">E321-G321</f>
        <v>16553.6683417085</v>
      </c>
      <c r="I321" s="24" t="n">
        <f aca="false">I320+D321</f>
        <v>43520</v>
      </c>
      <c r="J321" s="16" t="n">
        <f aca="false">(H321+D321)*가정!$B$10</f>
        <v>17053.6683417085</v>
      </c>
      <c r="K321" s="24" t="n">
        <f aca="false">A321*가정!$B$8*가정!$B$7</f>
        <v>1585</v>
      </c>
      <c r="L321" s="11" t="n">
        <f aca="false">C321+F321</f>
        <v>100</v>
      </c>
    </row>
    <row r="322" customFormat="false" ht="15" hidden="false" customHeight="false" outlineLevel="0" collapsed="false">
      <c r="A322" s="11" t="n">
        <v>318</v>
      </c>
      <c r="B322" s="11" t="n">
        <f aca="false">MATCH(A322,월별!$C$6:$C$41,1)</f>
        <v>11</v>
      </c>
      <c r="C322" s="11" t="n">
        <f aca="false">L321</f>
        <v>100</v>
      </c>
      <c r="D322" s="24" t="n">
        <f aca="false">C322*가정!$B$8</f>
        <v>500</v>
      </c>
      <c r="E322" s="24" t="n">
        <f aca="false">H321+D321</f>
        <v>17053.6683417085</v>
      </c>
      <c r="F322" s="11" t="n">
        <f aca="false">IF(가정!$B$11=1,MAX(0,MIN(가정!$B$16-C322,INT(E322/가정!$B$17))),0)</f>
        <v>0</v>
      </c>
      <c r="G322" s="24" t="n">
        <f aca="false">F322*가정!$B$17</f>
        <v>0</v>
      </c>
      <c r="H322" s="24" t="n">
        <f aca="false">E322-G322</f>
        <v>17053.6683417085</v>
      </c>
      <c r="I322" s="24" t="n">
        <f aca="false">I321+D322</f>
        <v>44020</v>
      </c>
      <c r="J322" s="16" t="n">
        <f aca="false">(H322+D322)*가정!$B$10</f>
        <v>17553.6683417085</v>
      </c>
      <c r="K322" s="24" t="n">
        <f aca="false">A322*가정!$B$8*가정!$B$7</f>
        <v>1590</v>
      </c>
      <c r="L322" s="11" t="n">
        <f aca="false">C322+F322</f>
        <v>100</v>
      </c>
    </row>
    <row r="323" customFormat="false" ht="15" hidden="false" customHeight="false" outlineLevel="0" collapsed="false">
      <c r="A323" s="11" t="n">
        <v>319</v>
      </c>
      <c r="B323" s="11" t="n">
        <f aca="false">MATCH(A323,월별!$C$6:$C$41,1)</f>
        <v>11</v>
      </c>
      <c r="C323" s="11" t="n">
        <f aca="false">L322</f>
        <v>100</v>
      </c>
      <c r="D323" s="24" t="n">
        <f aca="false">C323*가정!$B$8</f>
        <v>500</v>
      </c>
      <c r="E323" s="24" t="n">
        <f aca="false">H322+D322</f>
        <v>17553.6683417085</v>
      </c>
      <c r="F323" s="11" t="n">
        <f aca="false">IF(가정!$B$11=1,MAX(0,MIN(가정!$B$16-C323,INT(E323/가정!$B$17))),0)</f>
        <v>0</v>
      </c>
      <c r="G323" s="24" t="n">
        <f aca="false">F323*가정!$B$17</f>
        <v>0</v>
      </c>
      <c r="H323" s="24" t="n">
        <f aca="false">E323-G323</f>
        <v>17553.6683417085</v>
      </c>
      <c r="I323" s="24" t="n">
        <f aca="false">I322+D323</f>
        <v>44520</v>
      </c>
      <c r="J323" s="16" t="n">
        <f aca="false">(H323+D323)*가정!$B$10</f>
        <v>18053.6683417085</v>
      </c>
      <c r="K323" s="24" t="n">
        <f aca="false">A323*가정!$B$8*가정!$B$7</f>
        <v>1595</v>
      </c>
      <c r="L323" s="11" t="n">
        <f aca="false">C323+F323</f>
        <v>100</v>
      </c>
    </row>
    <row r="324" customFormat="false" ht="15" hidden="false" customHeight="false" outlineLevel="0" collapsed="false">
      <c r="A324" s="11" t="n">
        <v>320</v>
      </c>
      <c r="B324" s="11" t="n">
        <f aca="false">MATCH(A324,월별!$C$6:$C$41,1)</f>
        <v>11</v>
      </c>
      <c r="C324" s="11" t="n">
        <f aca="false">L323</f>
        <v>100</v>
      </c>
      <c r="D324" s="24" t="n">
        <f aca="false">C324*가정!$B$8</f>
        <v>500</v>
      </c>
      <c r="E324" s="24" t="n">
        <f aca="false">H323+D323</f>
        <v>18053.6683417085</v>
      </c>
      <c r="F324" s="11" t="n">
        <f aca="false">IF(가정!$B$11=1,MAX(0,MIN(가정!$B$16-C324,INT(E324/가정!$B$17))),0)</f>
        <v>0</v>
      </c>
      <c r="G324" s="24" t="n">
        <f aca="false">F324*가정!$B$17</f>
        <v>0</v>
      </c>
      <c r="H324" s="24" t="n">
        <f aca="false">E324-G324</f>
        <v>18053.6683417085</v>
      </c>
      <c r="I324" s="24" t="n">
        <f aca="false">I323+D324</f>
        <v>45020</v>
      </c>
      <c r="J324" s="16" t="n">
        <f aca="false">(H324+D324)*가정!$B$10</f>
        <v>18553.6683417085</v>
      </c>
      <c r="K324" s="24" t="n">
        <f aca="false">A324*가정!$B$8*가정!$B$7</f>
        <v>1600</v>
      </c>
      <c r="L324" s="11" t="n">
        <f aca="false">C324+F324</f>
        <v>100</v>
      </c>
    </row>
    <row r="325" customFormat="false" ht="15" hidden="false" customHeight="false" outlineLevel="0" collapsed="false">
      <c r="A325" s="11" t="n">
        <v>321</v>
      </c>
      <c r="B325" s="11" t="n">
        <f aca="false">MATCH(A325,월별!$C$6:$C$41,1)</f>
        <v>11</v>
      </c>
      <c r="C325" s="11" t="n">
        <f aca="false">L324</f>
        <v>100</v>
      </c>
      <c r="D325" s="24" t="n">
        <f aca="false">C325*가정!$B$8</f>
        <v>500</v>
      </c>
      <c r="E325" s="24" t="n">
        <f aca="false">H324+D324</f>
        <v>18553.6683417085</v>
      </c>
      <c r="F325" s="11" t="n">
        <f aca="false">IF(가정!$B$11=1,MAX(0,MIN(가정!$B$16-C325,INT(E325/가정!$B$17))),0)</f>
        <v>0</v>
      </c>
      <c r="G325" s="24" t="n">
        <f aca="false">F325*가정!$B$17</f>
        <v>0</v>
      </c>
      <c r="H325" s="24" t="n">
        <f aca="false">E325-G325</f>
        <v>18553.6683417085</v>
      </c>
      <c r="I325" s="24" t="n">
        <f aca="false">I324+D325</f>
        <v>45520</v>
      </c>
      <c r="J325" s="16" t="n">
        <f aca="false">(H325+D325)*가정!$B$10</f>
        <v>19053.6683417085</v>
      </c>
      <c r="K325" s="24" t="n">
        <f aca="false">A325*가정!$B$8*가정!$B$7</f>
        <v>1605</v>
      </c>
      <c r="L325" s="11" t="n">
        <f aca="false">C325+F325</f>
        <v>100</v>
      </c>
    </row>
    <row r="326" customFormat="false" ht="15" hidden="false" customHeight="false" outlineLevel="0" collapsed="false">
      <c r="A326" s="11" t="n">
        <v>322</v>
      </c>
      <c r="B326" s="11" t="n">
        <f aca="false">MATCH(A326,월별!$C$6:$C$41,1)</f>
        <v>11</v>
      </c>
      <c r="C326" s="11" t="n">
        <f aca="false">L325</f>
        <v>100</v>
      </c>
      <c r="D326" s="24" t="n">
        <f aca="false">C326*가정!$B$8</f>
        <v>500</v>
      </c>
      <c r="E326" s="24" t="n">
        <f aca="false">H325+D325</f>
        <v>19053.6683417085</v>
      </c>
      <c r="F326" s="11" t="n">
        <f aca="false">IF(가정!$B$11=1,MAX(0,MIN(가정!$B$16-C326,INT(E326/가정!$B$17))),0)</f>
        <v>0</v>
      </c>
      <c r="G326" s="24" t="n">
        <f aca="false">F326*가정!$B$17</f>
        <v>0</v>
      </c>
      <c r="H326" s="24" t="n">
        <f aca="false">E326-G326</f>
        <v>19053.6683417085</v>
      </c>
      <c r="I326" s="24" t="n">
        <f aca="false">I325+D326</f>
        <v>46020</v>
      </c>
      <c r="J326" s="16" t="n">
        <f aca="false">(H326+D326)*가정!$B$10</f>
        <v>19553.6683417085</v>
      </c>
      <c r="K326" s="24" t="n">
        <f aca="false">A326*가정!$B$8*가정!$B$7</f>
        <v>1610</v>
      </c>
      <c r="L326" s="11" t="n">
        <f aca="false">C326+F326</f>
        <v>100</v>
      </c>
    </row>
    <row r="327" customFormat="false" ht="15" hidden="false" customHeight="false" outlineLevel="0" collapsed="false">
      <c r="A327" s="11" t="n">
        <v>323</v>
      </c>
      <c r="B327" s="11" t="n">
        <f aca="false">MATCH(A327,월별!$C$6:$C$41,1)</f>
        <v>11</v>
      </c>
      <c r="C327" s="11" t="n">
        <f aca="false">L326</f>
        <v>100</v>
      </c>
      <c r="D327" s="24" t="n">
        <f aca="false">C327*가정!$B$8</f>
        <v>500</v>
      </c>
      <c r="E327" s="24" t="n">
        <f aca="false">H326+D326</f>
        <v>19553.6683417085</v>
      </c>
      <c r="F327" s="11" t="n">
        <f aca="false">IF(가정!$B$11=1,MAX(0,MIN(가정!$B$16-C327,INT(E327/가정!$B$17))),0)</f>
        <v>0</v>
      </c>
      <c r="G327" s="24" t="n">
        <f aca="false">F327*가정!$B$17</f>
        <v>0</v>
      </c>
      <c r="H327" s="24" t="n">
        <f aca="false">E327-G327</f>
        <v>19553.6683417085</v>
      </c>
      <c r="I327" s="24" t="n">
        <f aca="false">I326+D327</f>
        <v>46520</v>
      </c>
      <c r="J327" s="16" t="n">
        <f aca="false">(H327+D327)*가정!$B$10</f>
        <v>20053.6683417085</v>
      </c>
      <c r="K327" s="24" t="n">
        <f aca="false">A327*가정!$B$8*가정!$B$7</f>
        <v>1615</v>
      </c>
      <c r="L327" s="11" t="n">
        <f aca="false">C327+F327</f>
        <v>100</v>
      </c>
    </row>
    <row r="328" customFormat="false" ht="15" hidden="false" customHeight="false" outlineLevel="0" collapsed="false">
      <c r="A328" s="11" t="n">
        <v>324</v>
      </c>
      <c r="B328" s="11" t="n">
        <f aca="false">MATCH(A328,월별!$C$6:$C$41,1)</f>
        <v>11</v>
      </c>
      <c r="C328" s="11" t="n">
        <f aca="false">L327</f>
        <v>100</v>
      </c>
      <c r="D328" s="24" t="n">
        <f aca="false">C328*가정!$B$8</f>
        <v>500</v>
      </c>
      <c r="E328" s="24" t="n">
        <f aca="false">H327+D327</f>
        <v>20053.6683417085</v>
      </c>
      <c r="F328" s="11" t="n">
        <f aca="false">IF(가정!$B$11=1,MAX(0,MIN(가정!$B$16-C328,INT(E328/가정!$B$17))),0)</f>
        <v>0</v>
      </c>
      <c r="G328" s="24" t="n">
        <f aca="false">F328*가정!$B$17</f>
        <v>0</v>
      </c>
      <c r="H328" s="24" t="n">
        <f aca="false">E328-G328</f>
        <v>20053.6683417085</v>
      </c>
      <c r="I328" s="24" t="n">
        <f aca="false">I327+D328</f>
        <v>47020</v>
      </c>
      <c r="J328" s="16" t="n">
        <f aca="false">(H328+D328)*가정!$B$10</f>
        <v>20553.6683417085</v>
      </c>
      <c r="K328" s="24" t="n">
        <f aca="false">A328*가정!$B$8*가정!$B$7</f>
        <v>1620</v>
      </c>
      <c r="L328" s="11" t="n">
        <f aca="false">C328+F328</f>
        <v>100</v>
      </c>
    </row>
    <row r="329" customFormat="false" ht="15" hidden="false" customHeight="false" outlineLevel="0" collapsed="false">
      <c r="A329" s="11" t="n">
        <v>325</v>
      </c>
      <c r="B329" s="11" t="n">
        <f aca="false">MATCH(A329,월별!$C$6:$C$41,1)</f>
        <v>11</v>
      </c>
      <c r="C329" s="11" t="n">
        <f aca="false">L328</f>
        <v>100</v>
      </c>
      <c r="D329" s="24" t="n">
        <f aca="false">C329*가정!$B$8</f>
        <v>500</v>
      </c>
      <c r="E329" s="24" t="n">
        <f aca="false">H328+D328</f>
        <v>20553.6683417085</v>
      </c>
      <c r="F329" s="11" t="n">
        <f aca="false">IF(가정!$B$11=1,MAX(0,MIN(가정!$B$16-C329,INT(E329/가정!$B$17))),0)</f>
        <v>0</v>
      </c>
      <c r="G329" s="24" t="n">
        <f aca="false">F329*가정!$B$17</f>
        <v>0</v>
      </c>
      <c r="H329" s="24" t="n">
        <f aca="false">E329-G329</f>
        <v>20553.6683417085</v>
      </c>
      <c r="I329" s="24" t="n">
        <f aca="false">I328+D329</f>
        <v>47520</v>
      </c>
      <c r="J329" s="16" t="n">
        <f aca="false">(H329+D329)*가정!$B$10</f>
        <v>21053.6683417085</v>
      </c>
      <c r="K329" s="24" t="n">
        <f aca="false">A329*가정!$B$8*가정!$B$7</f>
        <v>1625</v>
      </c>
      <c r="L329" s="11" t="n">
        <f aca="false">C329+F329</f>
        <v>100</v>
      </c>
    </row>
    <row r="330" customFormat="false" ht="15" hidden="false" customHeight="false" outlineLevel="0" collapsed="false">
      <c r="A330" s="11" t="n">
        <v>326</v>
      </c>
      <c r="B330" s="11" t="n">
        <f aca="false">MATCH(A330,월별!$C$6:$C$41,1)</f>
        <v>11</v>
      </c>
      <c r="C330" s="11" t="n">
        <f aca="false">L329</f>
        <v>100</v>
      </c>
      <c r="D330" s="24" t="n">
        <f aca="false">C330*가정!$B$8</f>
        <v>500</v>
      </c>
      <c r="E330" s="24" t="n">
        <f aca="false">H329+D329</f>
        <v>21053.6683417085</v>
      </c>
      <c r="F330" s="11" t="n">
        <f aca="false">IF(가정!$B$11=1,MAX(0,MIN(가정!$B$16-C330,INT(E330/가정!$B$17))),0)</f>
        <v>0</v>
      </c>
      <c r="G330" s="24" t="n">
        <f aca="false">F330*가정!$B$17</f>
        <v>0</v>
      </c>
      <c r="H330" s="24" t="n">
        <f aca="false">E330-G330</f>
        <v>21053.6683417085</v>
      </c>
      <c r="I330" s="24" t="n">
        <f aca="false">I329+D330</f>
        <v>48020</v>
      </c>
      <c r="J330" s="16" t="n">
        <f aca="false">(H330+D330)*가정!$B$10</f>
        <v>21553.6683417085</v>
      </c>
      <c r="K330" s="24" t="n">
        <f aca="false">A330*가정!$B$8*가정!$B$7</f>
        <v>1630</v>
      </c>
      <c r="L330" s="11" t="n">
        <f aca="false">C330+F330</f>
        <v>100</v>
      </c>
    </row>
    <row r="331" customFormat="false" ht="15" hidden="false" customHeight="false" outlineLevel="0" collapsed="false">
      <c r="A331" s="11" t="n">
        <v>327</v>
      </c>
      <c r="B331" s="11" t="n">
        <f aca="false">MATCH(A331,월별!$C$6:$C$41,1)</f>
        <v>11</v>
      </c>
      <c r="C331" s="11" t="n">
        <f aca="false">L330</f>
        <v>100</v>
      </c>
      <c r="D331" s="24" t="n">
        <f aca="false">C331*가정!$B$8</f>
        <v>500</v>
      </c>
      <c r="E331" s="24" t="n">
        <f aca="false">H330+D330</f>
        <v>21553.6683417085</v>
      </c>
      <c r="F331" s="11" t="n">
        <f aca="false">IF(가정!$B$11=1,MAX(0,MIN(가정!$B$16-C331,INT(E331/가정!$B$17))),0)</f>
        <v>0</v>
      </c>
      <c r="G331" s="24" t="n">
        <f aca="false">F331*가정!$B$17</f>
        <v>0</v>
      </c>
      <c r="H331" s="24" t="n">
        <f aca="false">E331-G331</f>
        <v>21553.6683417085</v>
      </c>
      <c r="I331" s="24" t="n">
        <f aca="false">I330+D331</f>
        <v>48520</v>
      </c>
      <c r="J331" s="16" t="n">
        <f aca="false">(H331+D331)*가정!$B$10</f>
        <v>22053.6683417085</v>
      </c>
      <c r="K331" s="24" t="n">
        <f aca="false">A331*가정!$B$8*가정!$B$7</f>
        <v>1635</v>
      </c>
      <c r="L331" s="11" t="n">
        <f aca="false">C331+F331</f>
        <v>100</v>
      </c>
    </row>
    <row r="332" customFormat="false" ht="15" hidden="false" customHeight="false" outlineLevel="0" collapsed="false">
      <c r="A332" s="11" t="n">
        <v>328</v>
      </c>
      <c r="B332" s="11" t="n">
        <f aca="false">MATCH(A332,월별!$C$6:$C$41,1)</f>
        <v>11</v>
      </c>
      <c r="C332" s="11" t="n">
        <f aca="false">L331</f>
        <v>100</v>
      </c>
      <c r="D332" s="24" t="n">
        <f aca="false">C332*가정!$B$8</f>
        <v>500</v>
      </c>
      <c r="E332" s="24" t="n">
        <f aca="false">H331+D331</f>
        <v>22053.6683417085</v>
      </c>
      <c r="F332" s="11" t="n">
        <f aca="false">IF(가정!$B$11=1,MAX(0,MIN(가정!$B$16-C332,INT(E332/가정!$B$17))),0)</f>
        <v>0</v>
      </c>
      <c r="G332" s="24" t="n">
        <f aca="false">F332*가정!$B$17</f>
        <v>0</v>
      </c>
      <c r="H332" s="24" t="n">
        <f aca="false">E332-G332</f>
        <v>22053.6683417085</v>
      </c>
      <c r="I332" s="24" t="n">
        <f aca="false">I331+D332</f>
        <v>49020</v>
      </c>
      <c r="J332" s="16" t="n">
        <f aca="false">(H332+D332)*가정!$B$10</f>
        <v>22553.6683417085</v>
      </c>
      <c r="K332" s="24" t="n">
        <f aca="false">A332*가정!$B$8*가정!$B$7</f>
        <v>1640</v>
      </c>
      <c r="L332" s="11" t="n">
        <f aca="false">C332+F332</f>
        <v>100</v>
      </c>
    </row>
    <row r="333" customFormat="false" ht="15" hidden="false" customHeight="false" outlineLevel="0" collapsed="false">
      <c r="A333" s="11" t="n">
        <v>329</v>
      </c>
      <c r="B333" s="11" t="n">
        <f aca="false">MATCH(A333,월별!$C$6:$C$41,1)</f>
        <v>11</v>
      </c>
      <c r="C333" s="11" t="n">
        <f aca="false">L332</f>
        <v>100</v>
      </c>
      <c r="D333" s="24" t="n">
        <f aca="false">C333*가정!$B$8</f>
        <v>500</v>
      </c>
      <c r="E333" s="24" t="n">
        <f aca="false">H332+D332</f>
        <v>22553.6683417085</v>
      </c>
      <c r="F333" s="11" t="n">
        <f aca="false">IF(가정!$B$11=1,MAX(0,MIN(가정!$B$16-C333,INT(E333/가정!$B$17))),0)</f>
        <v>0</v>
      </c>
      <c r="G333" s="24" t="n">
        <f aca="false">F333*가정!$B$17</f>
        <v>0</v>
      </c>
      <c r="H333" s="24" t="n">
        <f aca="false">E333-G333</f>
        <v>22553.6683417085</v>
      </c>
      <c r="I333" s="24" t="n">
        <f aca="false">I332+D333</f>
        <v>49520</v>
      </c>
      <c r="J333" s="16" t="n">
        <f aca="false">(H333+D333)*가정!$B$10</f>
        <v>23053.6683417085</v>
      </c>
      <c r="K333" s="24" t="n">
        <f aca="false">A333*가정!$B$8*가정!$B$7</f>
        <v>1645</v>
      </c>
      <c r="L333" s="11" t="n">
        <f aca="false">C333+F333</f>
        <v>100</v>
      </c>
    </row>
    <row r="334" customFormat="false" ht="15" hidden="false" customHeight="false" outlineLevel="0" collapsed="false">
      <c r="A334" s="11" t="n">
        <v>330</v>
      </c>
      <c r="B334" s="11" t="n">
        <f aca="false">MATCH(A334,월별!$C$6:$C$41,1)</f>
        <v>11</v>
      </c>
      <c r="C334" s="11" t="n">
        <f aca="false">L333</f>
        <v>100</v>
      </c>
      <c r="D334" s="24" t="n">
        <f aca="false">C334*가정!$B$8</f>
        <v>500</v>
      </c>
      <c r="E334" s="24" t="n">
        <f aca="false">H333+D333</f>
        <v>23053.6683417085</v>
      </c>
      <c r="F334" s="11" t="n">
        <f aca="false">IF(가정!$B$11=1,MAX(0,MIN(가정!$B$16-C334,INT(E334/가정!$B$17))),0)</f>
        <v>0</v>
      </c>
      <c r="G334" s="24" t="n">
        <f aca="false">F334*가정!$B$17</f>
        <v>0</v>
      </c>
      <c r="H334" s="24" t="n">
        <f aca="false">E334-G334</f>
        <v>23053.6683417085</v>
      </c>
      <c r="I334" s="24" t="n">
        <f aca="false">I333+D334</f>
        <v>50020</v>
      </c>
      <c r="J334" s="16" t="n">
        <f aca="false">(H334+D334)*가정!$B$10</f>
        <v>23553.6683417085</v>
      </c>
      <c r="K334" s="24" t="n">
        <f aca="false">A334*가정!$B$8*가정!$B$7</f>
        <v>1650</v>
      </c>
      <c r="L334" s="11" t="n">
        <f aca="false">C334+F334</f>
        <v>100</v>
      </c>
    </row>
    <row r="335" customFormat="false" ht="15" hidden="false" customHeight="false" outlineLevel="0" collapsed="false">
      <c r="A335" s="11" t="n">
        <v>331</v>
      </c>
      <c r="B335" s="11" t="n">
        <f aca="false">MATCH(A335,월별!$C$6:$C$41,1)</f>
        <v>11</v>
      </c>
      <c r="C335" s="11" t="n">
        <f aca="false">L334</f>
        <v>100</v>
      </c>
      <c r="D335" s="24" t="n">
        <f aca="false">C335*가정!$B$8</f>
        <v>500</v>
      </c>
      <c r="E335" s="24" t="n">
        <f aca="false">H334+D334</f>
        <v>23553.6683417085</v>
      </c>
      <c r="F335" s="11" t="n">
        <f aca="false">IF(가정!$B$11=1,MAX(0,MIN(가정!$B$16-C335,INT(E335/가정!$B$17))),0)</f>
        <v>0</v>
      </c>
      <c r="G335" s="24" t="n">
        <f aca="false">F335*가정!$B$17</f>
        <v>0</v>
      </c>
      <c r="H335" s="24" t="n">
        <f aca="false">E335-G335</f>
        <v>23553.6683417085</v>
      </c>
      <c r="I335" s="24" t="n">
        <f aca="false">I334+D335</f>
        <v>50520</v>
      </c>
      <c r="J335" s="16" t="n">
        <f aca="false">(H335+D335)*가정!$B$10</f>
        <v>24053.6683417085</v>
      </c>
      <c r="K335" s="24" t="n">
        <f aca="false">A335*가정!$B$8*가정!$B$7</f>
        <v>1655</v>
      </c>
      <c r="L335" s="11" t="n">
        <f aca="false">C335+F335</f>
        <v>100</v>
      </c>
    </row>
    <row r="336" customFormat="false" ht="15" hidden="false" customHeight="false" outlineLevel="0" collapsed="false">
      <c r="A336" s="11" t="n">
        <v>332</v>
      </c>
      <c r="B336" s="11" t="n">
        <f aca="false">MATCH(A336,월별!$C$6:$C$41,1)</f>
        <v>11</v>
      </c>
      <c r="C336" s="11" t="n">
        <f aca="false">L335</f>
        <v>100</v>
      </c>
      <c r="D336" s="24" t="n">
        <f aca="false">C336*가정!$B$8</f>
        <v>500</v>
      </c>
      <c r="E336" s="24" t="n">
        <f aca="false">H335+D335</f>
        <v>24053.6683417085</v>
      </c>
      <c r="F336" s="11" t="n">
        <f aca="false">IF(가정!$B$11=1,MAX(0,MIN(가정!$B$16-C336,INT(E336/가정!$B$17))),0)</f>
        <v>0</v>
      </c>
      <c r="G336" s="24" t="n">
        <f aca="false">F336*가정!$B$17</f>
        <v>0</v>
      </c>
      <c r="H336" s="24" t="n">
        <f aca="false">E336-G336</f>
        <v>24053.6683417085</v>
      </c>
      <c r="I336" s="24" t="n">
        <f aca="false">I335+D336</f>
        <v>51020</v>
      </c>
      <c r="J336" s="16" t="n">
        <f aca="false">(H336+D336)*가정!$B$10</f>
        <v>24553.6683417085</v>
      </c>
      <c r="K336" s="24" t="n">
        <f aca="false">A336*가정!$B$8*가정!$B$7</f>
        <v>1660</v>
      </c>
      <c r="L336" s="11" t="n">
        <f aca="false">C336+F336</f>
        <v>100</v>
      </c>
    </row>
    <row r="337" customFormat="false" ht="15" hidden="false" customHeight="false" outlineLevel="0" collapsed="false">
      <c r="A337" s="11" t="n">
        <v>333</v>
      </c>
      <c r="B337" s="11" t="n">
        <f aca="false">MATCH(A337,월별!$C$6:$C$41,1)</f>
        <v>11</v>
      </c>
      <c r="C337" s="11" t="n">
        <f aca="false">L336</f>
        <v>100</v>
      </c>
      <c r="D337" s="24" t="n">
        <f aca="false">C337*가정!$B$8</f>
        <v>500</v>
      </c>
      <c r="E337" s="24" t="n">
        <f aca="false">H336+D336</f>
        <v>24553.6683417085</v>
      </c>
      <c r="F337" s="11" t="n">
        <f aca="false">IF(가정!$B$11=1,MAX(0,MIN(가정!$B$16-C337,INT(E337/가정!$B$17))),0)</f>
        <v>0</v>
      </c>
      <c r="G337" s="24" t="n">
        <f aca="false">F337*가정!$B$17</f>
        <v>0</v>
      </c>
      <c r="H337" s="24" t="n">
        <f aca="false">E337-G337</f>
        <v>24553.6683417085</v>
      </c>
      <c r="I337" s="24" t="n">
        <f aca="false">I336+D337</f>
        <v>51520</v>
      </c>
      <c r="J337" s="16" t="n">
        <f aca="false">(H337+D337)*가정!$B$10</f>
        <v>25053.6683417085</v>
      </c>
      <c r="K337" s="24" t="n">
        <f aca="false">A337*가정!$B$8*가정!$B$7</f>
        <v>1665</v>
      </c>
      <c r="L337" s="11" t="n">
        <f aca="false">C337+F337</f>
        <v>100</v>
      </c>
    </row>
    <row r="338" customFormat="false" ht="15" hidden="false" customHeight="false" outlineLevel="0" collapsed="false">
      <c r="A338" s="11" t="n">
        <v>334</v>
      </c>
      <c r="B338" s="11" t="n">
        <f aca="false">MATCH(A338,월별!$C$6:$C$41,1)</f>
        <v>11</v>
      </c>
      <c r="C338" s="11" t="n">
        <f aca="false">L337</f>
        <v>100</v>
      </c>
      <c r="D338" s="24" t="n">
        <f aca="false">C338*가정!$B$8</f>
        <v>500</v>
      </c>
      <c r="E338" s="24" t="n">
        <f aca="false">H337+D337</f>
        <v>25053.6683417085</v>
      </c>
      <c r="F338" s="11" t="n">
        <f aca="false">IF(가정!$B$11=1,MAX(0,MIN(가정!$B$16-C338,INT(E338/가정!$B$17))),0)</f>
        <v>0</v>
      </c>
      <c r="G338" s="24" t="n">
        <f aca="false">F338*가정!$B$17</f>
        <v>0</v>
      </c>
      <c r="H338" s="24" t="n">
        <f aca="false">E338-G338</f>
        <v>25053.6683417085</v>
      </c>
      <c r="I338" s="24" t="n">
        <f aca="false">I337+D338</f>
        <v>52020</v>
      </c>
      <c r="J338" s="16" t="n">
        <f aca="false">(H338+D338)*가정!$B$10</f>
        <v>25553.6683417085</v>
      </c>
      <c r="K338" s="24" t="n">
        <f aca="false">A338*가정!$B$8*가정!$B$7</f>
        <v>1670</v>
      </c>
      <c r="L338" s="11" t="n">
        <f aca="false">C338+F338</f>
        <v>100</v>
      </c>
    </row>
    <row r="339" customFormat="false" ht="15" hidden="false" customHeight="false" outlineLevel="0" collapsed="false">
      <c r="A339" s="11" t="n">
        <v>335</v>
      </c>
      <c r="B339" s="11" t="n">
        <f aca="false">MATCH(A339,월별!$C$6:$C$41,1)</f>
        <v>11</v>
      </c>
      <c r="C339" s="11" t="n">
        <f aca="false">L338</f>
        <v>100</v>
      </c>
      <c r="D339" s="24" t="n">
        <f aca="false">C339*가정!$B$8</f>
        <v>500</v>
      </c>
      <c r="E339" s="24" t="n">
        <f aca="false">H338+D338</f>
        <v>25553.6683417085</v>
      </c>
      <c r="F339" s="11" t="n">
        <f aca="false">IF(가정!$B$11=1,MAX(0,MIN(가정!$B$16-C339,INT(E339/가정!$B$17))),0)</f>
        <v>0</v>
      </c>
      <c r="G339" s="24" t="n">
        <f aca="false">F339*가정!$B$17</f>
        <v>0</v>
      </c>
      <c r="H339" s="24" t="n">
        <f aca="false">E339-G339</f>
        <v>25553.6683417085</v>
      </c>
      <c r="I339" s="24" t="n">
        <f aca="false">I338+D339</f>
        <v>52520</v>
      </c>
      <c r="J339" s="16" t="n">
        <f aca="false">(H339+D339)*가정!$B$10</f>
        <v>26053.6683417085</v>
      </c>
      <c r="K339" s="24" t="n">
        <f aca="false">A339*가정!$B$8*가정!$B$7</f>
        <v>1675</v>
      </c>
      <c r="L339" s="11" t="n">
        <f aca="false">C339+F339</f>
        <v>100</v>
      </c>
    </row>
    <row r="340" customFormat="false" ht="15" hidden="false" customHeight="false" outlineLevel="0" collapsed="false">
      <c r="A340" s="11" t="n">
        <v>336</v>
      </c>
      <c r="B340" s="11" t="n">
        <f aca="false">MATCH(A340,월별!$C$6:$C$41,1)</f>
        <v>12</v>
      </c>
      <c r="C340" s="11" t="n">
        <f aca="false">L339</f>
        <v>100</v>
      </c>
      <c r="D340" s="24" t="n">
        <f aca="false">C340*가정!$B$8</f>
        <v>500</v>
      </c>
      <c r="E340" s="24" t="n">
        <f aca="false">H339+D339</f>
        <v>26053.6683417085</v>
      </c>
      <c r="F340" s="11" t="n">
        <f aca="false">IF(가정!$B$11=1,MAX(0,MIN(가정!$B$16-C340,INT(E340/가정!$B$17))),0)</f>
        <v>0</v>
      </c>
      <c r="G340" s="24" t="n">
        <f aca="false">F340*가정!$B$17</f>
        <v>0</v>
      </c>
      <c r="H340" s="24" t="n">
        <f aca="false">E340-G340</f>
        <v>26053.6683417085</v>
      </c>
      <c r="I340" s="24" t="n">
        <f aca="false">I339+D340</f>
        <v>53020</v>
      </c>
      <c r="J340" s="16" t="n">
        <f aca="false">(H340+D340)*가정!$B$10</f>
        <v>26553.6683417085</v>
      </c>
      <c r="K340" s="24" t="n">
        <f aca="false">A340*가정!$B$8*가정!$B$7</f>
        <v>1680</v>
      </c>
      <c r="L340" s="11" t="n">
        <f aca="false">C340+F340</f>
        <v>100</v>
      </c>
    </row>
    <row r="341" customFormat="false" ht="15" hidden="false" customHeight="false" outlineLevel="0" collapsed="false">
      <c r="A341" s="11" t="n">
        <v>337</v>
      </c>
      <c r="B341" s="11" t="n">
        <f aca="false">MATCH(A341,월별!$C$6:$C$41,1)</f>
        <v>12</v>
      </c>
      <c r="C341" s="11" t="n">
        <f aca="false">L340</f>
        <v>100</v>
      </c>
      <c r="D341" s="24" t="n">
        <f aca="false">C341*가정!$B$8</f>
        <v>500</v>
      </c>
      <c r="E341" s="24" t="n">
        <f aca="false">H340+D340</f>
        <v>26553.6683417085</v>
      </c>
      <c r="F341" s="11" t="n">
        <f aca="false">IF(가정!$B$11=1,MAX(0,MIN(가정!$B$16-C341,INT(E341/가정!$B$17))),0)</f>
        <v>0</v>
      </c>
      <c r="G341" s="24" t="n">
        <f aca="false">F341*가정!$B$17</f>
        <v>0</v>
      </c>
      <c r="H341" s="24" t="n">
        <f aca="false">E341-G341</f>
        <v>26553.6683417085</v>
      </c>
      <c r="I341" s="24" t="n">
        <f aca="false">I340+D341</f>
        <v>53520</v>
      </c>
      <c r="J341" s="16" t="n">
        <f aca="false">(H341+D341)*가정!$B$10</f>
        <v>27053.6683417085</v>
      </c>
      <c r="K341" s="24" t="n">
        <f aca="false">A341*가정!$B$8*가정!$B$7</f>
        <v>1685</v>
      </c>
      <c r="L341" s="11" t="n">
        <f aca="false">C341+F341</f>
        <v>100</v>
      </c>
    </row>
    <row r="342" customFormat="false" ht="15" hidden="false" customHeight="false" outlineLevel="0" collapsed="false">
      <c r="A342" s="11" t="n">
        <v>338</v>
      </c>
      <c r="B342" s="11" t="n">
        <f aca="false">MATCH(A342,월별!$C$6:$C$41,1)</f>
        <v>12</v>
      </c>
      <c r="C342" s="11" t="n">
        <f aca="false">L341</f>
        <v>100</v>
      </c>
      <c r="D342" s="24" t="n">
        <f aca="false">C342*가정!$B$8</f>
        <v>500</v>
      </c>
      <c r="E342" s="24" t="n">
        <f aca="false">H341+D341</f>
        <v>27053.6683417085</v>
      </c>
      <c r="F342" s="11" t="n">
        <f aca="false">IF(가정!$B$11=1,MAX(0,MIN(가정!$B$16-C342,INT(E342/가정!$B$17))),0)</f>
        <v>0</v>
      </c>
      <c r="G342" s="24" t="n">
        <f aca="false">F342*가정!$B$17</f>
        <v>0</v>
      </c>
      <c r="H342" s="24" t="n">
        <f aca="false">E342-G342</f>
        <v>27053.6683417085</v>
      </c>
      <c r="I342" s="24" t="n">
        <f aca="false">I341+D342</f>
        <v>54020</v>
      </c>
      <c r="J342" s="16" t="n">
        <f aca="false">(H342+D342)*가정!$B$10</f>
        <v>27553.6683417085</v>
      </c>
      <c r="K342" s="24" t="n">
        <f aca="false">A342*가정!$B$8*가정!$B$7</f>
        <v>1690</v>
      </c>
      <c r="L342" s="11" t="n">
        <f aca="false">C342+F342</f>
        <v>100</v>
      </c>
    </row>
    <row r="343" customFormat="false" ht="15" hidden="false" customHeight="false" outlineLevel="0" collapsed="false">
      <c r="A343" s="11" t="n">
        <v>339</v>
      </c>
      <c r="B343" s="11" t="n">
        <f aca="false">MATCH(A343,월별!$C$6:$C$41,1)</f>
        <v>12</v>
      </c>
      <c r="C343" s="11" t="n">
        <f aca="false">L342</f>
        <v>100</v>
      </c>
      <c r="D343" s="24" t="n">
        <f aca="false">C343*가정!$B$8</f>
        <v>500</v>
      </c>
      <c r="E343" s="24" t="n">
        <f aca="false">H342+D342</f>
        <v>27553.6683417085</v>
      </c>
      <c r="F343" s="11" t="n">
        <f aca="false">IF(가정!$B$11=1,MAX(0,MIN(가정!$B$16-C343,INT(E343/가정!$B$17))),0)</f>
        <v>0</v>
      </c>
      <c r="G343" s="24" t="n">
        <f aca="false">F343*가정!$B$17</f>
        <v>0</v>
      </c>
      <c r="H343" s="24" t="n">
        <f aca="false">E343-G343</f>
        <v>27553.6683417085</v>
      </c>
      <c r="I343" s="24" t="n">
        <f aca="false">I342+D343</f>
        <v>54520</v>
      </c>
      <c r="J343" s="16" t="n">
        <f aca="false">(H343+D343)*가정!$B$10</f>
        <v>28053.6683417085</v>
      </c>
      <c r="K343" s="24" t="n">
        <f aca="false">A343*가정!$B$8*가정!$B$7</f>
        <v>1695</v>
      </c>
      <c r="L343" s="11" t="n">
        <f aca="false">C343+F343</f>
        <v>100</v>
      </c>
    </row>
    <row r="344" customFormat="false" ht="15" hidden="false" customHeight="false" outlineLevel="0" collapsed="false">
      <c r="A344" s="11" t="n">
        <v>340</v>
      </c>
      <c r="B344" s="11" t="n">
        <f aca="false">MATCH(A344,월별!$C$6:$C$41,1)</f>
        <v>12</v>
      </c>
      <c r="C344" s="11" t="n">
        <f aca="false">L343</f>
        <v>100</v>
      </c>
      <c r="D344" s="24" t="n">
        <f aca="false">C344*가정!$B$8</f>
        <v>500</v>
      </c>
      <c r="E344" s="24" t="n">
        <f aca="false">H343+D343</f>
        <v>28053.6683417085</v>
      </c>
      <c r="F344" s="11" t="n">
        <f aca="false">IF(가정!$B$11=1,MAX(0,MIN(가정!$B$16-C344,INT(E344/가정!$B$17))),0)</f>
        <v>0</v>
      </c>
      <c r="G344" s="24" t="n">
        <f aca="false">F344*가정!$B$17</f>
        <v>0</v>
      </c>
      <c r="H344" s="24" t="n">
        <f aca="false">E344-G344</f>
        <v>28053.6683417085</v>
      </c>
      <c r="I344" s="24" t="n">
        <f aca="false">I343+D344</f>
        <v>55020</v>
      </c>
      <c r="J344" s="16" t="n">
        <f aca="false">(H344+D344)*가정!$B$10</f>
        <v>28553.6683417085</v>
      </c>
      <c r="K344" s="24" t="n">
        <f aca="false">A344*가정!$B$8*가정!$B$7</f>
        <v>1700</v>
      </c>
      <c r="L344" s="11" t="n">
        <f aca="false">C344+F344</f>
        <v>100</v>
      </c>
    </row>
    <row r="345" customFormat="false" ht="15" hidden="false" customHeight="false" outlineLevel="0" collapsed="false">
      <c r="A345" s="11" t="n">
        <v>341</v>
      </c>
      <c r="B345" s="11" t="n">
        <f aca="false">MATCH(A345,월별!$C$6:$C$41,1)</f>
        <v>12</v>
      </c>
      <c r="C345" s="11" t="n">
        <f aca="false">L344</f>
        <v>100</v>
      </c>
      <c r="D345" s="24" t="n">
        <f aca="false">C345*가정!$B$8</f>
        <v>500</v>
      </c>
      <c r="E345" s="24" t="n">
        <f aca="false">H344+D344</f>
        <v>28553.6683417085</v>
      </c>
      <c r="F345" s="11" t="n">
        <f aca="false">IF(가정!$B$11=1,MAX(0,MIN(가정!$B$16-C345,INT(E345/가정!$B$17))),0)</f>
        <v>0</v>
      </c>
      <c r="G345" s="24" t="n">
        <f aca="false">F345*가정!$B$17</f>
        <v>0</v>
      </c>
      <c r="H345" s="24" t="n">
        <f aca="false">E345-G345</f>
        <v>28553.6683417085</v>
      </c>
      <c r="I345" s="24" t="n">
        <f aca="false">I344+D345</f>
        <v>55520</v>
      </c>
      <c r="J345" s="16" t="n">
        <f aca="false">(H345+D345)*가정!$B$10</f>
        <v>29053.6683417085</v>
      </c>
      <c r="K345" s="24" t="n">
        <f aca="false">A345*가정!$B$8*가정!$B$7</f>
        <v>1705</v>
      </c>
      <c r="L345" s="11" t="n">
        <f aca="false">C345+F345</f>
        <v>100</v>
      </c>
    </row>
    <row r="346" customFormat="false" ht="15" hidden="false" customHeight="false" outlineLevel="0" collapsed="false">
      <c r="A346" s="11" t="n">
        <v>342</v>
      </c>
      <c r="B346" s="11" t="n">
        <f aca="false">MATCH(A346,월별!$C$6:$C$41,1)</f>
        <v>12</v>
      </c>
      <c r="C346" s="11" t="n">
        <f aca="false">L345</f>
        <v>100</v>
      </c>
      <c r="D346" s="24" t="n">
        <f aca="false">C346*가정!$B$8</f>
        <v>500</v>
      </c>
      <c r="E346" s="24" t="n">
        <f aca="false">H345+D345</f>
        <v>29053.6683417085</v>
      </c>
      <c r="F346" s="11" t="n">
        <f aca="false">IF(가정!$B$11=1,MAX(0,MIN(가정!$B$16-C346,INT(E346/가정!$B$17))),0)</f>
        <v>0</v>
      </c>
      <c r="G346" s="24" t="n">
        <f aca="false">F346*가정!$B$17</f>
        <v>0</v>
      </c>
      <c r="H346" s="24" t="n">
        <f aca="false">E346-G346</f>
        <v>29053.6683417085</v>
      </c>
      <c r="I346" s="24" t="n">
        <f aca="false">I345+D346</f>
        <v>56020</v>
      </c>
      <c r="J346" s="16" t="n">
        <f aca="false">(H346+D346)*가정!$B$10</f>
        <v>29553.6683417085</v>
      </c>
      <c r="K346" s="24" t="n">
        <f aca="false">A346*가정!$B$8*가정!$B$7</f>
        <v>1710</v>
      </c>
      <c r="L346" s="11" t="n">
        <f aca="false">C346+F346</f>
        <v>100</v>
      </c>
    </row>
    <row r="347" customFormat="false" ht="15" hidden="false" customHeight="false" outlineLevel="0" collapsed="false">
      <c r="A347" s="11" t="n">
        <v>343</v>
      </c>
      <c r="B347" s="11" t="n">
        <f aca="false">MATCH(A347,월별!$C$6:$C$41,1)</f>
        <v>12</v>
      </c>
      <c r="C347" s="11" t="n">
        <f aca="false">L346</f>
        <v>100</v>
      </c>
      <c r="D347" s="24" t="n">
        <f aca="false">C347*가정!$B$8</f>
        <v>500</v>
      </c>
      <c r="E347" s="24" t="n">
        <f aca="false">H346+D346</f>
        <v>29553.6683417085</v>
      </c>
      <c r="F347" s="11" t="n">
        <f aca="false">IF(가정!$B$11=1,MAX(0,MIN(가정!$B$16-C347,INT(E347/가정!$B$17))),0)</f>
        <v>0</v>
      </c>
      <c r="G347" s="24" t="n">
        <f aca="false">F347*가정!$B$17</f>
        <v>0</v>
      </c>
      <c r="H347" s="24" t="n">
        <f aca="false">E347-G347</f>
        <v>29553.6683417085</v>
      </c>
      <c r="I347" s="24" t="n">
        <f aca="false">I346+D347</f>
        <v>56520</v>
      </c>
      <c r="J347" s="16" t="n">
        <f aca="false">(H347+D347)*가정!$B$10</f>
        <v>30053.6683417085</v>
      </c>
      <c r="K347" s="24" t="n">
        <f aca="false">A347*가정!$B$8*가정!$B$7</f>
        <v>1715</v>
      </c>
      <c r="L347" s="11" t="n">
        <f aca="false">C347+F347</f>
        <v>100</v>
      </c>
    </row>
    <row r="348" customFormat="false" ht="15" hidden="false" customHeight="false" outlineLevel="0" collapsed="false">
      <c r="A348" s="11" t="n">
        <v>344</v>
      </c>
      <c r="B348" s="11" t="n">
        <f aca="false">MATCH(A348,월별!$C$6:$C$41,1)</f>
        <v>12</v>
      </c>
      <c r="C348" s="11" t="n">
        <f aca="false">L347</f>
        <v>100</v>
      </c>
      <c r="D348" s="24" t="n">
        <f aca="false">C348*가정!$B$8</f>
        <v>500</v>
      </c>
      <c r="E348" s="24" t="n">
        <f aca="false">H347+D347</f>
        <v>30053.6683417085</v>
      </c>
      <c r="F348" s="11" t="n">
        <f aca="false">IF(가정!$B$11=1,MAX(0,MIN(가정!$B$16-C348,INT(E348/가정!$B$17))),0)</f>
        <v>0</v>
      </c>
      <c r="G348" s="24" t="n">
        <f aca="false">F348*가정!$B$17</f>
        <v>0</v>
      </c>
      <c r="H348" s="24" t="n">
        <f aca="false">E348-G348</f>
        <v>30053.6683417085</v>
      </c>
      <c r="I348" s="24" t="n">
        <f aca="false">I347+D348</f>
        <v>57020</v>
      </c>
      <c r="J348" s="16" t="n">
        <f aca="false">(H348+D348)*가정!$B$10</f>
        <v>30553.6683417085</v>
      </c>
      <c r="K348" s="24" t="n">
        <f aca="false">A348*가정!$B$8*가정!$B$7</f>
        <v>1720</v>
      </c>
      <c r="L348" s="11" t="n">
        <f aca="false">C348+F348</f>
        <v>100</v>
      </c>
    </row>
    <row r="349" customFormat="false" ht="15" hidden="false" customHeight="false" outlineLevel="0" collapsed="false">
      <c r="A349" s="11" t="n">
        <v>345</v>
      </c>
      <c r="B349" s="11" t="n">
        <f aca="false">MATCH(A349,월별!$C$6:$C$41,1)</f>
        <v>12</v>
      </c>
      <c r="C349" s="11" t="n">
        <f aca="false">L348</f>
        <v>100</v>
      </c>
      <c r="D349" s="24" t="n">
        <f aca="false">C349*가정!$B$8</f>
        <v>500</v>
      </c>
      <c r="E349" s="24" t="n">
        <f aca="false">H348+D348</f>
        <v>30553.6683417085</v>
      </c>
      <c r="F349" s="11" t="n">
        <f aca="false">IF(가정!$B$11=1,MAX(0,MIN(가정!$B$16-C349,INT(E349/가정!$B$17))),0)</f>
        <v>0</v>
      </c>
      <c r="G349" s="24" t="n">
        <f aca="false">F349*가정!$B$17</f>
        <v>0</v>
      </c>
      <c r="H349" s="24" t="n">
        <f aca="false">E349-G349</f>
        <v>30553.6683417085</v>
      </c>
      <c r="I349" s="24" t="n">
        <f aca="false">I348+D349</f>
        <v>57520</v>
      </c>
      <c r="J349" s="16" t="n">
        <f aca="false">(H349+D349)*가정!$B$10</f>
        <v>31053.6683417085</v>
      </c>
      <c r="K349" s="24" t="n">
        <f aca="false">A349*가정!$B$8*가정!$B$7</f>
        <v>1725</v>
      </c>
      <c r="L349" s="11" t="n">
        <f aca="false">C349+F349</f>
        <v>100</v>
      </c>
    </row>
    <row r="350" customFormat="false" ht="15" hidden="false" customHeight="false" outlineLevel="0" collapsed="false">
      <c r="A350" s="11" t="n">
        <v>346</v>
      </c>
      <c r="B350" s="11" t="n">
        <f aca="false">MATCH(A350,월별!$C$6:$C$41,1)</f>
        <v>12</v>
      </c>
      <c r="C350" s="11" t="n">
        <f aca="false">L349</f>
        <v>100</v>
      </c>
      <c r="D350" s="24" t="n">
        <f aca="false">C350*가정!$B$8</f>
        <v>500</v>
      </c>
      <c r="E350" s="24" t="n">
        <f aca="false">H349+D349</f>
        <v>31053.6683417085</v>
      </c>
      <c r="F350" s="11" t="n">
        <f aca="false">IF(가정!$B$11=1,MAX(0,MIN(가정!$B$16-C350,INT(E350/가정!$B$17))),0)</f>
        <v>0</v>
      </c>
      <c r="G350" s="24" t="n">
        <f aca="false">F350*가정!$B$17</f>
        <v>0</v>
      </c>
      <c r="H350" s="24" t="n">
        <f aca="false">E350-G350</f>
        <v>31053.6683417085</v>
      </c>
      <c r="I350" s="24" t="n">
        <f aca="false">I349+D350</f>
        <v>58020</v>
      </c>
      <c r="J350" s="16" t="n">
        <f aca="false">(H350+D350)*가정!$B$10</f>
        <v>31553.6683417085</v>
      </c>
      <c r="K350" s="24" t="n">
        <f aca="false">A350*가정!$B$8*가정!$B$7</f>
        <v>1730</v>
      </c>
      <c r="L350" s="11" t="n">
        <f aca="false">C350+F350</f>
        <v>100</v>
      </c>
    </row>
    <row r="351" customFormat="false" ht="15" hidden="false" customHeight="false" outlineLevel="0" collapsed="false">
      <c r="A351" s="11" t="n">
        <v>347</v>
      </c>
      <c r="B351" s="11" t="n">
        <f aca="false">MATCH(A351,월별!$C$6:$C$41,1)</f>
        <v>12</v>
      </c>
      <c r="C351" s="11" t="n">
        <f aca="false">L350</f>
        <v>100</v>
      </c>
      <c r="D351" s="24" t="n">
        <f aca="false">C351*가정!$B$8</f>
        <v>500</v>
      </c>
      <c r="E351" s="24" t="n">
        <f aca="false">H350+D350</f>
        <v>31553.6683417085</v>
      </c>
      <c r="F351" s="11" t="n">
        <f aca="false">IF(가정!$B$11=1,MAX(0,MIN(가정!$B$16-C351,INT(E351/가정!$B$17))),0)</f>
        <v>0</v>
      </c>
      <c r="G351" s="24" t="n">
        <f aca="false">F351*가정!$B$17</f>
        <v>0</v>
      </c>
      <c r="H351" s="24" t="n">
        <f aca="false">E351-G351</f>
        <v>31553.6683417085</v>
      </c>
      <c r="I351" s="24" t="n">
        <f aca="false">I350+D351</f>
        <v>58520</v>
      </c>
      <c r="J351" s="16" t="n">
        <f aca="false">(H351+D351)*가정!$B$10</f>
        <v>32053.6683417085</v>
      </c>
      <c r="K351" s="24" t="n">
        <f aca="false">A351*가정!$B$8*가정!$B$7</f>
        <v>1735</v>
      </c>
      <c r="L351" s="11" t="n">
        <f aca="false">C351+F351</f>
        <v>100</v>
      </c>
    </row>
    <row r="352" customFormat="false" ht="15" hidden="false" customHeight="false" outlineLevel="0" collapsed="false">
      <c r="A352" s="11" t="n">
        <v>348</v>
      </c>
      <c r="B352" s="11" t="n">
        <f aca="false">MATCH(A352,월별!$C$6:$C$41,1)</f>
        <v>12</v>
      </c>
      <c r="C352" s="11" t="n">
        <f aca="false">L351</f>
        <v>100</v>
      </c>
      <c r="D352" s="24" t="n">
        <f aca="false">C352*가정!$B$8</f>
        <v>500</v>
      </c>
      <c r="E352" s="24" t="n">
        <f aca="false">H351+D351</f>
        <v>32053.6683417085</v>
      </c>
      <c r="F352" s="11" t="n">
        <f aca="false">IF(가정!$B$11=1,MAX(0,MIN(가정!$B$16-C352,INT(E352/가정!$B$17))),0)</f>
        <v>0</v>
      </c>
      <c r="G352" s="24" t="n">
        <f aca="false">F352*가정!$B$17</f>
        <v>0</v>
      </c>
      <c r="H352" s="24" t="n">
        <f aca="false">E352-G352</f>
        <v>32053.6683417085</v>
      </c>
      <c r="I352" s="24" t="n">
        <f aca="false">I351+D352</f>
        <v>59020</v>
      </c>
      <c r="J352" s="16" t="n">
        <f aca="false">(H352+D352)*가정!$B$10</f>
        <v>32553.6683417085</v>
      </c>
      <c r="K352" s="24" t="n">
        <f aca="false">A352*가정!$B$8*가정!$B$7</f>
        <v>1740</v>
      </c>
      <c r="L352" s="11" t="n">
        <f aca="false">C352+F352</f>
        <v>100</v>
      </c>
    </row>
    <row r="353" customFormat="false" ht="15" hidden="false" customHeight="false" outlineLevel="0" collapsed="false">
      <c r="A353" s="11" t="n">
        <v>349</v>
      </c>
      <c r="B353" s="11" t="n">
        <f aca="false">MATCH(A353,월별!$C$6:$C$41,1)</f>
        <v>12</v>
      </c>
      <c r="C353" s="11" t="n">
        <f aca="false">L352</f>
        <v>100</v>
      </c>
      <c r="D353" s="24" t="n">
        <f aca="false">C353*가정!$B$8</f>
        <v>500</v>
      </c>
      <c r="E353" s="24" t="n">
        <f aca="false">H352+D352</f>
        <v>32553.6683417085</v>
      </c>
      <c r="F353" s="11" t="n">
        <f aca="false">IF(가정!$B$11=1,MAX(0,MIN(가정!$B$16-C353,INT(E353/가정!$B$17))),0)</f>
        <v>0</v>
      </c>
      <c r="G353" s="24" t="n">
        <f aca="false">F353*가정!$B$17</f>
        <v>0</v>
      </c>
      <c r="H353" s="24" t="n">
        <f aca="false">E353-G353</f>
        <v>32553.6683417085</v>
      </c>
      <c r="I353" s="24" t="n">
        <f aca="false">I352+D353</f>
        <v>59520</v>
      </c>
      <c r="J353" s="16" t="n">
        <f aca="false">(H353+D353)*가정!$B$10</f>
        <v>33053.6683417085</v>
      </c>
      <c r="K353" s="24" t="n">
        <f aca="false">A353*가정!$B$8*가정!$B$7</f>
        <v>1745</v>
      </c>
      <c r="L353" s="11" t="n">
        <f aca="false">C353+F353</f>
        <v>100</v>
      </c>
    </row>
    <row r="354" customFormat="false" ht="15" hidden="false" customHeight="false" outlineLevel="0" collapsed="false">
      <c r="A354" s="11" t="n">
        <v>350</v>
      </c>
      <c r="B354" s="11" t="n">
        <f aca="false">MATCH(A354,월별!$C$6:$C$41,1)</f>
        <v>12</v>
      </c>
      <c r="C354" s="11" t="n">
        <f aca="false">L353</f>
        <v>100</v>
      </c>
      <c r="D354" s="24" t="n">
        <f aca="false">C354*가정!$B$8</f>
        <v>500</v>
      </c>
      <c r="E354" s="24" t="n">
        <f aca="false">H353+D353</f>
        <v>33053.6683417085</v>
      </c>
      <c r="F354" s="11" t="n">
        <f aca="false">IF(가정!$B$11=1,MAX(0,MIN(가정!$B$16-C354,INT(E354/가정!$B$17))),0)</f>
        <v>0</v>
      </c>
      <c r="G354" s="24" t="n">
        <f aca="false">F354*가정!$B$17</f>
        <v>0</v>
      </c>
      <c r="H354" s="24" t="n">
        <f aca="false">E354-G354</f>
        <v>33053.6683417085</v>
      </c>
      <c r="I354" s="24" t="n">
        <f aca="false">I353+D354</f>
        <v>60020</v>
      </c>
      <c r="J354" s="16" t="n">
        <f aca="false">(H354+D354)*가정!$B$10</f>
        <v>33553.6683417085</v>
      </c>
      <c r="K354" s="24" t="n">
        <f aca="false">A354*가정!$B$8*가정!$B$7</f>
        <v>1750</v>
      </c>
      <c r="L354" s="11" t="n">
        <f aca="false">C354+F354</f>
        <v>100</v>
      </c>
    </row>
    <row r="355" customFormat="false" ht="15" hidden="false" customHeight="false" outlineLevel="0" collapsed="false">
      <c r="A355" s="11" t="n">
        <v>351</v>
      </c>
      <c r="B355" s="11" t="n">
        <f aca="false">MATCH(A355,월별!$C$6:$C$41,1)</f>
        <v>12</v>
      </c>
      <c r="C355" s="11" t="n">
        <f aca="false">L354</f>
        <v>100</v>
      </c>
      <c r="D355" s="24" t="n">
        <f aca="false">C355*가정!$B$8</f>
        <v>500</v>
      </c>
      <c r="E355" s="24" t="n">
        <f aca="false">H354+D354</f>
        <v>33553.6683417085</v>
      </c>
      <c r="F355" s="11" t="n">
        <f aca="false">IF(가정!$B$11=1,MAX(0,MIN(가정!$B$16-C355,INT(E355/가정!$B$17))),0)</f>
        <v>0</v>
      </c>
      <c r="G355" s="24" t="n">
        <f aca="false">F355*가정!$B$17</f>
        <v>0</v>
      </c>
      <c r="H355" s="24" t="n">
        <f aca="false">E355-G355</f>
        <v>33553.6683417085</v>
      </c>
      <c r="I355" s="24" t="n">
        <f aca="false">I354+D355</f>
        <v>60520</v>
      </c>
      <c r="J355" s="16" t="n">
        <f aca="false">(H355+D355)*가정!$B$10</f>
        <v>34053.6683417085</v>
      </c>
      <c r="K355" s="24" t="n">
        <f aca="false">A355*가정!$B$8*가정!$B$7</f>
        <v>1755</v>
      </c>
      <c r="L355" s="11" t="n">
        <f aca="false">C355+F355</f>
        <v>100</v>
      </c>
    </row>
    <row r="356" customFormat="false" ht="15" hidden="false" customHeight="false" outlineLevel="0" collapsed="false">
      <c r="A356" s="11" t="n">
        <v>352</v>
      </c>
      <c r="B356" s="11" t="n">
        <f aca="false">MATCH(A356,월별!$C$6:$C$41,1)</f>
        <v>12</v>
      </c>
      <c r="C356" s="11" t="n">
        <f aca="false">L355</f>
        <v>100</v>
      </c>
      <c r="D356" s="24" t="n">
        <f aca="false">C356*가정!$B$8</f>
        <v>500</v>
      </c>
      <c r="E356" s="24" t="n">
        <f aca="false">H355+D355</f>
        <v>34053.6683417085</v>
      </c>
      <c r="F356" s="11" t="n">
        <f aca="false">IF(가정!$B$11=1,MAX(0,MIN(가정!$B$16-C356,INT(E356/가정!$B$17))),0)</f>
        <v>0</v>
      </c>
      <c r="G356" s="24" t="n">
        <f aca="false">F356*가정!$B$17</f>
        <v>0</v>
      </c>
      <c r="H356" s="24" t="n">
        <f aca="false">E356-G356</f>
        <v>34053.6683417085</v>
      </c>
      <c r="I356" s="24" t="n">
        <f aca="false">I355+D356</f>
        <v>61020</v>
      </c>
      <c r="J356" s="16" t="n">
        <f aca="false">(H356+D356)*가정!$B$10</f>
        <v>34553.6683417085</v>
      </c>
      <c r="K356" s="24" t="n">
        <f aca="false">A356*가정!$B$8*가정!$B$7</f>
        <v>1760</v>
      </c>
      <c r="L356" s="11" t="n">
        <f aca="false">C356+F356</f>
        <v>100</v>
      </c>
    </row>
    <row r="357" customFormat="false" ht="15" hidden="false" customHeight="false" outlineLevel="0" collapsed="false">
      <c r="A357" s="11" t="n">
        <v>353</v>
      </c>
      <c r="B357" s="11" t="n">
        <f aca="false">MATCH(A357,월별!$C$6:$C$41,1)</f>
        <v>12</v>
      </c>
      <c r="C357" s="11" t="n">
        <f aca="false">L356</f>
        <v>100</v>
      </c>
      <c r="D357" s="24" t="n">
        <f aca="false">C357*가정!$B$8</f>
        <v>500</v>
      </c>
      <c r="E357" s="24" t="n">
        <f aca="false">H356+D356</f>
        <v>34553.6683417085</v>
      </c>
      <c r="F357" s="11" t="n">
        <f aca="false">IF(가정!$B$11=1,MAX(0,MIN(가정!$B$16-C357,INT(E357/가정!$B$17))),0)</f>
        <v>0</v>
      </c>
      <c r="G357" s="24" t="n">
        <f aca="false">F357*가정!$B$17</f>
        <v>0</v>
      </c>
      <c r="H357" s="24" t="n">
        <f aca="false">E357-G357</f>
        <v>34553.6683417085</v>
      </c>
      <c r="I357" s="24" t="n">
        <f aca="false">I356+D357</f>
        <v>61520</v>
      </c>
      <c r="J357" s="16" t="n">
        <f aca="false">(H357+D357)*가정!$B$10</f>
        <v>35053.6683417085</v>
      </c>
      <c r="K357" s="24" t="n">
        <f aca="false">A357*가정!$B$8*가정!$B$7</f>
        <v>1765</v>
      </c>
      <c r="L357" s="11" t="n">
        <f aca="false">C357+F357</f>
        <v>100</v>
      </c>
    </row>
    <row r="358" customFormat="false" ht="15" hidden="false" customHeight="false" outlineLevel="0" collapsed="false">
      <c r="A358" s="11" t="n">
        <v>354</v>
      </c>
      <c r="B358" s="11" t="n">
        <f aca="false">MATCH(A358,월별!$C$6:$C$41,1)</f>
        <v>12</v>
      </c>
      <c r="C358" s="11" t="n">
        <f aca="false">L357</f>
        <v>100</v>
      </c>
      <c r="D358" s="24" t="n">
        <f aca="false">C358*가정!$B$8</f>
        <v>500</v>
      </c>
      <c r="E358" s="24" t="n">
        <f aca="false">H357+D357</f>
        <v>35053.6683417085</v>
      </c>
      <c r="F358" s="11" t="n">
        <f aca="false">IF(가정!$B$11=1,MAX(0,MIN(가정!$B$16-C358,INT(E358/가정!$B$17))),0)</f>
        <v>0</v>
      </c>
      <c r="G358" s="24" t="n">
        <f aca="false">F358*가정!$B$17</f>
        <v>0</v>
      </c>
      <c r="H358" s="24" t="n">
        <f aca="false">E358-G358</f>
        <v>35053.6683417085</v>
      </c>
      <c r="I358" s="24" t="n">
        <f aca="false">I357+D358</f>
        <v>62020</v>
      </c>
      <c r="J358" s="16" t="n">
        <f aca="false">(H358+D358)*가정!$B$10</f>
        <v>35553.6683417085</v>
      </c>
      <c r="K358" s="24" t="n">
        <f aca="false">A358*가정!$B$8*가정!$B$7</f>
        <v>1770</v>
      </c>
      <c r="L358" s="11" t="n">
        <f aca="false">C358+F358</f>
        <v>100</v>
      </c>
    </row>
    <row r="359" customFormat="false" ht="15" hidden="false" customHeight="false" outlineLevel="0" collapsed="false">
      <c r="A359" s="11" t="n">
        <v>355</v>
      </c>
      <c r="B359" s="11" t="n">
        <f aca="false">MATCH(A359,월별!$C$6:$C$41,1)</f>
        <v>12</v>
      </c>
      <c r="C359" s="11" t="n">
        <f aca="false">L358</f>
        <v>100</v>
      </c>
      <c r="D359" s="24" t="n">
        <f aca="false">C359*가정!$B$8</f>
        <v>500</v>
      </c>
      <c r="E359" s="24" t="n">
        <f aca="false">H358+D358</f>
        <v>35553.6683417085</v>
      </c>
      <c r="F359" s="11" t="n">
        <f aca="false">IF(가정!$B$11=1,MAX(0,MIN(가정!$B$16-C359,INT(E359/가정!$B$17))),0)</f>
        <v>0</v>
      </c>
      <c r="G359" s="24" t="n">
        <f aca="false">F359*가정!$B$17</f>
        <v>0</v>
      </c>
      <c r="H359" s="24" t="n">
        <f aca="false">E359-G359</f>
        <v>35553.6683417085</v>
      </c>
      <c r="I359" s="24" t="n">
        <f aca="false">I358+D359</f>
        <v>62520</v>
      </c>
      <c r="J359" s="16" t="n">
        <f aca="false">(H359+D359)*가정!$B$10</f>
        <v>36053.6683417085</v>
      </c>
      <c r="K359" s="24" t="n">
        <f aca="false">A359*가정!$B$8*가정!$B$7</f>
        <v>1775</v>
      </c>
      <c r="L359" s="11" t="n">
        <f aca="false">C359+F359</f>
        <v>100</v>
      </c>
    </row>
    <row r="360" customFormat="false" ht="15" hidden="false" customHeight="false" outlineLevel="0" collapsed="false">
      <c r="A360" s="11" t="n">
        <v>356</v>
      </c>
      <c r="B360" s="11" t="n">
        <f aca="false">MATCH(A360,월별!$C$6:$C$41,1)</f>
        <v>12</v>
      </c>
      <c r="C360" s="11" t="n">
        <f aca="false">L359</f>
        <v>100</v>
      </c>
      <c r="D360" s="24" t="n">
        <f aca="false">C360*가정!$B$8</f>
        <v>500</v>
      </c>
      <c r="E360" s="24" t="n">
        <f aca="false">H359+D359</f>
        <v>36053.6683417085</v>
      </c>
      <c r="F360" s="11" t="n">
        <f aca="false">IF(가정!$B$11=1,MAX(0,MIN(가정!$B$16-C360,INT(E360/가정!$B$17))),0)</f>
        <v>0</v>
      </c>
      <c r="G360" s="24" t="n">
        <f aca="false">F360*가정!$B$17</f>
        <v>0</v>
      </c>
      <c r="H360" s="24" t="n">
        <f aca="false">E360-G360</f>
        <v>36053.6683417085</v>
      </c>
      <c r="I360" s="24" t="n">
        <f aca="false">I359+D360</f>
        <v>63020</v>
      </c>
      <c r="J360" s="16" t="n">
        <f aca="false">(H360+D360)*가정!$B$10</f>
        <v>36553.6683417085</v>
      </c>
      <c r="K360" s="24" t="n">
        <f aca="false">A360*가정!$B$8*가정!$B$7</f>
        <v>1780</v>
      </c>
      <c r="L360" s="11" t="n">
        <f aca="false">C360+F360</f>
        <v>100</v>
      </c>
    </row>
    <row r="361" customFormat="false" ht="15" hidden="false" customHeight="false" outlineLevel="0" collapsed="false">
      <c r="A361" s="11" t="n">
        <v>357</v>
      </c>
      <c r="B361" s="11" t="n">
        <f aca="false">MATCH(A361,월별!$C$6:$C$41,1)</f>
        <v>12</v>
      </c>
      <c r="C361" s="11" t="n">
        <f aca="false">L360</f>
        <v>100</v>
      </c>
      <c r="D361" s="24" t="n">
        <f aca="false">C361*가정!$B$8</f>
        <v>500</v>
      </c>
      <c r="E361" s="24" t="n">
        <f aca="false">H360+D360</f>
        <v>36553.6683417085</v>
      </c>
      <c r="F361" s="11" t="n">
        <f aca="false">IF(가정!$B$11=1,MAX(0,MIN(가정!$B$16-C361,INT(E361/가정!$B$17))),0)</f>
        <v>0</v>
      </c>
      <c r="G361" s="24" t="n">
        <f aca="false">F361*가정!$B$17</f>
        <v>0</v>
      </c>
      <c r="H361" s="24" t="n">
        <f aca="false">E361-G361</f>
        <v>36553.6683417085</v>
      </c>
      <c r="I361" s="24" t="n">
        <f aca="false">I360+D361</f>
        <v>63520</v>
      </c>
      <c r="J361" s="16" t="n">
        <f aca="false">(H361+D361)*가정!$B$10</f>
        <v>37053.6683417085</v>
      </c>
      <c r="K361" s="24" t="n">
        <f aca="false">A361*가정!$B$8*가정!$B$7</f>
        <v>1785</v>
      </c>
      <c r="L361" s="11" t="n">
        <f aca="false">C361+F361</f>
        <v>100</v>
      </c>
    </row>
    <row r="362" customFormat="false" ht="15" hidden="false" customHeight="false" outlineLevel="0" collapsed="false">
      <c r="A362" s="11" t="n">
        <v>358</v>
      </c>
      <c r="B362" s="11" t="n">
        <f aca="false">MATCH(A362,월별!$C$6:$C$41,1)</f>
        <v>12</v>
      </c>
      <c r="C362" s="11" t="n">
        <f aca="false">L361</f>
        <v>100</v>
      </c>
      <c r="D362" s="24" t="n">
        <f aca="false">C362*가정!$B$8</f>
        <v>500</v>
      </c>
      <c r="E362" s="24" t="n">
        <f aca="false">H361+D361</f>
        <v>37053.6683417085</v>
      </c>
      <c r="F362" s="11" t="n">
        <f aca="false">IF(가정!$B$11=1,MAX(0,MIN(가정!$B$16-C362,INT(E362/가정!$B$17))),0)</f>
        <v>0</v>
      </c>
      <c r="G362" s="24" t="n">
        <f aca="false">F362*가정!$B$17</f>
        <v>0</v>
      </c>
      <c r="H362" s="24" t="n">
        <f aca="false">E362-G362</f>
        <v>37053.6683417085</v>
      </c>
      <c r="I362" s="24" t="n">
        <f aca="false">I361+D362</f>
        <v>64020</v>
      </c>
      <c r="J362" s="16" t="n">
        <f aca="false">(H362+D362)*가정!$B$10</f>
        <v>37553.6683417085</v>
      </c>
      <c r="K362" s="24" t="n">
        <f aca="false">A362*가정!$B$8*가정!$B$7</f>
        <v>1790</v>
      </c>
      <c r="L362" s="11" t="n">
        <f aca="false">C362+F362</f>
        <v>100</v>
      </c>
    </row>
    <row r="363" customFormat="false" ht="15" hidden="false" customHeight="false" outlineLevel="0" collapsed="false">
      <c r="A363" s="11" t="n">
        <v>359</v>
      </c>
      <c r="B363" s="11" t="n">
        <f aca="false">MATCH(A363,월별!$C$6:$C$41,1)</f>
        <v>12</v>
      </c>
      <c r="C363" s="11" t="n">
        <f aca="false">L362</f>
        <v>100</v>
      </c>
      <c r="D363" s="24" t="n">
        <f aca="false">C363*가정!$B$8</f>
        <v>500</v>
      </c>
      <c r="E363" s="24" t="n">
        <f aca="false">H362+D362</f>
        <v>37553.6683417085</v>
      </c>
      <c r="F363" s="11" t="n">
        <f aca="false">IF(가정!$B$11=1,MAX(0,MIN(가정!$B$16-C363,INT(E363/가정!$B$17))),0)</f>
        <v>0</v>
      </c>
      <c r="G363" s="24" t="n">
        <f aca="false">F363*가정!$B$17</f>
        <v>0</v>
      </c>
      <c r="H363" s="24" t="n">
        <f aca="false">E363-G363</f>
        <v>37553.6683417085</v>
      </c>
      <c r="I363" s="24" t="n">
        <f aca="false">I362+D363</f>
        <v>64520</v>
      </c>
      <c r="J363" s="16" t="n">
        <f aca="false">(H363+D363)*가정!$B$10</f>
        <v>38053.6683417085</v>
      </c>
      <c r="K363" s="24" t="n">
        <f aca="false">A363*가정!$B$8*가정!$B$7</f>
        <v>1795</v>
      </c>
      <c r="L363" s="11" t="n">
        <f aca="false">C363+F363</f>
        <v>100</v>
      </c>
    </row>
    <row r="364" customFormat="false" ht="15" hidden="false" customHeight="false" outlineLevel="0" collapsed="false">
      <c r="A364" s="11" t="n">
        <v>360</v>
      </c>
      <c r="B364" s="11" t="n">
        <f aca="false">MATCH(A364,월별!$C$6:$C$41,1)</f>
        <v>12</v>
      </c>
      <c r="C364" s="11" t="n">
        <f aca="false">L363</f>
        <v>100</v>
      </c>
      <c r="D364" s="24" t="n">
        <f aca="false">C364*가정!$B$8</f>
        <v>500</v>
      </c>
      <c r="E364" s="24" t="n">
        <f aca="false">H363+D363</f>
        <v>38053.6683417085</v>
      </c>
      <c r="F364" s="11" t="n">
        <f aca="false">IF(가정!$B$11=1,MAX(0,MIN(가정!$B$16-C364,INT(E364/가정!$B$17))),0)</f>
        <v>0</v>
      </c>
      <c r="G364" s="24" t="n">
        <f aca="false">F364*가정!$B$17</f>
        <v>0</v>
      </c>
      <c r="H364" s="24" t="n">
        <f aca="false">E364-G364</f>
        <v>38053.6683417085</v>
      </c>
      <c r="I364" s="24" t="n">
        <f aca="false">I363+D364</f>
        <v>65020</v>
      </c>
      <c r="J364" s="16" t="n">
        <f aca="false">(H364+D364)*가정!$B$10</f>
        <v>38553.6683417085</v>
      </c>
      <c r="K364" s="24" t="n">
        <f aca="false">A364*가정!$B$8*가정!$B$7</f>
        <v>1800</v>
      </c>
      <c r="L364" s="11" t="n">
        <f aca="false">C364+F364</f>
        <v>100</v>
      </c>
    </row>
    <row r="365" customFormat="false" ht="15" hidden="false" customHeight="false" outlineLevel="0" collapsed="false">
      <c r="A365" s="11" t="n">
        <v>361</v>
      </c>
      <c r="B365" s="11" t="n">
        <f aca="false">MATCH(A365,월별!$C$6:$C$41,1)</f>
        <v>12</v>
      </c>
      <c r="C365" s="11" t="n">
        <f aca="false">L364</f>
        <v>100</v>
      </c>
      <c r="D365" s="24" t="n">
        <f aca="false">C365*가정!$B$8</f>
        <v>500</v>
      </c>
      <c r="E365" s="24" t="n">
        <f aca="false">H364+D364</f>
        <v>38553.6683417085</v>
      </c>
      <c r="F365" s="11" t="n">
        <f aca="false">IF(가정!$B$11=1,MAX(0,MIN(가정!$B$16-C365,INT(E365/가정!$B$17))),0)</f>
        <v>0</v>
      </c>
      <c r="G365" s="24" t="n">
        <f aca="false">F365*가정!$B$17</f>
        <v>0</v>
      </c>
      <c r="H365" s="24" t="n">
        <f aca="false">E365-G365</f>
        <v>38553.6683417085</v>
      </c>
      <c r="I365" s="24" t="n">
        <f aca="false">I364+D365</f>
        <v>65520</v>
      </c>
      <c r="J365" s="16" t="n">
        <f aca="false">(H365+D365)*가정!$B$10</f>
        <v>39053.6683417085</v>
      </c>
      <c r="K365" s="24" t="n">
        <f aca="false">A365*가정!$B$8*가정!$B$7</f>
        <v>1805</v>
      </c>
      <c r="L365" s="11" t="n">
        <f aca="false">C365+F365</f>
        <v>100</v>
      </c>
    </row>
    <row r="366" customFormat="false" ht="15" hidden="false" customHeight="false" outlineLevel="0" collapsed="false">
      <c r="A366" s="11" t="n">
        <v>362</v>
      </c>
      <c r="B366" s="11" t="n">
        <f aca="false">MATCH(A366,월별!$C$6:$C$41,1)</f>
        <v>12</v>
      </c>
      <c r="C366" s="11" t="n">
        <f aca="false">L365</f>
        <v>100</v>
      </c>
      <c r="D366" s="24" t="n">
        <f aca="false">C366*가정!$B$8</f>
        <v>500</v>
      </c>
      <c r="E366" s="24" t="n">
        <f aca="false">H365+D365</f>
        <v>39053.6683417085</v>
      </c>
      <c r="F366" s="11" t="n">
        <f aca="false">IF(가정!$B$11=1,MAX(0,MIN(가정!$B$16-C366,INT(E366/가정!$B$17))),0)</f>
        <v>0</v>
      </c>
      <c r="G366" s="24" t="n">
        <f aca="false">F366*가정!$B$17</f>
        <v>0</v>
      </c>
      <c r="H366" s="24" t="n">
        <f aca="false">E366-G366</f>
        <v>39053.6683417085</v>
      </c>
      <c r="I366" s="24" t="n">
        <f aca="false">I365+D366</f>
        <v>66020</v>
      </c>
      <c r="J366" s="16" t="n">
        <f aca="false">(H366+D366)*가정!$B$10</f>
        <v>39553.6683417085</v>
      </c>
      <c r="K366" s="24" t="n">
        <f aca="false">A366*가정!$B$8*가정!$B$7</f>
        <v>1810</v>
      </c>
      <c r="L366" s="11" t="n">
        <f aca="false">C366+F366</f>
        <v>100</v>
      </c>
    </row>
    <row r="367" customFormat="false" ht="15" hidden="false" customHeight="false" outlineLevel="0" collapsed="false">
      <c r="A367" s="11" t="n">
        <v>363</v>
      </c>
      <c r="B367" s="11" t="n">
        <f aca="false">MATCH(A367,월별!$C$6:$C$41,1)</f>
        <v>12</v>
      </c>
      <c r="C367" s="11" t="n">
        <f aca="false">L366</f>
        <v>100</v>
      </c>
      <c r="D367" s="24" t="n">
        <f aca="false">C367*가정!$B$8</f>
        <v>500</v>
      </c>
      <c r="E367" s="24" t="n">
        <f aca="false">H366+D366</f>
        <v>39553.6683417085</v>
      </c>
      <c r="F367" s="11" t="n">
        <f aca="false">IF(가정!$B$11=1,MAX(0,MIN(가정!$B$16-C367,INT(E367/가정!$B$17))),0)</f>
        <v>0</v>
      </c>
      <c r="G367" s="24" t="n">
        <f aca="false">F367*가정!$B$17</f>
        <v>0</v>
      </c>
      <c r="H367" s="24" t="n">
        <f aca="false">E367-G367</f>
        <v>39553.6683417085</v>
      </c>
      <c r="I367" s="24" t="n">
        <f aca="false">I366+D367</f>
        <v>66520</v>
      </c>
      <c r="J367" s="16" t="n">
        <f aca="false">(H367+D367)*가정!$B$10</f>
        <v>40053.6683417085</v>
      </c>
      <c r="K367" s="24" t="n">
        <f aca="false">A367*가정!$B$8*가정!$B$7</f>
        <v>1815</v>
      </c>
      <c r="L367" s="11" t="n">
        <f aca="false">C367+F367</f>
        <v>100</v>
      </c>
    </row>
    <row r="368" customFormat="false" ht="15" hidden="false" customHeight="false" outlineLevel="0" collapsed="false">
      <c r="A368" s="11" t="n">
        <v>364</v>
      </c>
      <c r="B368" s="11" t="n">
        <f aca="false">MATCH(A368,월별!$C$6:$C$41,1)</f>
        <v>12</v>
      </c>
      <c r="C368" s="11" t="n">
        <f aca="false">L367</f>
        <v>100</v>
      </c>
      <c r="D368" s="24" t="n">
        <f aca="false">C368*가정!$B$8</f>
        <v>500</v>
      </c>
      <c r="E368" s="24" t="n">
        <f aca="false">H367+D367</f>
        <v>40053.6683417085</v>
      </c>
      <c r="F368" s="11" t="n">
        <f aca="false">IF(가정!$B$11=1,MAX(0,MIN(가정!$B$16-C368,INT(E368/가정!$B$17))),0)</f>
        <v>0</v>
      </c>
      <c r="G368" s="24" t="n">
        <f aca="false">F368*가정!$B$17</f>
        <v>0</v>
      </c>
      <c r="H368" s="24" t="n">
        <f aca="false">E368-G368</f>
        <v>40053.6683417085</v>
      </c>
      <c r="I368" s="24" t="n">
        <f aca="false">I367+D368</f>
        <v>67020</v>
      </c>
      <c r="J368" s="16" t="n">
        <f aca="false">(H368+D368)*가정!$B$10</f>
        <v>40553.6683417085</v>
      </c>
      <c r="K368" s="24" t="n">
        <f aca="false">A368*가정!$B$8*가정!$B$7</f>
        <v>1820</v>
      </c>
      <c r="L368" s="11" t="n">
        <f aca="false">C368+F368</f>
        <v>100</v>
      </c>
    </row>
    <row r="369" customFormat="false" ht="15" hidden="false" customHeight="false" outlineLevel="0" collapsed="false">
      <c r="A369" s="11" t="n">
        <v>365</v>
      </c>
      <c r="B369" s="11" t="n">
        <f aca="false">MATCH(A369,월별!$C$6:$C$41,1)</f>
        <v>12</v>
      </c>
      <c r="C369" s="11" t="n">
        <f aca="false">L368</f>
        <v>100</v>
      </c>
      <c r="D369" s="24" t="n">
        <f aca="false">C369*가정!$B$8</f>
        <v>500</v>
      </c>
      <c r="E369" s="24" t="n">
        <f aca="false">H368+D368</f>
        <v>40553.6683417085</v>
      </c>
      <c r="F369" s="11" t="n">
        <f aca="false">IF(가정!$B$11=1,MAX(0,MIN(가정!$B$16-C369,INT(E369/가정!$B$17))),0)</f>
        <v>0</v>
      </c>
      <c r="G369" s="24" t="n">
        <f aca="false">F369*가정!$B$17</f>
        <v>0</v>
      </c>
      <c r="H369" s="24" t="n">
        <f aca="false">E369-G369</f>
        <v>40553.6683417085</v>
      </c>
      <c r="I369" s="24" t="n">
        <f aca="false">I368+D369</f>
        <v>67520</v>
      </c>
      <c r="J369" s="16" t="n">
        <f aca="false">(H369+D369)*가정!$B$10</f>
        <v>41053.6683417085</v>
      </c>
      <c r="K369" s="24" t="n">
        <f aca="false">A369*가정!$B$8*가정!$B$7</f>
        <v>1825</v>
      </c>
      <c r="L369" s="11" t="n">
        <f aca="false">C369+F369</f>
        <v>100</v>
      </c>
    </row>
    <row r="370" customFormat="false" ht="15" hidden="false" customHeight="false" outlineLevel="0" collapsed="false">
      <c r="A370" s="11" t="n">
        <v>366</v>
      </c>
      <c r="B370" s="11" t="n">
        <f aca="false">MATCH(A370,월별!$C$6:$C$41,1)</f>
        <v>13</v>
      </c>
      <c r="C370" s="11" t="n">
        <f aca="false">L369</f>
        <v>100</v>
      </c>
      <c r="D370" s="24" t="n">
        <f aca="false">C370*가정!$B$8</f>
        <v>500</v>
      </c>
      <c r="E370" s="24" t="n">
        <f aca="false">H369+D369</f>
        <v>41053.6683417085</v>
      </c>
      <c r="F370" s="11" t="n">
        <f aca="false">IF(가정!$B$11=1,MAX(0,MIN(가정!$B$16-C370,INT(E370/가정!$B$17))),0)</f>
        <v>0</v>
      </c>
      <c r="G370" s="24" t="n">
        <f aca="false">F370*가정!$B$17</f>
        <v>0</v>
      </c>
      <c r="H370" s="24" t="n">
        <f aca="false">E370-G370</f>
        <v>41053.6683417085</v>
      </c>
      <c r="I370" s="24" t="n">
        <f aca="false">I369+D370</f>
        <v>68020</v>
      </c>
      <c r="J370" s="16" t="n">
        <f aca="false">(H370+D370)*가정!$B$10</f>
        <v>41553.6683417085</v>
      </c>
      <c r="K370" s="24" t="n">
        <f aca="false">A370*가정!$B$8*가정!$B$7</f>
        <v>1830</v>
      </c>
      <c r="L370" s="11" t="n">
        <f aca="false">C370+F370</f>
        <v>100</v>
      </c>
    </row>
    <row r="371" customFormat="false" ht="15" hidden="false" customHeight="false" outlineLevel="0" collapsed="false">
      <c r="A371" s="11" t="n">
        <v>367</v>
      </c>
      <c r="B371" s="11" t="n">
        <f aca="false">MATCH(A371,월별!$C$6:$C$41,1)</f>
        <v>13</v>
      </c>
      <c r="C371" s="11" t="n">
        <f aca="false">L370</f>
        <v>100</v>
      </c>
      <c r="D371" s="24" t="n">
        <f aca="false">C371*가정!$B$8</f>
        <v>500</v>
      </c>
      <c r="E371" s="24" t="n">
        <f aca="false">H370+D370</f>
        <v>41553.6683417085</v>
      </c>
      <c r="F371" s="11" t="n">
        <f aca="false">IF(가정!$B$11=1,MAX(0,MIN(가정!$B$16-C371,INT(E371/가정!$B$17))),0)</f>
        <v>0</v>
      </c>
      <c r="G371" s="24" t="n">
        <f aca="false">F371*가정!$B$17</f>
        <v>0</v>
      </c>
      <c r="H371" s="24" t="n">
        <f aca="false">E371-G371</f>
        <v>41553.6683417085</v>
      </c>
      <c r="I371" s="24" t="n">
        <f aca="false">I370+D371</f>
        <v>68520</v>
      </c>
      <c r="J371" s="16" t="n">
        <f aca="false">(H371+D371)*가정!$B$10</f>
        <v>42053.6683417085</v>
      </c>
      <c r="K371" s="24" t="n">
        <f aca="false">A371*가정!$B$8*가정!$B$7</f>
        <v>1835</v>
      </c>
      <c r="L371" s="11" t="n">
        <f aca="false">C371+F371</f>
        <v>100</v>
      </c>
    </row>
    <row r="372" customFormat="false" ht="15" hidden="false" customHeight="false" outlineLevel="0" collapsed="false">
      <c r="A372" s="11" t="n">
        <v>368</v>
      </c>
      <c r="B372" s="11" t="n">
        <f aca="false">MATCH(A372,월별!$C$6:$C$41,1)</f>
        <v>13</v>
      </c>
      <c r="C372" s="11" t="n">
        <f aca="false">L371</f>
        <v>100</v>
      </c>
      <c r="D372" s="24" t="n">
        <f aca="false">C372*가정!$B$8</f>
        <v>500</v>
      </c>
      <c r="E372" s="24" t="n">
        <f aca="false">H371+D371</f>
        <v>42053.6683417085</v>
      </c>
      <c r="F372" s="11" t="n">
        <f aca="false">IF(가정!$B$11=1,MAX(0,MIN(가정!$B$16-C372,INT(E372/가정!$B$17))),0)</f>
        <v>0</v>
      </c>
      <c r="G372" s="24" t="n">
        <f aca="false">F372*가정!$B$17</f>
        <v>0</v>
      </c>
      <c r="H372" s="24" t="n">
        <f aca="false">E372-G372</f>
        <v>42053.6683417085</v>
      </c>
      <c r="I372" s="24" t="n">
        <f aca="false">I371+D372</f>
        <v>69020</v>
      </c>
      <c r="J372" s="16" t="n">
        <f aca="false">(H372+D372)*가정!$B$10</f>
        <v>42553.6683417085</v>
      </c>
      <c r="K372" s="24" t="n">
        <f aca="false">A372*가정!$B$8*가정!$B$7</f>
        <v>1840</v>
      </c>
      <c r="L372" s="11" t="n">
        <f aca="false">C372+F372</f>
        <v>100</v>
      </c>
    </row>
    <row r="373" customFormat="false" ht="15" hidden="false" customHeight="false" outlineLevel="0" collapsed="false">
      <c r="A373" s="11" t="n">
        <v>369</v>
      </c>
      <c r="B373" s="11" t="n">
        <f aca="false">MATCH(A373,월별!$C$6:$C$41,1)</f>
        <v>13</v>
      </c>
      <c r="C373" s="11" t="n">
        <f aca="false">L372</f>
        <v>100</v>
      </c>
      <c r="D373" s="24" t="n">
        <f aca="false">C373*가정!$B$8</f>
        <v>500</v>
      </c>
      <c r="E373" s="24" t="n">
        <f aca="false">H372+D372</f>
        <v>42553.6683417085</v>
      </c>
      <c r="F373" s="11" t="n">
        <f aca="false">IF(가정!$B$11=1,MAX(0,MIN(가정!$B$16-C373,INT(E373/가정!$B$17))),0)</f>
        <v>0</v>
      </c>
      <c r="G373" s="24" t="n">
        <f aca="false">F373*가정!$B$17</f>
        <v>0</v>
      </c>
      <c r="H373" s="24" t="n">
        <f aca="false">E373-G373</f>
        <v>42553.6683417085</v>
      </c>
      <c r="I373" s="24" t="n">
        <f aca="false">I372+D373</f>
        <v>69520</v>
      </c>
      <c r="J373" s="16" t="n">
        <f aca="false">(H373+D373)*가정!$B$10</f>
        <v>43053.6683417085</v>
      </c>
      <c r="K373" s="24" t="n">
        <f aca="false">A373*가정!$B$8*가정!$B$7</f>
        <v>1845</v>
      </c>
      <c r="L373" s="11" t="n">
        <f aca="false">C373+F373</f>
        <v>100</v>
      </c>
    </row>
    <row r="374" customFormat="false" ht="15" hidden="false" customHeight="false" outlineLevel="0" collapsed="false">
      <c r="A374" s="11" t="n">
        <v>370</v>
      </c>
      <c r="B374" s="11" t="n">
        <f aca="false">MATCH(A374,월별!$C$6:$C$41,1)</f>
        <v>13</v>
      </c>
      <c r="C374" s="11" t="n">
        <f aca="false">L373</f>
        <v>100</v>
      </c>
      <c r="D374" s="24" t="n">
        <f aca="false">C374*가정!$B$8</f>
        <v>500</v>
      </c>
      <c r="E374" s="24" t="n">
        <f aca="false">H373+D373</f>
        <v>43053.6683417085</v>
      </c>
      <c r="F374" s="11" t="n">
        <f aca="false">IF(가정!$B$11=1,MAX(0,MIN(가정!$B$16-C374,INT(E374/가정!$B$17))),0)</f>
        <v>0</v>
      </c>
      <c r="G374" s="24" t="n">
        <f aca="false">F374*가정!$B$17</f>
        <v>0</v>
      </c>
      <c r="H374" s="24" t="n">
        <f aca="false">E374-G374</f>
        <v>43053.6683417085</v>
      </c>
      <c r="I374" s="24" t="n">
        <f aca="false">I373+D374</f>
        <v>70020</v>
      </c>
      <c r="J374" s="16" t="n">
        <f aca="false">(H374+D374)*가정!$B$10</f>
        <v>43553.6683417085</v>
      </c>
      <c r="K374" s="24" t="n">
        <f aca="false">A374*가정!$B$8*가정!$B$7</f>
        <v>1850</v>
      </c>
      <c r="L374" s="11" t="n">
        <f aca="false">C374+F374</f>
        <v>100</v>
      </c>
    </row>
    <row r="375" customFormat="false" ht="15" hidden="false" customHeight="false" outlineLevel="0" collapsed="false">
      <c r="A375" s="11" t="n">
        <v>371</v>
      </c>
      <c r="B375" s="11" t="n">
        <f aca="false">MATCH(A375,월별!$C$6:$C$41,1)</f>
        <v>13</v>
      </c>
      <c r="C375" s="11" t="n">
        <f aca="false">L374</f>
        <v>100</v>
      </c>
      <c r="D375" s="24" t="n">
        <f aca="false">C375*가정!$B$8</f>
        <v>500</v>
      </c>
      <c r="E375" s="24" t="n">
        <f aca="false">H374+D374</f>
        <v>43553.6683417085</v>
      </c>
      <c r="F375" s="11" t="n">
        <f aca="false">IF(가정!$B$11=1,MAX(0,MIN(가정!$B$16-C375,INT(E375/가정!$B$17))),0)</f>
        <v>0</v>
      </c>
      <c r="G375" s="24" t="n">
        <f aca="false">F375*가정!$B$17</f>
        <v>0</v>
      </c>
      <c r="H375" s="24" t="n">
        <f aca="false">E375-G375</f>
        <v>43553.6683417085</v>
      </c>
      <c r="I375" s="24" t="n">
        <f aca="false">I374+D375</f>
        <v>70520</v>
      </c>
      <c r="J375" s="16" t="n">
        <f aca="false">(H375+D375)*가정!$B$10</f>
        <v>44053.6683417085</v>
      </c>
      <c r="K375" s="24" t="n">
        <f aca="false">A375*가정!$B$8*가정!$B$7</f>
        <v>1855</v>
      </c>
      <c r="L375" s="11" t="n">
        <f aca="false">C375+F375</f>
        <v>100</v>
      </c>
    </row>
    <row r="376" customFormat="false" ht="15" hidden="false" customHeight="false" outlineLevel="0" collapsed="false">
      <c r="A376" s="11" t="n">
        <v>372</v>
      </c>
      <c r="B376" s="11" t="n">
        <f aca="false">MATCH(A376,월별!$C$6:$C$41,1)</f>
        <v>13</v>
      </c>
      <c r="C376" s="11" t="n">
        <f aca="false">L375</f>
        <v>100</v>
      </c>
      <c r="D376" s="24" t="n">
        <f aca="false">C376*가정!$B$8</f>
        <v>500</v>
      </c>
      <c r="E376" s="24" t="n">
        <f aca="false">H375+D375</f>
        <v>44053.6683417085</v>
      </c>
      <c r="F376" s="11" t="n">
        <f aca="false">IF(가정!$B$11=1,MAX(0,MIN(가정!$B$16-C376,INT(E376/가정!$B$17))),0)</f>
        <v>0</v>
      </c>
      <c r="G376" s="24" t="n">
        <f aca="false">F376*가정!$B$17</f>
        <v>0</v>
      </c>
      <c r="H376" s="24" t="n">
        <f aca="false">E376-G376</f>
        <v>44053.6683417085</v>
      </c>
      <c r="I376" s="24" t="n">
        <f aca="false">I375+D376</f>
        <v>71020</v>
      </c>
      <c r="J376" s="16" t="n">
        <f aca="false">(H376+D376)*가정!$B$10</f>
        <v>44553.6683417085</v>
      </c>
      <c r="K376" s="24" t="n">
        <f aca="false">A376*가정!$B$8*가정!$B$7</f>
        <v>1860</v>
      </c>
      <c r="L376" s="11" t="n">
        <f aca="false">C376+F376</f>
        <v>100</v>
      </c>
    </row>
    <row r="377" customFormat="false" ht="15" hidden="false" customHeight="false" outlineLevel="0" collapsed="false">
      <c r="A377" s="11" t="n">
        <v>373</v>
      </c>
      <c r="B377" s="11" t="n">
        <f aca="false">MATCH(A377,월별!$C$6:$C$41,1)</f>
        <v>13</v>
      </c>
      <c r="C377" s="11" t="n">
        <f aca="false">L376</f>
        <v>100</v>
      </c>
      <c r="D377" s="24" t="n">
        <f aca="false">C377*가정!$B$8</f>
        <v>500</v>
      </c>
      <c r="E377" s="24" t="n">
        <f aca="false">H376+D376</f>
        <v>44553.6683417085</v>
      </c>
      <c r="F377" s="11" t="n">
        <f aca="false">IF(가정!$B$11=1,MAX(0,MIN(가정!$B$16-C377,INT(E377/가정!$B$17))),0)</f>
        <v>0</v>
      </c>
      <c r="G377" s="24" t="n">
        <f aca="false">F377*가정!$B$17</f>
        <v>0</v>
      </c>
      <c r="H377" s="24" t="n">
        <f aca="false">E377-G377</f>
        <v>44553.6683417085</v>
      </c>
      <c r="I377" s="24" t="n">
        <f aca="false">I376+D377</f>
        <v>71520</v>
      </c>
      <c r="J377" s="16" t="n">
        <f aca="false">(H377+D377)*가정!$B$10</f>
        <v>45053.6683417085</v>
      </c>
      <c r="K377" s="24" t="n">
        <f aca="false">A377*가정!$B$8*가정!$B$7</f>
        <v>1865</v>
      </c>
      <c r="L377" s="11" t="n">
        <f aca="false">C377+F377</f>
        <v>100</v>
      </c>
    </row>
    <row r="378" customFormat="false" ht="15" hidden="false" customHeight="false" outlineLevel="0" collapsed="false">
      <c r="A378" s="11" t="n">
        <v>374</v>
      </c>
      <c r="B378" s="11" t="n">
        <f aca="false">MATCH(A378,월별!$C$6:$C$41,1)</f>
        <v>13</v>
      </c>
      <c r="C378" s="11" t="n">
        <f aca="false">L377</f>
        <v>100</v>
      </c>
      <c r="D378" s="24" t="n">
        <f aca="false">C378*가정!$B$8</f>
        <v>500</v>
      </c>
      <c r="E378" s="24" t="n">
        <f aca="false">H377+D377</f>
        <v>45053.6683417085</v>
      </c>
      <c r="F378" s="11" t="n">
        <f aca="false">IF(가정!$B$11=1,MAX(0,MIN(가정!$B$16-C378,INT(E378/가정!$B$17))),0)</f>
        <v>0</v>
      </c>
      <c r="G378" s="24" t="n">
        <f aca="false">F378*가정!$B$17</f>
        <v>0</v>
      </c>
      <c r="H378" s="24" t="n">
        <f aca="false">E378-G378</f>
        <v>45053.6683417085</v>
      </c>
      <c r="I378" s="24" t="n">
        <f aca="false">I377+D378</f>
        <v>72020</v>
      </c>
      <c r="J378" s="16" t="n">
        <f aca="false">(H378+D378)*가정!$B$10</f>
        <v>45553.6683417085</v>
      </c>
      <c r="K378" s="24" t="n">
        <f aca="false">A378*가정!$B$8*가정!$B$7</f>
        <v>1870</v>
      </c>
      <c r="L378" s="11" t="n">
        <f aca="false">C378+F378</f>
        <v>100</v>
      </c>
    </row>
    <row r="379" customFormat="false" ht="15" hidden="false" customHeight="false" outlineLevel="0" collapsed="false">
      <c r="A379" s="11" t="n">
        <v>375</v>
      </c>
      <c r="B379" s="11" t="n">
        <f aca="false">MATCH(A379,월별!$C$6:$C$41,1)</f>
        <v>13</v>
      </c>
      <c r="C379" s="11" t="n">
        <f aca="false">L378</f>
        <v>100</v>
      </c>
      <c r="D379" s="24" t="n">
        <f aca="false">C379*가정!$B$8</f>
        <v>500</v>
      </c>
      <c r="E379" s="24" t="n">
        <f aca="false">H378+D378</f>
        <v>45553.6683417085</v>
      </c>
      <c r="F379" s="11" t="n">
        <f aca="false">IF(가정!$B$11=1,MAX(0,MIN(가정!$B$16-C379,INT(E379/가정!$B$17))),0)</f>
        <v>0</v>
      </c>
      <c r="G379" s="24" t="n">
        <f aca="false">F379*가정!$B$17</f>
        <v>0</v>
      </c>
      <c r="H379" s="24" t="n">
        <f aca="false">E379-G379</f>
        <v>45553.6683417085</v>
      </c>
      <c r="I379" s="24" t="n">
        <f aca="false">I378+D379</f>
        <v>72520</v>
      </c>
      <c r="J379" s="16" t="n">
        <f aca="false">(H379+D379)*가정!$B$10</f>
        <v>46053.6683417085</v>
      </c>
      <c r="K379" s="24" t="n">
        <f aca="false">A379*가정!$B$8*가정!$B$7</f>
        <v>1875</v>
      </c>
      <c r="L379" s="11" t="n">
        <f aca="false">C379+F379</f>
        <v>100</v>
      </c>
    </row>
    <row r="380" customFormat="false" ht="15" hidden="false" customHeight="false" outlineLevel="0" collapsed="false">
      <c r="A380" s="11" t="n">
        <v>376</v>
      </c>
      <c r="B380" s="11" t="n">
        <f aca="false">MATCH(A380,월별!$C$6:$C$41,1)</f>
        <v>13</v>
      </c>
      <c r="C380" s="11" t="n">
        <f aca="false">L379</f>
        <v>100</v>
      </c>
      <c r="D380" s="24" t="n">
        <f aca="false">C380*가정!$B$8</f>
        <v>500</v>
      </c>
      <c r="E380" s="24" t="n">
        <f aca="false">H379+D379</f>
        <v>46053.6683417085</v>
      </c>
      <c r="F380" s="11" t="n">
        <f aca="false">IF(가정!$B$11=1,MAX(0,MIN(가정!$B$16-C380,INT(E380/가정!$B$17))),0)</f>
        <v>0</v>
      </c>
      <c r="G380" s="24" t="n">
        <f aca="false">F380*가정!$B$17</f>
        <v>0</v>
      </c>
      <c r="H380" s="24" t="n">
        <f aca="false">E380-G380</f>
        <v>46053.6683417085</v>
      </c>
      <c r="I380" s="24" t="n">
        <f aca="false">I379+D380</f>
        <v>73020</v>
      </c>
      <c r="J380" s="16" t="n">
        <f aca="false">(H380+D380)*가정!$B$10</f>
        <v>46553.6683417085</v>
      </c>
      <c r="K380" s="24" t="n">
        <f aca="false">A380*가정!$B$8*가정!$B$7</f>
        <v>1880</v>
      </c>
      <c r="L380" s="11" t="n">
        <f aca="false">C380+F380</f>
        <v>100</v>
      </c>
    </row>
    <row r="381" customFormat="false" ht="15" hidden="false" customHeight="false" outlineLevel="0" collapsed="false">
      <c r="A381" s="11" t="n">
        <v>377</v>
      </c>
      <c r="B381" s="11" t="n">
        <f aca="false">MATCH(A381,월별!$C$6:$C$41,1)</f>
        <v>13</v>
      </c>
      <c r="C381" s="11" t="n">
        <f aca="false">L380</f>
        <v>100</v>
      </c>
      <c r="D381" s="24" t="n">
        <f aca="false">C381*가정!$B$8</f>
        <v>500</v>
      </c>
      <c r="E381" s="24" t="n">
        <f aca="false">H380+D380</f>
        <v>46553.6683417085</v>
      </c>
      <c r="F381" s="11" t="n">
        <f aca="false">IF(가정!$B$11=1,MAX(0,MIN(가정!$B$16-C381,INT(E381/가정!$B$17))),0)</f>
        <v>0</v>
      </c>
      <c r="G381" s="24" t="n">
        <f aca="false">F381*가정!$B$17</f>
        <v>0</v>
      </c>
      <c r="H381" s="24" t="n">
        <f aca="false">E381-G381</f>
        <v>46553.6683417085</v>
      </c>
      <c r="I381" s="24" t="n">
        <f aca="false">I380+D381</f>
        <v>73520</v>
      </c>
      <c r="J381" s="16" t="n">
        <f aca="false">(H381+D381)*가정!$B$10</f>
        <v>47053.6683417085</v>
      </c>
      <c r="K381" s="24" t="n">
        <f aca="false">A381*가정!$B$8*가정!$B$7</f>
        <v>1885</v>
      </c>
      <c r="L381" s="11" t="n">
        <f aca="false">C381+F381</f>
        <v>100</v>
      </c>
    </row>
    <row r="382" customFormat="false" ht="15" hidden="false" customHeight="false" outlineLevel="0" collapsed="false">
      <c r="A382" s="11" t="n">
        <v>378</v>
      </c>
      <c r="B382" s="11" t="n">
        <f aca="false">MATCH(A382,월별!$C$6:$C$41,1)</f>
        <v>13</v>
      </c>
      <c r="C382" s="11" t="n">
        <f aca="false">L381</f>
        <v>100</v>
      </c>
      <c r="D382" s="24" t="n">
        <f aca="false">C382*가정!$B$8</f>
        <v>500</v>
      </c>
      <c r="E382" s="24" t="n">
        <f aca="false">H381+D381</f>
        <v>47053.6683417085</v>
      </c>
      <c r="F382" s="11" t="n">
        <f aca="false">IF(가정!$B$11=1,MAX(0,MIN(가정!$B$16-C382,INT(E382/가정!$B$17))),0)</f>
        <v>0</v>
      </c>
      <c r="G382" s="24" t="n">
        <f aca="false">F382*가정!$B$17</f>
        <v>0</v>
      </c>
      <c r="H382" s="24" t="n">
        <f aca="false">E382-G382</f>
        <v>47053.6683417085</v>
      </c>
      <c r="I382" s="24" t="n">
        <f aca="false">I381+D382</f>
        <v>74020</v>
      </c>
      <c r="J382" s="16" t="n">
        <f aca="false">(H382+D382)*가정!$B$10</f>
        <v>47553.6683417085</v>
      </c>
      <c r="K382" s="24" t="n">
        <f aca="false">A382*가정!$B$8*가정!$B$7</f>
        <v>1890</v>
      </c>
      <c r="L382" s="11" t="n">
        <f aca="false">C382+F382</f>
        <v>100</v>
      </c>
    </row>
    <row r="383" customFormat="false" ht="15" hidden="false" customHeight="false" outlineLevel="0" collapsed="false">
      <c r="A383" s="11" t="n">
        <v>379</v>
      </c>
      <c r="B383" s="11" t="n">
        <f aca="false">MATCH(A383,월별!$C$6:$C$41,1)</f>
        <v>13</v>
      </c>
      <c r="C383" s="11" t="n">
        <f aca="false">L382</f>
        <v>100</v>
      </c>
      <c r="D383" s="24" t="n">
        <f aca="false">C383*가정!$B$8</f>
        <v>500</v>
      </c>
      <c r="E383" s="24" t="n">
        <f aca="false">H382+D382</f>
        <v>47553.6683417085</v>
      </c>
      <c r="F383" s="11" t="n">
        <f aca="false">IF(가정!$B$11=1,MAX(0,MIN(가정!$B$16-C383,INT(E383/가정!$B$17))),0)</f>
        <v>0</v>
      </c>
      <c r="G383" s="24" t="n">
        <f aca="false">F383*가정!$B$17</f>
        <v>0</v>
      </c>
      <c r="H383" s="24" t="n">
        <f aca="false">E383-G383</f>
        <v>47553.6683417085</v>
      </c>
      <c r="I383" s="24" t="n">
        <f aca="false">I382+D383</f>
        <v>74520</v>
      </c>
      <c r="J383" s="16" t="n">
        <f aca="false">(H383+D383)*가정!$B$10</f>
        <v>48053.6683417085</v>
      </c>
      <c r="K383" s="24" t="n">
        <f aca="false">A383*가정!$B$8*가정!$B$7</f>
        <v>1895</v>
      </c>
      <c r="L383" s="11" t="n">
        <f aca="false">C383+F383</f>
        <v>100</v>
      </c>
    </row>
    <row r="384" customFormat="false" ht="15" hidden="false" customHeight="false" outlineLevel="0" collapsed="false">
      <c r="A384" s="11" t="n">
        <v>380</v>
      </c>
      <c r="B384" s="11" t="n">
        <f aca="false">MATCH(A384,월별!$C$6:$C$41,1)</f>
        <v>13</v>
      </c>
      <c r="C384" s="11" t="n">
        <f aca="false">L383</f>
        <v>100</v>
      </c>
      <c r="D384" s="24" t="n">
        <f aca="false">C384*가정!$B$8</f>
        <v>500</v>
      </c>
      <c r="E384" s="24" t="n">
        <f aca="false">H383+D383</f>
        <v>48053.6683417085</v>
      </c>
      <c r="F384" s="11" t="n">
        <f aca="false">IF(가정!$B$11=1,MAX(0,MIN(가정!$B$16-C384,INT(E384/가정!$B$17))),0)</f>
        <v>0</v>
      </c>
      <c r="G384" s="24" t="n">
        <f aca="false">F384*가정!$B$17</f>
        <v>0</v>
      </c>
      <c r="H384" s="24" t="n">
        <f aca="false">E384-G384</f>
        <v>48053.6683417085</v>
      </c>
      <c r="I384" s="24" t="n">
        <f aca="false">I383+D384</f>
        <v>75020</v>
      </c>
      <c r="J384" s="16" t="n">
        <f aca="false">(H384+D384)*가정!$B$10</f>
        <v>48553.6683417085</v>
      </c>
      <c r="K384" s="24" t="n">
        <f aca="false">A384*가정!$B$8*가정!$B$7</f>
        <v>1900</v>
      </c>
      <c r="L384" s="11" t="n">
        <f aca="false">C384+F384</f>
        <v>100</v>
      </c>
    </row>
    <row r="385" customFormat="false" ht="15" hidden="false" customHeight="false" outlineLevel="0" collapsed="false">
      <c r="A385" s="11" t="n">
        <v>381</v>
      </c>
      <c r="B385" s="11" t="n">
        <f aca="false">MATCH(A385,월별!$C$6:$C$41,1)</f>
        <v>13</v>
      </c>
      <c r="C385" s="11" t="n">
        <f aca="false">L384</f>
        <v>100</v>
      </c>
      <c r="D385" s="24" t="n">
        <f aca="false">C385*가정!$B$8</f>
        <v>500</v>
      </c>
      <c r="E385" s="24" t="n">
        <f aca="false">H384+D384</f>
        <v>48553.6683417085</v>
      </c>
      <c r="F385" s="11" t="n">
        <f aca="false">IF(가정!$B$11=1,MAX(0,MIN(가정!$B$16-C385,INT(E385/가정!$B$17))),0)</f>
        <v>0</v>
      </c>
      <c r="G385" s="24" t="n">
        <f aca="false">F385*가정!$B$17</f>
        <v>0</v>
      </c>
      <c r="H385" s="24" t="n">
        <f aca="false">E385-G385</f>
        <v>48553.6683417085</v>
      </c>
      <c r="I385" s="24" t="n">
        <f aca="false">I384+D385</f>
        <v>75520</v>
      </c>
      <c r="J385" s="16" t="n">
        <f aca="false">(H385+D385)*가정!$B$10</f>
        <v>49053.6683417085</v>
      </c>
      <c r="K385" s="24" t="n">
        <f aca="false">A385*가정!$B$8*가정!$B$7</f>
        <v>1905</v>
      </c>
      <c r="L385" s="11" t="n">
        <f aca="false">C385+F385</f>
        <v>100</v>
      </c>
    </row>
    <row r="386" customFormat="false" ht="15" hidden="false" customHeight="false" outlineLevel="0" collapsed="false">
      <c r="A386" s="11" t="n">
        <v>382</v>
      </c>
      <c r="B386" s="11" t="n">
        <f aca="false">MATCH(A386,월별!$C$6:$C$41,1)</f>
        <v>13</v>
      </c>
      <c r="C386" s="11" t="n">
        <f aca="false">L385</f>
        <v>100</v>
      </c>
      <c r="D386" s="24" t="n">
        <f aca="false">C386*가정!$B$8</f>
        <v>500</v>
      </c>
      <c r="E386" s="24" t="n">
        <f aca="false">H385+D385</f>
        <v>49053.6683417085</v>
      </c>
      <c r="F386" s="11" t="n">
        <f aca="false">IF(가정!$B$11=1,MAX(0,MIN(가정!$B$16-C386,INT(E386/가정!$B$17))),0)</f>
        <v>0</v>
      </c>
      <c r="G386" s="24" t="n">
        <f aca="false">F386*가정!$B$17</f>
        <v>0</v>
      </c>
      <c r="H386" s="24" t="n">
        <f aca="false">E386-G386</f>
        <v>49053.6683417085</v>
      </c>
      <c r="I386" s="24" t="n">
        <f aca="false">I385+D386</f>
        <v>76020</v>
      </c>
      <c r="J386" s="16" t="n">
        <f aca="false">(H386+D386)*가정!$B$10</f>
        <v>49553.6683417085</v>
      </c>
      <c r="K386" s="24" t="n">
        <f aca="false">A386*가정!$B$8*가정!$B$7</f>
        <v>1910</v>
      </c>
      <c r="L386" s="11" t="n">
        <f aca="false">C386+F386</f>
        <v>100</v>
      </c>
    </row>
    <row r="387" customFormat="false" ht="15" hidden="false" customHeight="false" outlineLevel="0" collapsed="false">
      <c r="A387" s="11" t="n">
        <v>383</v>
      </c>
      <c r="B387" s="11" t="n">
        <f aca="false">MATCH(A387,월별!$C$6:$C$41,1)</f>
        <v>13</v>
      </c>
      <c r="C387" s="11" t="n">
        <f aca="false">L386</f>
        <v>100</v>
      </c>
      <c r="D387" s="24" t="n">
        <f aca="false">C387*가정!$B$8</f>
        <v>500</v>
      </c>
      <c r="E387" s="24" t="n">
        <f aca="false">H386+D386</f>
        <v>49553.6683417085</v>
      </c>
      <c r="F387" s="11" t="n">
        <f aca="false">IF(가정!$B$11=1,MAX(0,MIN(가정!$B$16-C387,INT(E387/가정!$B$17))),0)</f>
        <v>0</v>
      </c>
      <c r="G387" s="24" t="n">
        <f aca="false">F387*가정!$B$17</f>
        <v>0</v>
      </c>
      <c r="H387" s="24" t="n">
        <f aca="false">E387-G387</f>
        <v>49553.6683417085</v>
      </c>
      <c r="I387" s="24" t="n">
        <f aca="false">I386+D387</f>
        <v>76520</v>
      </c>
      <c r="J387" s="16" t="n">
        <f aca="false">(H387+D387)*가정!$B$10</f>
        <v>50053.6683417085</v>
      </c>
      <c r="K387" s="24" t="n">
        <f aca="false">A387*가정!$B$8*가정!$B$7</f>
        <v>1915</v>
      </c>
      <c r="L387" s="11" t="n">
        <f aca="false">C387+F387</f>
        <v>100</v>
      </c>
    </row>
    <row r="388" customFormat="false" ht="15" hidden="false" customHeight="false" outlineLevel="0" collapsed="false">
      <c r="A388" s="11" t="n">
        <v>384</v>
      </c>
      <c r="B388" s="11" t="n">
        <f aca="false">MATCH(A388,월별!$C$6:$C$41,1)</f>
        <v>13</v>
      </c>
      <c r="C388" s="11" t="n">
        <f aca="false">L387</f>
        <v>100</v>
      </c>
      <c r="D388" s="24" t="n">
        <f aca="false">C388*가정!$B$8</f>
        <v>500</v>
      </c>
      <c r="E388" s="24" t="n">
        <f aca="false">H387+D387</f>
        <v>50053.6683417085</v>
      </c>
      <c r="F388" s="11" t="n">
        <f aca="false">IF(가정!$B$11=1,MAX(0,MIN(가정!$B$16-C388,INT(E388/가정!$B$17))),0)</f>
        <v>0</v>
      </c>
      <c r="G388" s="24" t="n">
        <f aca="false">F388*가정!$B$17</f>
        <v>0</v>
      </c>
      <c r="H388" s="24" t="n">
        <f aca="false">E388-G388</f>
        <v>50053.6683417085</v>
      </c>
      <c r="I388" s="24" t="n">
        <f aca="false">I387+D388</f>
        <v>77020</v>
      </c>
      <c r="J388" s="16" t="n">
        <f aca="false">(H388+D388)*가정!$B$10</f>
        <v>50553.6683417085</v>
      </c>
      <c r="K388" s="24" t="n">
        <f aca="false">A388*가정!$B$8*가정!$B$7</f>
        <v>1920</v>
      </c>
      <c r="L388" s="11" t="n">
        <f aca="false">C388+F388</f>
        <v>100</v>
      </c>
    </row>
    <row r="389" customFormat="false" ht="15" hidden="false" customHeight="false" outlineLevel="0" collapsed="false">
      <c r="A389" s="11" t="n">
        <v>385</v>
      </c>
      <c r="B389" s="11" t="n">
        <f aca="false">MATCH(A389,월별!$C$6:$C$41,1)</f>
        <v>13</v>
      </c>
      <c r="C389" s="11" t="n">
        <f aca="false">L388</f>
        <v>100</v>
      </c>
      <c r="D389" s="24" t="n">
        <f aca="false">C389*가정!$B$8</f>
        <v>500</v>
      </c>
      <c r="E389" s="24" t="n">
        <f aca="false">H388+D388</f>
        <v>50553.6683417085</v>
      </c>
      <c r="F389" s="11" t="n">
        <f aca="false">IF(가정!$B$11=1,MAX(0,MIN(가정!$B$16-C389,INT(E389/가정!$B$17))),0)</f>
        <v>0</v>
      </c>
      <c r="G389" s="24" t="n">
        <f aca="false">F389*가정!$B$17</f>
        <v>0</v>
      </c>
      <c r="H389" s="24" t="n">
        <f aca="false">E389-G389</f>
        <v>50553.6683417085</v>
      </c>
      <c r="I389" s="24" t="n">
        <f aca="false">I388+D389</f>
        <v>77520</v>
      </c>
      <c r="J389" s="16" t="n">
        <f aca="false">(H389+D389)*가정!$B$10</f>
        <v>51053.6683417085</v>
      </c>
      <c r="K389" s="24" t="n">
        <f aca="false">A389*가정!$B$8*가정!$B$7</f>
        <v>1925</v>
      </c>
      <c r="L389" s="11" t="n">
        <f aca="false">C389+F389</f>
        <v>100</v>
      </c>
    </row>
    <row r="390" customFormat="false" ht="15" hidden="false" customHeight="false" outlineLevel="0" collapsed="false">
      <c r="A390" s="11" t="n">
        <v>386</v>
      </c>
      <c r="B390" s="11" t="n">
        <f aca="false">MATCH(A390,월별!$C$6:$C$41,1)</f>
        <v>13</v>
      </c>
      <c r="C390" s="11" t="n">
        <f aca="false">L389</f>
        <v>100</v>
      </c>
      <c r="D390" s="24" t="n">
        <f aca="false">C390*가정!$B$8</f>
        <v>500</v>
      </c>
      <c r="E390" s="24" t="n">
        <f aca="false">H389+D389</f>
        <v>51053.6683417085</v>
      </c>
      <c r="F390" s="11" t="n">
        <f aca="false">IF(가정!$B$11=1,MAX(0,MIN(가정!$B$16-C390,INT(E390/가정!$B$17))),0)</f>
        <v>0</v>
      </c>
      <c r="G390" s="24" t="n">
        <f aca="false">F390*가정!$B$17</f>
        <v>0</v>
      </c>
      <c r="H390" s="24" t="n">
        <f aca="false">E390-G390</f>
        <v>51053.6683417085</v>
      </c>
      <c r="I390" s="24" t="n">
        <f aca="false">I389+D390</f>
        <v>78020</v>
      </c>
      <c r="J390" s="16" t="n">
        <f aca="false">(H390+D390)*가정!$B$10</f>
        <v>51553.6683417085</v>
      </c>
      <c r="K390" s="24" t="n">
        <f aca="false">A390*가정!$B$8*가정!$B$7</f>
        <v>1930</v>
      </c>
      <c r="L390" s="11" t="n">
        <f aca="false">C390+F390</f>
        <v>100</v>
      </c>
    </row>
    <row r="391" customFormat="false" ht="15" hidden="false" customHeight="false" outlineLevel="0" collapsed="false">
      <c r="A391" s="11" t="n">
        <v>387</v>
      </c>
      <c r="B391" s="11" t="n">
        <f aca="false">MATCH(A391,월별!$C$6:$C$41,1)</f>
        <v>13</v>
      </c>
      <c r="C391" s="11" t="n">
        <f aca="false">L390</f>
        <v>100</v>
      </c>
      <c r="D391" s="24" t="n">
        <f aca="false">C391*가정!$B$8</f>
        <v>500</v>
      </c>
      <c r="E391" s="24" t="n">
        <f aca="false">H390+D390</f>
        <v>51553.6683417085</v>
      </c>
      <c r="F391" s="11" t="n">
        <f aca="false">IF(가정!$B$11=1,MAX(0,MIN(가정!$B$16-C391,INT(E391/가정!$B$17))),0)</f>
        <v>0</v>
      </c>
      <c r="G391" s="24" t="n">
        <f aca="false">F391*가정!$B$17</f>
        <v>0</v>
      </c>
      <c r="H391" s="24" t="n">
        <f aca="false">E391-G391</f>
        <v>51553.6683417085</v>
      </c>
      <c r="I391" s="24" t="n">
        <f aca="false">I390+D391</f>
        <v>78520</v>
      </c>
      <c r="J391" s="16" t="n">
        <f aca="false">(H391+D391)*가정!$B$10</f>
        <v>52053.6683417085</v>
      </c>
      <c r="K391" s="24" t="n">
        <f aca="false">A391*가정!$B$8*가정!$B$7</f>
        <v>1935</v>
      </c>
      <c r="L391" s="11" t="n">
        <f aca="false">C391+F391</f>
        <v>100</v>
      </c>
    </row>
    <row r="392" customFormat="false" ht="15" hidden="false" customHeight="false" outlineLevel="0" collapsed="false">
      <c r="A392" s="11" t="n">
        <v>388</v>
      </c>
      <c r="B392" s="11" t="n">
        <f aca="false">MATCH(A392,월별!$C$6:$C$41,1)</f>
        <v>13</v>
      </c>
      <c r="C392" s="11" t="n">
        <f aca="false">L391</f>
        <v>100</v>
      </c>
      <c r="D392" s="24" t="n">
        <f aca="false">C392*가정!$B$8</f>
        <v>500</v>
      </c>
      <c r="E392" s="24" t="n">
        <f aca="false">H391+D391</f>
        <v>52053.6683417085</v>
      </c>
      <c r="F392" s="11" t="n">
        <f aca="false">IF(가정!$B$11=1,MAX(0,MIN(가정!$B$16-C392,INT(E392/가정!$B$17))),0)</f>
        <v>0</v>
      </c>
      <c r="G392" s="24" t="n">
        <f aca="false">F392*가정!$B$17</f>
        <v>0</v>
      </c>
      <c r="H392" s="24" t="n">
        <f aca="false">E392-G392</f>
        <v>52053.6683417085</v>
      </c>
      <c r="I392" s="24" t="n">
        <f aca="false">I391+D392</f>
        <v>79020</v>
      </c>
      <c r="J392" s="16" t="n">
        <f aca="false">(H392+D392)*가정!$B$10</f>
        <v>52553.6683417085</v>
      </c>
      <c r="K392" s="24" t="n">
        <f aca="false">A392*가정!$B$8*가정!$B$7</f>
        <v>1940</v>
      </c>
      <c r="L392" s="11" t="n">
        <f aca="false">C392+F392</f>
        <v>100</v>
      </c>
    </row>
    <row r="393" customFormat="false" ht="15" hidden="false" customHeight="false" outlineLevel="0" collapsed="false">
      <c r="A393" s="11" t="n">
        <v>389</v>
      </c>
      <c r="B393" s="11" t="n">
        <f aca="false">MATCH(A393,월별!$C$6:$C$41,1)</f>
        <v>13</v>
      </c>
      <c r="C393" s="11" t="n">
        <f aca="false">L392</f>
        <v>100</v>
      </c>
      <c r="D393" s="24" t="n">
        <f aca="false">C393*가정!$B$8</f>
        <v>500</v>
      </c>
      <c r="E393" s="24" t="n">
        <f aca="false">H392+D392</f>
        <v>52553.6683417085</v>
      </c>
      <c r="F393" s="11" t="n">
        <f aca="false">IF(가정!$B$11=1,MAX(0,MIN(가정!$B$16-C393,INT(E393/가정!$B$17))),0)</f>
        <v>0</v>
      </c>
      <c r="G393" s="24" t="n">
        <f aca="false">F393*가정!$B$17</f>
        <v>0</v>
      </c>
      <c r="H393" s="24" t="n">
        <f aca="false">E393-G393</f>
        <v>52553.6683417085</v>
      </c>
      <c r="I393" s="24" t="n">
        <f aca="false">I392+D393</f>
        <v>79520</v>
      </c>
      <c r="J393" s="16" t="n">
        <f aca="false">(H393+D393)*가정!$B$10</f>
        <v>53053.6683417085</v>
      </c>
      <c r="K393" s="24" t="n">
        <f aca="false">A393*가정!$B$8*가정!$B$7</f>
        <v>1945</v>
      </c>
      <c r="L393" s="11" t="n">
        <f aca="false">C393+F393</f>
        <v>100</v>
      </c>
    </row>
    <row r="394" customFormat="false" ht="15" hidden="false" customHeight="false" outlineLevel="0" collapsed="false">
      <c r="A394" s="11" t="n">
        <v>390</v>
      </c>
      <c r="B394" s="11" t="n">
        <f aca="false">MATCH(A394,월별!$C$6:$C$41,1)</f>
        <v>13</v>
      </c>
      <c r="C394" s="11" t="n">
        <f aca="false">L393</f>
        <v>100</v>
      </c>
      <c r="D394" s="24" t="n">
        <f aca="false">C394*가정!$B$8</f>
        <v>500</v>
      </c>
      <c r="E394" s="24" t="n">
        <f aca="false">H393+D393</f>
        <v>53053.6683417085</v>
      </c>
      <c r="F394" s="11" t="n">
        <f aca="false">IF(가정!$B$11=1,MAX(0,MIN(가정!$B$16-C394,INT(E394/가정!$B$17))),0)</f>
        <v>0</v>
      </c>
      <c r="G394" s="24" t="n">
        <f aca="false">F394*가정!$B$17</f>
        <v>0</v>
      </c>
      <c r="H394" s="24" t="n">
        <f aca="false">E394-G394</f>
        <v>53053.6683417085</v>
      </c>
      <c r="I394" s="24" t="n">
        <f aca="false">I393+D394</f>
        <v>80020</v>
      </c>
      <c r="J394" s="16" t="n">
        <f aca="false">(H394+D394)*가정!$B$10</f>
        <v>53553.6683417085</v>
      </c>
      <c r="K394" s="24" t="n">
        <f aca="false">A394*가정!$B$8*가정!$B$7</f>
        <v>1950</v>
      </c>
      <c r="L394" s="11" t="n">
        <f aca="false">C394+F394</f>
        <v>100</v>
      </c>
    </row>
    <row r="395" customFormat="false" ht="15" hidden="false" customHeight="false" outlineLevel="0" collapsed="false">
      <c r="A395" s="11" t="n">
        <v>391</v>
      </c>
      <c r="B395" s="11" t="n">
        <f aca="false">MATCH(A395,월별!$C$6:$C$41,1)</f>
        <v>13</v>
      </c>
      <c r="C395" s="11" t="n">
        <f aca="false">L394</f>
        <v>100</v>
      </c>
      <c r="D395" s="24" t="n">
        <f aca="false">C395*가정!$B$8</f>
        <v>500</v>
      </c>
      <c r="E395" s="24" t="n">
        <f aca="false">H394+D394</f>
        <v>53553.6683417085</v>
      </c>
      <c r="F395" s="11" t="n">
        <f aca="false">IF(가정!$B$11=1,MAX(0,MIN(가정!$B$16-C395,INT(E395/가정!$B$17))),0)</f>
        <v>0</v>
      </c>
      <c r="G395" s="24" t="n">
        <f aca="false">F395*가정!$B$17</f>
        <v>0</v>
      </c>
      <c r="H395" s="24" t="n">
        <f aca="false">E395-G395</f>
        <v>53553.6683417085</v>
      </c>
      <c r="I395" s="24" t="n">
        <f aca="false">I394+D395</f>
        <v>80520</v>
      </c>
      <c r="J395" s="16" t="n">
        <f aca="false">(H395+D395)*가정!$B$10</f>
        <v>54053.6683417085</v>
      </c>
      <c r="K395" s="24" t="n">
        <f aca="false">A395*가정!$B$8*가정!$B$7</f>
        <v>1955</v>
      </c>
      <c r="L395" s="11" t="n">
        <f aca="false">C395+F395</f>
        <v>100</v>
      </c>
    </row>
    <row r="396" customFormat="false" ht="15" hidden="false" customHeight="false" outlineLevel="0" collapsed="false">
      <c r="A396" s="11" t="n">
        <v>392</v>
      </c>
      <c r="B396" s="11" t="n">
        <f aca="false">MATCH(A396,월별!$C$6:$C$41,1)</f>
        <v>13</v>
      </c>
      <c r="C396" s="11" t="n">
        <f aca="false">L395</f>
        <v>100</v>
      </c>
      <c r="D396" s="24" t="n">
        <f aca="false">C396*가정!$B$8</f>
        <v>500</v>
      </c>
      <c r="E396" s="24" t="n">
        <f aca="false">H395+D395</f>
        <v>54053.6683417085</v>
      </c>
      <c r="F396" s="11" t="n">
        <f aca="false">IF(가정!$B$11=1,MAX(0,MIN(가정!$B$16-C396,INT(E396/가정!$B$17))),0)</f>
        <v>0</v>
      </c>
      <c r="G396" s="24" t="n">
        <f aca="false">F396*가정!$B$17</f>
        <v>0</v>
      </c>
      <c r="H396" s="24" t="n">
        <f aca="false">E396-G396</f>
        <v>54053.6683417085</v>
      </c>
      <c r="I396" s="24" t="n">
        <f aca="false">I395+D396</f>
        <v>81020</v>
      </c>
      <c r="J396" s="16" t="n">
        <f aca="false">(H396+D396)*가정!$B$10</f>
        <v>54553.6683417085</v>
      </c>
      <c r="K396" s="24" t="n">
        <f aca="false">A396*가정!$B$8*가정!$B$7</f>
        <v>1960</v>
      </c>
      <c r="L396" s="11" t="n">
        <f aca="false">C396+F396</f>
        <v>100</v>
      </c>
    </row>
    <row r="397" customFormat="false" ht="15" hidden="false" customHeight="false" outlineLevel="0" collapsed="false">
      <c r="A397" s="11" t="n">
        <v>393</v>
      </c>
      <c r="B397" s="11" t="n">
        <f aca="false">MATCH(A397,월별!$C$6:$C$41,1)</f>
        <v>13</v>
      </c>
      <c r="C397" s="11" t="n">
        <f aca="false">L396</f>
        <v>100</v>
      </c>
      <c r="D397" s="24" t="n">
        <f aca="false">C397*가정!$B$8</f>
        <v>500</v>
      </c>
      <c r="E397" s="24" t="n">
        <f aca="false">H396+D396</f>
        <v>54553.6683417085</v>
      </c>
      <c r="F397" s="11" t="n">
        <f aca="false">IF(가정!$B$11=1,MAX(0,MIN(가정!$B$16-C397,INT(E397/가정!$B$17))),0)</f>
        <v>0</v>
      </c>
      <c r="G397" s="24" t="n">
        <f aca="false">F397*가정!$B$17</f>
        <v>0</v>
      </c>
      <c r="H397" s="24" t="n">
        <f aca="false">E397-G397</f>
        <v>54553.6683417085</v>
      </c>
      <c r="I397" s="24" t="n">
        <f aca="false">I396+D397</f>
        <v>81520</v>
      </c>
      <c r="J397" s="16" t="n">
        <f aca="false">(H397+D397)*가정!$B$10</f>
        <v>55053.6683417085</v>
      </c>
      <c r="K397" s="24" t="n">
        <f aca="false">A397*가정!$B$8*가정!$B$7</f>
        <v>1965</v>
      </c>
      <c r="L397" s="11" t="n">
        <f aca="false">C397+F397</f>
        <v>100</v>
      </c>
    </row>
    <row r="398" customFormat="false" ht="15" hidden="false" customHeight="false" outlineLevel="0" collapsed="false">
      <c r="A398" s="11" t="n">
        <v>394</v>
      </c>
      <c r="B398" s="11" t="n">
        <f aca="false">MATCH(A398,월별!$C$6:$C$41,1)</f>
        <v>13</v>
      </c>
      <c r="C398" s="11" t="n">
        <f aca="false">L397</f>
        <v>100</v>
      </c>
      <c r="D398" s="24" t="n">
        <f aca="false">C398*가정!$B$8</f>
        <v>500</v>
      </c>
      <c r="E398" s="24" t="n">
        <f aca="false">H397+D397</f>
        <v>55053.6683417085</v>
      </c>
      <c r="F398" s="11" t="n">
        <f aca="false">IF(가정!$B$11=1,MAX(0,MIN(가정!$B$16-C398,INT(E398/가정!$B$17))),0)</f>
        <v>0</v>
      </c>
      <c r="G398" s="24" t="n">
        <f aca="false">F398*가정!$B$17</f>
        <v>0</v>
      </c>
      <c r="H398" s="24" t="n">
        <f aca="false">E398-G398</f>
        <v>55053.6683417085</v>
      </c>
      <c r="I398" s="24" t="n">
        <f aca="false">I397+D398</f>
        <v>82020</v>
      </c>
      <c r="J398" s="16" t="n">
        <f aca="false">(H398+D398)*가정!$B$10</f>
        <v>55553.6683417085</v>
      </c>
      <c r="K398" s="24" t="n">
        <f aca="false">A398*가정!$B$8*가정!$B$7</f>
        <v>1970</v>
      </c>
      <c r="L398" s="11" t="n">
        <f aca="false">C398+F398</f>
        <v>100</v>
      </c>
    </row>
    <row r="399" customFormat="false" ht="15" hidden="false" customHeight="false" outlineLevel="0" collapsed="false">
      <c r="A399" s="11" t="n">
        <v>395</v>
      </c>
      <c r="B399" s="11" t="n">
        <f aca="false">MATCH(A399,월별!$C$6:$C$41,1)</f>
        <v>13</v>
      </c>
      <c r="C399" s="11" t="n">
        <f aca="false">L398</f>
        <v>100</v>
      </c>
      <c r="D399" s="24" t="n">
        <f aca="false">C399*가정!$B$8</f>
        <v>500</v>
      </c>
      <c r="E399" s="24" t="n">
        <f aca="false">H398+D398</f>
        <v>55553.6683417085</v>
      </c>
      <c r="F399" s="11" t="n">
        <f aca="false">IF(가정!$B$11=1,MAX(0,MIN(가정!$B$16-C399,INT(E399/가정!$B$17))),0)</f>
        <v>0</v>
      </c>
      <c r="G399" s="24" t="n">
        <f aca="false">F399*가정!$B$17</f>
        <v>0</v>
      </c>
      <c r="H399" s="24" t="n">
        <f aca="false">E399-G399</f>
        <v>55553.6683417085</v>
      </c>
      <c r="I399" s="24" t="n">
        <f aca="false">I398+D399</f>
        <v>82520</v>
      </c>
      <c r="J399" s="16" t="n">
        <f aca="false">(H399+D399)*가정!$B$10</f>
        <v>56053.6683417085</v>
      </c>
      <c r="K399" s="24" t="n">
        <f aca="false">A399*가정!$B$8*가정!$B$7</f>
        <v>1975</v>
      </c>
      <c r="L399" s="11" t="n">
        <f aca="false">C399+F399</f>
        <v>100</v>
      </c>
    </row>
    <row r="400" customFormat="false" ht="15" hidden="false" customHeight="false" outlineLevel="0" collapsed="false">
      <c r="A400" s="11" t="n">
        <v>396</v>
      </c>
      <c r="B400" s="11" t="n">
        <f aca="false">MATCH(A400,월별!$C$6:$C$41,1)</f>
        <v>14</v>
      </c>
      <c r="C400" s="11" t="n">
        <f aca="false">L399</f>
        <v>100</v>
      </c>
      <c r="D400" s="24" t="n">
        <f aca="false">C400*가정!$B$8</f>
        <v>500</v>
      </c>
      <c r="E400" s="24" t="n">
        <f aca="false">H399+D399</f>
        <v>56053.6683417085</v>
      </c>
      <c r="F400" s="11" t="n">
        <f aca="false">IF(가정!$B$11=1,MAX(0,MIN(가정!$B$16-C400,INT(E400/가정!$B$17))),0)</f>
        <v>0</v>
      </c>
      <c r="G400" s="24" t="n">
        <f aca="false">F400*가정!$B$17</f>
        <v>0</v>
      </c>
      <c r="H400" s="24" t="n">
        <f aca="false">E400-G400</f>
        <v>56053.6683417085</v>
      </c>
      <c r="I400" s="24" t="n">
        <f aca="false">I399+D400</f>
        <v>83020</v>
      </c>
      <c r="J400" s="16" t="n">
        <f aca="false">(H400+D400)*가정!$B$10</f>
        <v>56553.6683417085</v>
      </c>
      <c r="K400" s="24" t="n">
        <f aca="false">A400*가정!$B$8*가정!$B$7</f>
        <v>1980</v>
      </c>
      <c r="L400" s="11" t="n">
        <f aca="false">C400+F400</f>
        <v>100</v>
      </c>
    </row>
    <row r="401" customFormat="false" ht="15" hidden="false" customHeight="false" outlineLevel="0" collapsed="false">
      <c r="A401" s="11" t="n">
        <v>397</v>
      </c>
      <c r="B401" s="11" t="n">
        <f aca="false">MATCH(A401,월별!$C$6:$C$41,1)</f>
        <v>14</v>
      </c>
      <c r="C401" s="11" t="n">
        <f aca="false">L400</f>
        <v>100</v>
      </c>
      <c r="D401" s="24" t="n">
        <f aca="false">C401*가정!$B$8</f>
        <v>500</v>
      </c>
      <c r="E401" s="24" t="n">
        <f aca="false">H400+D400</f>
        <v>56553.6683417085</v>
      </c>
      <c r="F401" s="11" t="n">
        <f aca="false">IF(가정!$B$11=1,MAX(0,MIN(가정!$B$16-C401,INT(E401/가정!$B$17))),0)</f>
        <v>0</v>
      </c>
      <c r="G401" s="24" t="n">
        <f aca="false">F401*가정!$B$17</f>
        <v>0</v>
      </c>
      <c r="H401" s="24" t="n">
        <f aca="false">E401-G401</f>
        <v>56553.6683417085</v>
      </c>
      <c r="I401" s="24" t="n">
        <f aca="false">I400+D401</f>
        <v>83520</v>
      </c>
      <c r="J401" s="16" t="n">
        <f aca="false">(H401+D401)*가정!$B$10</f>
        <v>57053.6683417085</v>
      </c>
      <c r="K401" s="24" t="n">
        <f aca="false">A401*가정!$B$8*가정!$B$7</f>
        <v>1985</v>
      </c>
      <c r="L401" s="11" t="n">
        <f aca="false">C401+F401</f>
        <v>100</v>
      </c>
    </row>
    <row r="402" customFormat="false" ht="15" hidden="false" customHeight="false" outlineLevel="0" collapsed="false">
      <c r="A402" s="11" t="n">
        <v>398</v>
      </c>
      <c r="B402" s="11" t="n">
        <f aca="false">MATCH(A402,월별!$C$6:$C$41,1)</f>
        <v>14</v>
      </c>
      <c r="C402" s="11" t="n">
        <f aca="false">L401</f>
        <v>100</v>
      </c>
      <c r="D402" s="24" t="n">
        <f aca="false">C402*가정!$B$8</f>
        <v>500</v>
      </c>
      <c r="E402" s="24" t="n">
        <f aca="false">H401+D401</f>
        <v>57053.6683417085</v>
      </c>
      <c r="F402" s="11" t="n">
        <f aca="false">IF(가정!$B$11=1,MAX(0,MIN(가정!$B$16-C402,INT(E402/가정!$B$17))),0)</f>
        <v>0</v>
      </c>
      <c r="G402" s="24" t="n">
        <f aca="false">F402*가정!$B$17</f>
        <v>0</v>
      </c>
      <c r="H402" s="24" t="n">
        <f aca="false">E402-G402</f>
        <v>57053.6683417085</v>
      </c>
      <c r="I402" s="24" t="n">
        <f aca="false">I401+D402</f>
        <v>84020</v>
      </c>
      <c r="J402" s="16" t="n">
        <f aca="false">(H402+D402)*가정!$B$10</f>
        <v>57553.6683417085</v>
      </c>
      <c r="K402" s="24" t="n">
        <f aca="false">A402*가정!$B$8*가정!$B$7</f>
        <v>1990</v>
      </c>
      <c r="L402" s="11" t="n">
        <f aca="false">C402+F402</f>
        <v>100</v>
      </c>
    </row>
    <row r="403" customFormat="false" ht="15" hidden="false" customHeight="false" outlineLevel="0" collapsed="false">
      <c r="A403" s="11" t="n">
        <v>399</v>
      </c>
      <c r="B403" s="11" t="n">
        <f aca="false">MATCH(A403,월별!$C$6:$C$41,1)</f>
        <v>14</v>
      </c>
      <c r="C403" s="11" t="n">
        <f aca="false">L402</f>
        <v>100</v>
      </c>
      <c r="D403" s="24" t="n">
        <f aca="false">C403*가정!$B$8</f>
        <v>500</v>
      </c>
      <c r="E403" s="24" t="n">
        <f aca="false">H402+D402</f>
        <v>57553.6683417085</v>
      </c>
      <c r="F403" s="11" t="n">
        <f aca="false">IF(가정!$B$11=1,MAX(0,MIN(가정!$B$16-C403,INT(E403/가정!$B$17))),0)</f>
        <v>0</v>
      </c>
      <c r="G403" s="24" t="n">
        <f aca="false">F403*가정!$B$17</f>
        <v>0</v>
      </c>
      <c r="H403" s="24" t="n">
        <f aca="false">E403-G403</f>
        <v>57553.6683417085</v>
      </c>
      <c r="I403" s="24" t="n">
        <f aca="false">I402+D403</f>
        <v>84520</v>
      </c>
      <c r="J403" s="16" t="n">
        <f aca="false">(H403+D403)*가정!$B$10</f>
        <v>58053.6683417085</v>
      </c>
      <c r="K403" s="24" t="n">
        <f aca="false">A403*가정!$B$8*가정!$B$7</f>
        <v>1995</v>
      </c>
      <c r="L403" s="11" t="n">
        <f aca="false">C403+F403</f>
        <v>100</v>
      </c>
    </row>
    <row r="404" customFormat="false" ht="15" hidden="false" customHeight="false" outlineLevel="0" collapsed="false">
      <c r="A404" s="11" t="n">
        <v>400</v>
      </c>
      <c r="B404" s="11" t="n">
        <f aca="false">MATCH(A404,월별!$C$6:$C$41,1)</f>
        <v>14</v>
      </c>
      <c r="C404" s="11" t="n">
        <f aca="false">L403</f>
        <v>100</v>
      </c>
      <c r="D404" s="24" t="n">
        <f aca="false">C404*가정!$B$8</f>
        <v>500</v>
      </c>
      <c r="E404" s="24" t="n">
        <f aca="false">H403+D403</f>
        <v>58053.6683417085</v>
      </c>
      <c r="F404" s="11" t="n">
        <f aca="false">IF(가정!$B$11=1,MAX(0,MIN(가정!$B$16-C404,INT(E404/가정!$B$17))),0)</f>
        <v>0</v>
      </c>
      <c r="G404" s="24" t="n">
        <f aca="false">F404*가정!$B$17</f>
        <v>0</v>
      </c>
      <c r="H404" s="24" t="n">
        <f aca="false">E404-G404</f>
        <v>58053.6683417085</v>
      </c>
      <c r="I404" s="24" t="n">
        <f aca="false">I403+D404</f>
        <v>85020</v>
      </c>
      <c r="J404" s="16" t="n">
        <f aca="false">(H404+D404)*가정!$B$10</f>
        <v>58553.6683417085</v>
      </c>
      <c r="K404" s="24" t="n">
        <f aca="false">A404*가정!$B$8*가정!$B$7</f>
        <v>2000</v>
      </c>
      <c r="L404" s="11" t="n">
        <f aca="false">C404+F404</f>
        <v>100</v>
      </c>
    </row>
    <row r="405" customFormat="false" ht="15" hidden="false" customHeight="false" outlineLevel="0" collapsed="false">
      <c r="A405" s="11" t="n">
        <v>401</v>
      </c>
      <c r="B405" s="11" t="n">
        <f aca="false">MATCH(A405,월별!$C$6:$C$41,1)</f>
        <v>14</v>
      </c>
      <c r="C405" s="11" t="n">
        <f aca="false">L404</f>
        <v>100</v>
      </c>
      <c r="D405" s="24" t="n">
        <f aca="false">C405*가정!$B$8</f>
        <v>500</v>
      </c>
      <c r="E405" s="24" t="n">
        <f aca="false">H404+D404</f>
        <v>58553.6683417085</v>
      </c>
      <c r="F405" s="11" t="n">
        <f aca="false">IF(가정!$B$11=1,MAX(0,MIN(가정!$B$16-C405,INT(E405/가정!$B$17))),0)</f>
        <v>0</v>
      </c>
      <c r="G405" s="24" t="n">
        <f aca="false">F405*가정!$B$17</f>
        <v>0</v>
      </c>
      <c r="H405" s="24" t="n">
        <f aca="false">E405-G405</f>
        <v>58553.6683417085</v>
      </c>
      <c r="I405" s="24" t="n">
        <f aca="false">I404+D405</f>
        <v>85520</v>
      </c>
      <c r="J405" s="16" t="n">
        <f aca="false">(H405+D405)*가정!$B$10</f>
        <v>59053.6683417085</v>
      </c>
      <c r="K405" s="24" t="n">
        <f aca="false">A405*가정!$B$8*가정!$B$7</f>
        <v>2005</v>
      </c>
      <c r="L405" s="11" t="n">
        <f aca="false">C405+F405</f>
        <v>100</v>
      </c>
    </row>
    <row r="406" customFormat="false" ht="15" hidden="false" customHeight="false" outlineLevel="0" collapsed="false">
      <c r="A406" s="11" t="n">
        <v>402</v>
      </c>
      <c r="B406" s="11" t="n">
        <f aca="false">MATCH(A406,월별!$C$6:$C$41,1)</f>
        <v>14</v>
      </c>
      <c r="C406" s="11" t="n">
        <f aca="false">L405</f>
        <v>100</v>
      </c>
      <c r="D406" s="24" t="n">
        <f aca="false">C406*가정!$B$8</f>
        <v>500</v>
      </c>
      <c r="E406" s="24" t="n">
        <f aca="false">H405+D405</f>
        <v>59053.6683417085</v>
      </c>
      <c r="F406" s="11" t="n">
        <f aca="false">IF(가정!$B$11=1,MAX(0,MIN(가정!$B$16-C406,INT(E406/가정!$B$17))),0)</f>
        <v>0</v>
      </c>
      <c r="G406" s="24" t="n">
        <f aca="false">F406*가정!$B$17</f>
        <v>0</v>
      </c>
      <c r="H406" s="24" t="n">
        <f aca="false">E406-G406</f>
        <v>59053.6683417085</v>
      </c>
      <c r="I406" s="24" t="n">
        <f aca="false">I405+D406</f>
        <v>86020</v>
      </c>
      <c r="J406" s="16" t="n">
        <f aca="false">(H406+D406)*가정!$B$10</f>
        <v>59553.6683417085</v>
      </c>
      <c r="K406" s="24" t="n">
        <f aca="false">A406*가정!$B$8*가정!$B$7</f>
        <v>2010</v>
      </c>
      <c r="L406" s="11" t="n">
        <f aca="false">C406+F406</f>
        <v>100</v>
      </c>
    </row>
    <row r="407" customFormat="false" ht="15" hidden="false" customHeight="false" outlineLevel="0" collapsed="false">
      <c r="A407" s="11" t="n">
        <v>403</v>
      </c>
      <c r="B407" s="11" t="n">
        <f aca="false">MATCH(A407,월별!$C$6:$C$41,1)</f>
        <v>14</v>
      </c>
      <c r="C407" s="11" t="n">
        <f aca="false">L406</f>
        <v>100</v>
      </c>
      <c r="D407" s="24" t="n">
        <f aca="false">C407*가정!$B$8</f>
        <v>500</v>
      </c>
      <c r="E407" s="24" t="n">
        <f aca="false">H406+D406</f>
        <v>59553.6683417085</v>
      </c>
      <c r="F407" s="11" t="n">
        <f aca="false">IF(가정!$B$11=1,MAX(0,MIN(가정!$B$16-C407,INT(E407/가정!$B$17))),0)</f>
        <v>0</v>
      </c>
      <c r="G407" s="24" t="n">
        <f aca="false">F407*가정!$B$17</f>
        <v>0</v>
      </c>
      <c r="H407" s="24" t="n">
        <f aca="false">E407-G407</f>
        <v>59553.6683417085</v>
      </c>
      <c r="I407" s="24" t="n">
        <f aca="false">I406+D407</f>
        <v>86520</v>
      </c>
      <c r="J407" s="16" t="n">
        <f aca="false">(H407+D407)*가정!$B$10</f>
        <v>60053.6683417085</v>
      </c>
      <c r="K407" s="24" t="n">
        <f aca="false">A407*가정!$B$8*가정!$B$7</f>
        <v>2015</v>
      </c>
      <c r="L407" s="11" t="n">
        <f aca="false">C407+F407</f>
        <v>100</v>
      </c>
    </row>
    <row r="408" customFormat="false" ht="15" hidden="false" customHeight="false" outlineLevel="0" collapsed="false">
      <c r="A408" s="11" t="n">
        <v>404</v>
      </c>
      <c r="B408" s="11" t="n">
        <f aca="false">MATCH(A408,월별!$C$6:$C$41,1)</f>
        <v>14</v>
      </c>
      <c r="C408" s="11" t="n">
        <f aca="false">L407</f>
        <v>100</v>
      </c>
      <c r="D408" s="24" t="n">
        <f aca="false">C408*가정!$B$8</f>
        <v>500</v>
      </c>
      <c r="E408" s="24" t="n">
        <f aca="false">H407+D407</f>
        <v>60053.6683417085</v>
      </c>
      <c r="F408" s="11" t="n">
        <f aca="false">IF(가정!$B$11=1,MAX(0,MIN(가정!$B$16-C408,INT(E408/가정!$B$17))),0)</f>
        <v>0</v>
      </c>
      <c r="G408" s="24" t="n">
        <f aca="false">F408*가정!$B$17</f>
        <v>0</v>
      </c>
      <c r="H408" s="24" t="n">
        <f aca="false">E408-G408</f>
        <v>60053.6683417085</v>
      </c>
      <c r="I408" s="24" t="n">
        <f aca="false">I407+D408</f>
        <v>87020</v>
      </c>
      <c r="J408" s="16" t="n">
        <f aca="false">(H408+D408)*가정!$B$10</f>
        <v>60553.6683417085</v>
      </c>
      <c r="K408" s="24" t="n">
        <f aca="false">A408*가정!$B$8*가정!$B$7</f>
        <v>2020</v>
      </c>
      <c r="L408" s="11" t="n">
        <f aca="false">C408+F408</f>
        <v>100</v>
      </c>
    </row>
    <row r="409" customFormat="false" ht="15" hidden="false" customHeight="false" outlineLevel="0" collapsed="false">
      <c r="A409" s="11" t="n">
        <v>405</v>
      </c>
      <c r="B409" s="11" t="n">
        <f aca="false">MATCH(A409,월별!$C$6:$C$41,1)</f>
        <v>14</v>
      </c>
      <c r="C409" s="11" t="n">
        <f aca="false">L408</f>
        <v>100</v>
      </c>
      <c r="D409" s="24" t="n">
        <f aca="false">C409*가정!$B$8</f>
        <v>500</v>
      </c>
      <c r="E409" s="24" t="n">
        <f aca="false">H408+D408</f>
        <v>60553.6683417085</v>
      </c>
      <c r="F409" s="11" t="n">
        <f aca="false">IF(가정!$B$11=1,MAX(0,MIN(가정!$B$16-C409,INT(E409/가정!$B$17))),0)</f>
        <v>0</v>
      </c>
      <c r="G409" s="24" t="n">
        <f aca="false">F409*가정!$B$17</f>
        <v>0</v>
      </c>
      <c r="H409" s="24" t="n">
        <f aca="false">E409-G409</f>
        <v>60553.6683417085</v>
      </c>
      <c r="I409" s="24" t="n">
        <f aca="false">I408+D409</f>
        <v>87520</v>
      </c>
      <c r="J409" s="16" t="n">
        <f aca="false">(H409+D409)*가정!$B$10</f>
        <v>61053.6683417085</v>
      </c>
      <c r="K409" s="24" t="n">
        <f aca="false">A409*가정!$B$8*가정!$B$7</f>
        <v>2025</v>
      </c>
      <c r="L409" s="11" t="n">
        <f aca="false">C409+F409</f>
        <v>100</v>
      </c>
    </row>
    <row r="410" customFormat="false" ht="15" hidden="false" customHeight="false" outlineLevel="0" collapsed="false">
      <c r="A410" s="11" t="n">
        <v>406</v>
      </c>
      <c r="B410" s="11" t="n">
        <f aca="false">MATCH(A410,월별!$C$6:$C$41,1)</f>
        <v>14</v>
      </c>
      <c r="C410" s="11" t="n">
        <f aca="false">L409</f>
        <v>100</v>
      </c>
      <c r="D410" s="24" t="n">
        <f aca="false">C410*가정!$B$8</f>
        <v>500</v>
      </c>
      <c r="E410" s="24" t="n">
        <f aca="false">H409+D409</f>
        <v>61053.6683417085</v>
      </c>
      <c r="F410" s="11" t="n">
        <f aca="false">IF(가정!$B$11=1,MAX(0,MIN(가정!$B$16-C410,INT(E410/가정!$B$17))),0)</f>
        <v>0</v>
      </c>
      <c r="G410" s="24" t="n">
        <f aca="false">F410*가정!$B$17</f>
        <v>0</v>
      </c>
      <c r="H410" s="24" t="n">
        <f aca="false">E410-G410</f>
        <v>61053.6683417085</v>
      </c>
      <c r="I410" s="24" t="n">
        <f aca="false">I409+D410</f>
        <v>88020</v>
      </c>
      <c r="J410" s="16" t="n">
        <f aca="false">(H410+D410)*가정!$B$10</f>
        <v>61553.6683417085</v>
      </c>
      <c r="K410" s="24" t="n">
        <f aca="false">A410*가정!$B$8*가정!$B$7</f>
        <v>2030</v>
      </c>
      <c r="L410" s="11" t="n">
        <f aca="false">C410+F410</f>
        <v>100</v>
      </c>
    </row>
    <row r="411" customFormat="false" ht="15" hidden="false" customHeight="false" outlineLevel="0" collapsed="false">
      <c r="A411" s="11" t="n">
        <v>407</v>
      </c>
      <c r="B411" s="11" t="n">
        <f aca="false">MATCH(A411,월별!$C$6:$C$41,1)</f>
        <v>14</v>
      </c>
      <c r="C411" s="11" t="n">
        <f aca="false">L410</f>
        <v>100</v>
      </c>
      <c r="D411" s="24" t="n">
        <f aca="false">C411*가정!$B$8</f>
        <v>500</v>
      </c>
      <c r="E411" s="24" t="n">
        <f aca="false">H410+D410</f>
        <v>61553.6683417085</v>
      </c>
      <c r="F411" s="11" t="n">
        <f aca="false">IF(가정!$B$11=1,MAX(0,MIN(가정!$B$16-C411,INT(E411/가정!$B$17))),0)</f>
        <v>0</v>
      </c>
      <c r="G411" s="24" t="n">
        <f aca="false">F411*가정!$B$17</f>
        <v>0</v>
      </c>
      <c r="H411" s="24" t="n">
        <f aca="false">E411-G411</f>
        <v>61553.6683417085</v>
      </c>
      <c r="I411" s="24" t="n">
        <f aca="false">I410+D411</f>
        <v>88520</v>
      </c>
      <c r="J411" s="16" t="n">
        <f aca="false">(H411+D411)*가정!$B$10</f>
        <v>62053.6683417085</v>
      </c>
      <c r="K411" s="24" t="n">
        <f aca="false">A411*가정!$B$8*가정!$B$7</f>
        <v>2035</v>
      </c>
      <c r="L411" s="11" t="n">
        <f aca="false">C411+F411</f>
        <v>100</v>
      </c>
    </row>
    <row r="412" customFormat="false" ht="15" hidden="false" customHeight="false" outlineLevel="0" collapsed="false">
      <c r="A412" s="11" t="n">
        <v>408</v>
      </c>
      <c r="B412" s="11" t="n">
        <f aca="false">MATCH(A412,월별!$C$6:$C$41,1)</f>
        <v>14</v>
      </c>
      <c r="C412" s="11" t="n">
        <f aca="false">L411</f>
        <v>100</v>
      </c>
      <c r="D412" s="24" t="n">
        <f aca="false">C412*가정!$B$8</f>
        <v>500</v>
      </c>
      <c r="E412" s="24" t="n">
        <f aca="false">H411+D411</f>
        <v>62053.6683417085</v>
      </c>
      <c r="F412" s="11" t="n">
        <f aca="false">IF(가정!$B$11=1,MAX(0,MIN(가정!$B$16-C412,INT(E412/가정!$B$17))),0)</f>
        <v>0</v>
      </c>
      <c r="G412" s="24" t="n">
        <f aca="false">F412*가정!$B$17</f>
        <v>0</v>
      </c>
      <c r="H412" s="24" t="n">
        <f aca="false">E412-G412</f>
        <v>62053.6683417085</v>
      </c>
      <c r="I412" s="24" t="n">
        <f aca="false">I411+D412</f>
        <v>89020</v>
      </c>
      <c r="J412" s="16" t="n">
        <f aca="false">(H412+D412)*가정!$B$10</f>
        <v>62553.6683417085</v>
      </c>
      <c r="K412" s="24" t="n">
        <f aca="false">A412*가정!$B$8*가정!$B$7</f>
        <v>2040</v>
      </c>
      <c r="L412" s="11" t="n">
        <f aca="false">C412+F412</f>
        <v>100</v>
      </c>
    </row>
    <row r="413" customFormat="false" ht="15" hidden="false" customHeight="false" outlineLevel="0" collapsed="false">
      <c r="A413" s="11" t="n">
        <v>409</v>
      </c>
      <c r="B413" s="11" t="n">
        <f aca="false">MATCH(A413,월별!$C$6:$C$41,1)</f>
        <v>14</v>
      </c>
      <c r="C413" s="11" t="n">
        <f aca="false">L412</f>
        <v>100</v>
      </c>
      <c r="D413" s="24" t="n">
        <f aca="false">C413*가정!$B$8</f>
        <v>500</v>
      </c>
      <c r="E413" s="24" t="n">
        <f aca="false">H412+D412</f>
        <v>62553.6683417085</v>
      </c>
      <c r="F413" s="11" t="n">
        <f aca="false">IF(가정!$B$11=1,MAX(0,MIN(가정!$B$16-C413,INT(E413/가정!$B$17))),0)</f>
        <v>0</v>
      </c>
      <c r="G413" s="24" t="n">
        <f aca="false">F413*가정!$B$17</f>
        <v>0</v>
      </c>
      <c r="H413" s="24" t="n">
        <f aca="false">E413-G413</f>
        <v>62553.6683417085</v>
      </c>
      <c r="I413" s="24" t="n">
        <f aca="false">I412+D413</f>
        <v>89520</v>
      </c>
      <c r="J413" s="16" t="n">
        <f aca="false">(H413+D413)*가정!$B$10</f>
        <v>63053.6683417085</v>
      </c>
      <c r="K413" s="24" t="n">
        <f aca="false">A413*가정!$B$8*가정!$B$7</f>
        <v>2045</v>
      </c>
      <c r="L413" s="11" t="n">
        <f aca="false">C413+F413</f>
        <v>100</v>
      </c>
    </row>
    <row r="414" customFormat="false" ht="15" hidden="false" customHeight="false" outlineLevel="0" collapsed="false">
      <c r="A414" s="11" t="n">
        <v>410</v>
      </c>
      <c r="B414" s="11" t="n">
        <f aca="false">MATCH(A414,월별!$C$6:$C$41,1)</f>
        <v>14</v>
      </c>
      <c r="C414" s="11" t="n">
        <f aca="false">L413</f>
        <v>100</v>
      </c>
      <c r="D414" s="24" t="n">
        <f aca="false">C414*가정!$B$8</f>
        <v>500</v>
      </c>
      <c r="E414" s="24" t="n">
        <f aca="false">H413+D413</f>
        <v>63053.6683417085</v>
      </c>
      <c r="F414" s="11" t="n">
        <f aca="false">IF(가정!$B$11=1,MAX(0,MIN(가정!$B$16-C414,INT(E414/가정!$B$17))),0)</f>
        <v>0</v>
      </c>
      <c r="G414" s="24" t="n">
        <f aca="false">F414*가정!$B$17</f>
        <v>0</v>
      </c>
      <c r="H414" s="24" t="n">
        <f aca="false">E414-G414</f>
        <v>63053.6683417085</v>
      </c>
      <c r="I414" s="24" t="n">
        <f aca="false">I413+D414</f>
        <v>90020</v>
      </c>
      <c r="J414" s="16" t="n">
        <f aca="false">(H414+D414)*가정!$B$10</f>
        <v>63553.6683417085</v>
      </c>
      <c r="K414" s="24" t="n">
        <f aca="false">A414*가정!$B$8*가정!$B$7</f>
        <v>2050</v>
      </c>
      <c r="L414" s="11" t="n">
        <f aca="false">C414+F414</f>
        <v>100</v>
      </c>
    </row>
    <row r="415" customFormat="false" ht="15" hidden="false" customHeight="false" outlineLevel="0" collapsed="false">
      <c r="A415" s="11" t="n">
        <v>411</v>
      </c>
      <c r="B415" s="11" t="n">
        <f aca="false">MATCH(A415,월별!$C$6:$C$41,1)</f>
        <v>14</v>
      </c>
      <c r="C415" s="11" t="n">
        <f aca="false">L414</f>
        <v>100</v>
      </c>
      <c r="D415" s="24" t="n">
        <f aca="false">C415*가정!$B$8</f>
        <v>500</v>
      </c>
      <c r="E415" s="24" t="n">
        <f aca="false">H414+D414</f>
        <v>63553.6683417085</v>
      </c>
      <c r="F415" s="11" t="n">
        <f aca="false">IF(가정!$B$11=1,MAX(0,MIN(가정!$B$16-C415,INT(E415/가정!$B$17))),0)</f>
        <v>0</v>
      </c>
      <c r="G415" s="24" t="n">
        <f aca="false">F415*가정!$B$17</f>
        <v>0</v>
      </c>
      <c r="H415" s="24" t="n">
        <f aca="false">E415-G415</f>
        <v>63553.6683417085</v>
      </c>
      <c r="I415" s="24" t="n">
        <f aca="false">I414+D415</f>
        <v>90520</v>
      </c>
      <c r="J415" s="16" t="n">
        <f aca="false">(H415+D415)*가정!$B$10</f>
        <v>64053.6683417085</v>
      </c>
      <c r="K415" s="24" t="n">
        <f aca="false">A415*가정!$B$8*가정!$B$7</f>
        <v>2055</v>
      </c>
      <c r="L415" s="11" t="n">
        <f aca="false">C415+F415</f>
        <v>100</v>
      </c>
    </row>
    <row r="416" customFormat="false" ht="15" hidden="false" customHeight="false" outlineLevel="0" collapsed="false">
      <c r="A416" s="11" t="n">
        <v>412</v>
      </c>
      <c r="B416" s="11" t="n">
        <f aca="false">MATCH(A416,월별!$C$6:$C$41,1)</f>
        <v>14</v>
      </c>
      <c r="C416" s="11" t="n">
        <f aca="false">L415</f>
        <v>100</v>
      </c>
      <c r="D416" s="24" t="n">
        <f aca="false">C416*가정!$B$8</f>
        <v>500</v>
      </c>
      <c r="E416" s="24" t="n">
        <f aca="false">H415+D415</f>
        <v>64053.6683417085</v>
      </c>
      <c r="F416" s="11" t="n">
        <f aca="false">IF(가정!$B$11=1,MAX(0,MIN(가정!$B$16-C416,INT(E416/가정!$B$17))),0)</f>
        <v>0</v>
      </c>
      <c r="G416" s="24" t="n">
        <f aca="false">F416*가정!$B$17</f>
        <v>0</v>
      </c>
      <c r="H416" s="24" t="n">
        <f aca="false">E416-G416</f>
        <v>64053.6683417085</v>
      </c>
      <c r="I416" s="24" t="n">
        <f aca="false">I415+D416</f>
        <v>91020</v>
      </c>
      <c r="J416" s="16" t="n">
        <f aca="false">(H416+D416)*가정!$B$10</f>
        <v>64553.6683417085</v>
      </c>
      <c r="K416" s="24" t="n">
        <f aca="false">A416*가정!$B$8*가정!$B$7</f>
        <v>2060</v>
      </c>
      <c r="L416" s="11" t="n">
        <f aca="false">C416+F416</f>
        <v>100</v>
      </c>
    </row>
    <row r="417" customFormat="false" ht="15" hidden="false" customHeight="false" outlineLevel="0" collapsed="false">
      <c r="A417" s="11" t="n">
        <v>413</v>
      </c>
      <c r="B417" s="11" t="n">
        <f aca="false">MATCH(A417,월별!$C$6:$C$41,1)</f>
        <v>14</v>
      </c>
      <c r="C417" s="11" t="n">
        <f aca="false">L416</f>
        <v>100</v>
      </c>
      <c r="D417" s="24" t="n">
        <f aca="false">C417*가정!$B$8</f>
        <v>500</v>
      </c>
      <c r="E417" s="24" t="n">
        <f aca="false">H416+D416</f>
        <v>64553.6683417085</v>
      </c>
      <c r="F417" s="11" t="n">
        <f aca="false">IF(가정!$B$11=1,MAX(0,MIN(가정!$B$16-C417,INT(E417/가정!$B$17))),0)</f>
        <v>0</v>
      </c>
      <c r="G417" s="24" t="n">
        <f aca="false">F417*가정!$B$17</f>
        <v>0</v>
      </c>
      <c r="H417" s="24" t="n">
        <f aca="false">E417-G417</f>
        <v>64553.6683417085</v>
      </c>
      <c r="I417" s="24" t="n">
        <f aca="false">I416+D417</f>
        <v>91520</v>
      </c>
      <c r="J417" s="16" t="n">
        <f aca="false">(H417+D417)*가정!$B$10</f>
        <v>65053.6683417085</v>
      </c>
      <c r="K417" s="24" t="n">
        <f aca="false">A417*가정!$B$8*가정!$B$7</f>
        <v>2065</v>
      </c>
      <c r="L417" s="11" t="n">
        <f aca="false">C417+F417</f>
        <v>100</v>
      </c>
    </row>
    <row r="418" customFormat="false" ht="15" hidden="false" customHeight="false" outlineLevel="0" collapsed="false">
      <c r="A418" s="11" t="n">
        <v>414</v>
      </c>
      <c r="B418" s="11" t="n">
        <f aca="false">MATCH(A418,월별!$C$6:$C$41,1)</f>
        <v>14</v>
      </c>
      <c r="C418" s="11" t="n">
        <f aca="false">L417</f>
        <v>100</v>
      </c>
      <c r="D418" s="24" t="n">
        <f aca="false">C418*가정!$B$8</f>
        <v>500</v>
      </c>
      <c r="E418" s="24" t="n">
        <f aca="false">H417+D417</f>
        <v>65053.6683417085</v>
      </c>
      <c r="F418" s="11" t="n">
        <f aca="false">IF(가정!$B$11=1,MAX(0,MIN(가정!$B$16-C418,INT(E418/가정!$B$17))),0)</f>
        <v>0</v>
      </c>
      <c r="G418" s="24" t="n">
        <f aca="false">F418*가정!$B$17</f>
        <v>0</v>
      </c>
      <c r="H418" s="24" t="n">
        <f aca="false">E418-G418</f>
        <v>65053.6683417085</v>
      </c>
      <c r="I418" s="24" t="n">
        <f aca="false">I417+D418</f>
        <v>92020</v>
      </c>
      <c r="J418" s="16" t="n">
        <f aca="false">(H418+D418)*가정!$B$10</f>
        <v>65553.6683417085</v>
      </c>
      <c r="K418" s="24" t="n">
        <f aca="false">A418*가정!$B$8*가정!$B$7</f>
        <v>2070</v>
      </c>
      <c r="L418" s="11" t="n">
        <f aca="false">C418+F418</f>
        <v>100</v>
      </c>
    </row>
    <row r="419" customFormat="false" ht="15" hidden="false" customHeight="false" outlineLevel="0" collapsed="false">
      <c r="A419" s="11" t="n">
        <v>415</v>
      </c>
      <c r="B419" s="11" t="n">
        <f aca="false">MATCH(A419,월별!$C$6:$C$41,1)</f>
        <v>14</v>
      </c>
      <c r="C419" s="11" t="n">
        <f aca="false">L418</f>
        <v>100</v>
      </c>
      <c r="D419" s="24" t="n">
        <f aca="false">C419*가정!$B$8</f>
        <v>500</v>
      </c>
      <c r="E419" s="24" t="n">
        <f aca="false">H418+D418</f>
        <v>65553.6683417085</v>
      </c>
      <c r="F419" s="11" t="n">
        <f aca="false">IF(가정!$B$11=1,MAX(0,MIN(가정!$B$16-C419,INT(E419/가정!$B$17))),0)</f>
        <v>0</v>
      </c>
      <c r="G419" s="24" t="n">
        <f aca="false">F419*가정!$B$17</f>
        <v>0</v>
      </c>
      <c r="H419" s="24" t="n">
        <f aca="false">E419-G419</f>
        <v>65553.6683417085</v>
      </c>
      <c r="I419" s="24" t="n">
        <f aca="false">I418+D419</f>
        <v>92520</v>
      </c>
      <c r="J419" s="16" t="n">
        <f aca="false">(H419+D419)*가정!$B$10</f>
        <v>66053.6683417085</v>
      </c>
      <c r="K419" s="24" t="n">
        <f aca="false">A419*가정!$B$8*가정!$B$7</f>
        <v>2075</v>
      </c>
      <c r="L419" s="11" t="n">
        <f aca="false">C419+F419</f>
        <v>100</v>
      </c>
    </row>
    <row r="420" customFormat="false" ht="15" hidden="false" customHeight="false" outlineLevel="0" collapsed="false">
      <c r="A420" s="11" t="n">
        <v>416</v>
      </c>
      <c r="B420" s="11" t="n">
        <f aca="false">MATCH(A420,월별!$C$6:$C$41,1)</f>
        <v>14</v>
      </c>
      <c r="C420" s="11" t="n">
        <f aca="false">L419</f>
        <v>100</v>
      </c>
      <c r="D420" s="24" t="n">
        <f aca="false">C420*가정!$B$8</f>
        <v>500</v>
      </c>
      <c r="E420" s="24" t="n">
        <f aca="false">H419+D419</f>
        <v>66053.6683417085</v>
      </c>
      <c r="F420" s="11" t="n">
        <f aca="false">IF(가정!$B$11=1,MAX(0,MIN(가정!$B$16-C420,INT(E420/가정!$B$17))),0)</f>
        <v>0</v>
      </c>
      <c r="G420" s="24" t="n">
        <f aca="false">F420*가정!$B$17</f>
        <v>0</v>
      </c>
      <c r="H420" s="24" t="n">
        <f aca="false">E420-G420</f>
        <v>66053.6683417085</v>
      </c>
      <c r="I420" s="24" t="n">
        <f aca="false">I419+D420</f>
        <v>93020</v>
      </c>
      <c r="J420" s="16" t="n">
        <f aca="false">(H420+D420)*가정!$B$10</f>
        <v>66553.6683417085</v>
      </c>
      <c r="K420" s="24" t="n">
        <f aca="false">A420*가정!$B$8*가정!$B$7</f>
        <v>2080</v>
      </c>
      <c r="L420" s="11" t="n">
        <f aca="false">C420+F420</f>
        <v>100</v>
      </c>
    </row>
    <row r="421" customFormat="false" ht="15" hidden="false" customHeight="false" outlineLevel="0" collapsed="false">
      <c r="A421" s="11" t="n">
        <v>417</v>
      </c>
      <c r="B421" s="11" t="n">
        <f aca="false">MATCH(A421,월별!$C$6:$C$41,1)</f>
        <v>14</v>
      </c>
      <c r="C421" s="11" t="n">
        <f aca="false">L420</f>
        <v>100</v>
      </c>
      <c r="D421" s="24" t="n">
        <f aca="false">C421*가정!$B$8</f>
        <v>500</v>
      </c>
      <c r="E421" s="24" t="n">
        <f aca="false">H420+D420</f>
        <v>66553.6683417085</v>
      </c>
      <c r="F421" s="11" t="n">
        <f aca="false">IF(가정!$B$11=1,MAX(0,MIN(가정!$B$16-C421,INT(E421/가정!$B$17))),0)</f>
        <v>0</v>
      </c>
      <c r="G421" s="24" t="n">
        <f aca="false">F421*가정!$B$17</f>
        <v>0</v>
      </c>
      <c r="H421" s="24" t="n">
        <f aca="false">E421-G421</f>
        <v>66553.6683417085</v>
      </c>
      <c r="I421" s="24" t="n">
        <f aca="false">I420+D421</f>
        <v>93520</v>
      </c>
      <c r="J421" s="16" t="n">
        <f aca="false">(H421+D421)*가정!$B$10</f>
        <v>67053.6683417085</v>
      </c>
      <c r="K421" s="24" t="n">
        <f aca="false">A421*가정!$B$8*가정!$B$7</f>
        <v>2085</v>
      </c>
      <c r="L421" s="11" t="n">
        <f aca="false">C421+F421</f>
        <v>100</v>
      </c>
    </row>
    <row r="422" customFormat="false" ht="15" hidden="false" customHeight="false" outlineLevel="0" collapsed="false">
      <c r="A422" s="11" t="n">
        <v>418</v>
      </c>
      <c r="B422" s="11" t="n">
        <f aca="false">MATCH(A422,월별!$C$6:$C$41,1)</f>
        <v>14</v>
      </c>
      <c r="C422" s="11" t="n">
        <f aca="false">L421</f>
        <v>100</v>
      </c>
      <c r="D422" s="24" t="n">
        <f aca="false">C422*가정!$B$8</f>
        <v>500</v>
      </c>
      <c r="E422" s="24" t="n">
        <f aca="false">H421+D421</f>
        <v>67053.6683417085</v>
      </c>
      <c r="F422" s="11" t="n">
        <f aca="false">IF(가정!$B$11=1,MAX(0,MIN(가정!$B$16-C422,INT(E422/가정!$B$17))),0)</f>
        <v>0</v>
      </c>
      <c r="G422" s="24" t="n">
        <f aca="false">F422*가정!$B$17</f>
        <v>0</v>
      </c>
      <c r="H422" s="24" t="n">
        <f aca="false">E422-G422</f>
        <v>67053.6683417085</v>
      </c>
      <c r="I422" s="24" t="n">
        <f aca="false">I421+D422</f>
        <v>94020</v>
      </c>
      <c r="J422" s="16" t="n">
        <f aca="false">(H422+D422)*가정!$B$10</f>
        <v>67553.6683417085</v>
      </c>
      <c r="K422" s="24" t="n">
        <f aca="false">A422*가정!$B$8*가정!$B$7</f>
        <v>2090</v>
      </c>
      <c r="L422" s="11" t="n">
        <f aca="false">C422+F422</f>
        <v>100</v>
      </c>
    </row>
    <row r="423" customFormat="false" ht="15" hidden="false" customHeight="false" outlineLevel="0" collapsed="false">
      <c r="A423" s="11" t="n">
        <v>419</v>
      </c>
      <c r="B423" s="11" t="n">
        <f aca="false">MATCH(A423,월별!$C$6:$C$41,1)</f>
        <v>14</v>
      </c>
      <c r="C423" s="11" t="n">
        <f aca="false">L422</f>
        <v>100</v>
      </c>
      <c r="D423" s="24" t="n">
        <f aca="false">C423*가정!$B$8</f>
        <v>500</v>
      </c>
      <c r="E423" s="24" t="n">
        <f aca="false">H422+D422</f>
        <v>67553.6683417085</v>
      </c>
      <c r="F423" s="11" t="n">
        <f aca="false">IF(가정!$B$11=1,MAX(0,MIN(가정!$B$16-C423,INT(E423/가정!$B$17))),0)</f>
        <v>0</v>
      </c>
      <c r="G423" s="24" t="n">
        <f aca="false">F423*가정!$B$17</f>
        <v>0</v>
      </c>
      <c r="H423" s="24" t="n">
        <f aca="false">E423-G423</f>
        <v>67553.6683417085</v>
      </c>
      <c r="I423" s="24" t="n">
        <f aca="false">I422+D423</f>
        <v>94520</v>
      </c>
      <c r="J423" s="16" t="n">
        <f aca="false">(H423+D423)*가정!$B$10</f>
        <v>68053.6683417085</v>
      </c>
      <c r="K423" s="24" t="n">
        <f aca="false">A423*가정!$B$8*가정!$B$7</f>
        <v>2095</v>
      </c>
      <c r="L423" s="11" t="n">
        <f aca="false">C423+F423</f>
        <v>100</v>
      </c>
    </row>
    <row r="424" customFormat="false" ht="15" hidden="false" customHeight="false" outlineLevel="0" collapsed="false">
      <c r="A424" s="11" t="n">
        <v>420</v>
      </c>
      <c r="B424" s="11" t="n">
        <f aca="false">MATCH(A424,월별!$C$6:$C$41,1)</f>
        <v>14</v>
      </c>
      <c r="C424" s="11" t="n">
        <f aca="false">L423</f>
        <v>100</v>
      </c>
      <c r="D424" s="24" t="n">
        <f aca="false">C424*가정!$B$8</f>
        <v>500</v>
      </c>
      <c r="E424" s="24" t="n">
        <f aca="false">H423+D423</f>
        <v>68053.6683417085</v>
      </c>
      <c r="F424" s="11" t="n">
        <f aca="false">IF(가정!$B$11=1,MAX(0,MIN(가정!$B$16-C424,INT(E424/가정!$B$17))),0)</f>
        <v>0</v>
      </c>
      <c r="G424" s="24" t="n">
        <f aca="false">F424*가정!$B$17</f>
        <v>0</v>
      </c>
      <c r="H424" s="24" t="n">
        <f aca="false">E424-G424</f>
        <v>68053.6683417085</v>
      </c>
      <c r="I424" s="24" t="n">
        <f aca="false">I423+D424</f>
        <v>95020</v>
      </c>
      <c r="J424" s="16" t="n">
        <f aca="false">(H424+D424)*가정!$B$10</f>
        <v>68553.6683417085</v>
      </c>
      <c r="K424" s="24" t="n">
        <f aca="false">A424*가정!$B$8*가정!$B$7</f>
        <v>2100</v>
      </c>
      <c r="L424" s="11" t="n">
        <f aca="false">C424+F424</f>
        <v>100</v>
      </c>
    </row>
    <row r="425" customFormat="false" ht="15" hidden="false" customHeight="false" outlineLevel="0" collapsed="false">
      <c r="A425" s="11" t="n">
        <v>421</v>
      </c>
      <c r="B425" s="11" t="n">
        <f aca="false">MATCH(A425,월별!$C$6:$C$41,1)</f>
        <v>14</v>
      </c>
      <c r="C425" s="11" t="n">
        <f aca="false">L424</f>
        <v>100</v>
      </c>
      <c r="D425" s="24" t="n">
        <f aca="false">C425*가정!$B$8</f>
        <v>500</v>
      </c>
      <c r="E425" s="24" t="n">
        <f aca="false">H424+D424</f>
        <v>68553.6683417085</v>
      </c>
      <c r="F425" s="11" t="n">
        <f aca="false">IF(가정!$B$11=1,MAX(0,MIN(가정!$B$16-C425,INT(E425/가정!$B$17))),0)</f>
        <v>0</v>
      </c>
      <c r="G425" s="24" t="n">
        <f aca="false">F425*가정!$B$17</f>
        <v>0</v>
      </c>
      <c r="H425" s="24" t="n">
        <f aca="false">E425-G425</f>
        <v>68553.6683417085</v>
      </c>
      <c r="I425" s="24" t="n">
        <f aca="false">I424+D425</f>
        <v>95520</v>
      </c>
      <c r="J425" s="16" t="n">
        <f aca="false">(H425+D425)*가정!$B$10</f>
        <v>69053.6683417085</v>
      </c>
      <c r="K425" s="24" t="n">
        <f aca="false">A425*가정!$B$8*가정!$B$7</f>
        <v>2105</v>
      </c>
      <c r="L425" s="11" t="n">
        <f aca="false">C425+F425</f>
        <v>100</v>
      </c>
    </row>
    <row r="426" customFormat="false" ht="15" hidden="false" customHeight="false" outlineLevel="0" collapsed="false">
      <c r="A426" s="11" t="n">
        <v>422</v>
      </c>
      <c r="B426" s="11" t="n">
        <f aca="false">MATCH(A426,월별!$C$6:$C$41,1)</f>
        <v>14</v>
      </c>
      <c r="C426" s="11" t="n">
        <f aca="false">L425</f>
        <v>100</v>
      </c>
      <c r="D426" s="24" t="n">
        <f aca="false">C426*가정!$B$8</f>
        <v>500</v>
      </c>
      <c r="E426" s="24" t="n">
        <f aca="false">H425+D425</f>
        <v>69053.6683417085</v>
      </c>
      <c r="F426" s="11" t="n">
        <f aca="false">IF(가정!$B$11=1,MAX(0,MIN(가정!$B$16-C426,INT(E426/가정!$B$17))),0)</f>
        <v>0</v>
      </c>
      <c r="G426" s="24" t="n">
        <f aca="false">F426*가정!$B$17</f>
        <v>0</v>
      </c>
      <c r="H426" s="24" t="n">
        <f aca="false">E426-G426</f>
        <v>69053.6683417085</v>
      </c>
      <c r="I426" s="24" t="n">
        <f aca="false">I425+D426</f>
        <v>96020</v>
      </c>
      <c r="J426" s="16" t="n">
        <f aca="false">(H426+D426)*가정!$B$10</f>
        <v>69553.6683417085</v>
      </c>
      <c r="K426" s="24" t="n">
        <f aca="false">A426*가정!$B$8*가정!$B$7</f>
        <v>2110</v>
      </c>
      <c r="L426" s="11" t="n">
        <f aca="false">C426+F426</f>
        <v>100</v>
      </c>
    </row>
    <row r="427" customFormat="false" ht="15" hidden="false" customHeight="false" outlineLevel="0" collapsed="false">
      <c r="A427" s="11" t="n">
        <v>423</v>
      </c>
      <c r="B427" s="11" t="n">
        <f aca="false">MATCH(A427,월별!$C$6:$C$41,1)</f>
        <v>14</v>
      </c>
      <c r="C427" s="11" t="n">
        <f aca="false">L426</f>
        <v>100</v>
      </c>
      <c r="D427" s="24" t="n">
        <f aca="false">C427*가정!$B$8</f>
        <v>500</v>
      </c>
      <c r="E427" s="24" t="n">
        <f aca="false">H426+D426</f>
        <v>69553.6683417085</v>
      </c>
      <c r="F427" s="11" t="n">
        <f aca="false">IF(가정!$B$11=1,MAX(0,MIN(가정!$B$16-C427,INT(E427/가정!$B$17))),0)</f>
        <v>0</v>
      </c>
      <c r="G427" s="24" t="n">
        <f aca="false">F427*가정!$B$17</f>
        <v>0</v>
      </c>
      <c r="H427" s="24" t="n">
        <f aca="false">E427-G427</f>
        <v>69553.6683417085</v>
      </c>
      <c r="I427" s="24" t="n">
        <f aca="false">I426+D427</f>
        <v>96520</v>
      </c>
      <c r="J427" s="16" t="n">
        <f aca="false">(H427+D427)*가정!$B$10</f>
        <v>70053.6683417085</v>
      </c>
      <c r="K427" s="24" t="n">
        <f aca="false">A427*가정!$B$8*가정!$B$7</f>
        <v>2115</v>
      </c>
      <c r="L427" s="11" t="n">
        <f aca="false">C427+F427</f>
        <v>100</v>
      </c>
    </row>
    <row r="428" customFormat="false" ht="15" hidden="false" customHeight="false" outlineLevel="0" collapsed="false">
      <c r="A428" s="11" t="n">
        <v>424</v>
      </c>
      <c r="B428" s="11" t="n">
        <f aca="false">MATCH(A428,월별!$C$6:$C$41,1)</f>
        <v>14</v>
      </c>
      <c r="C428" s="11" t="n">
        <f aca="false">L427</f>
        <v>100</v>
      </c>
      <c r="D428" s="24" t="n">
        <f aca="false">C428*가정!$B$8</f>
        <v>500</v>
      </c>
      <c r="E428" s="24" t="n">
        <f aca="false">H427+D427</f>
        <v>70053.6683417085</v>
      </c>
      <c r="F428" s="11" t="n">
        <f aca="false">IF(가정!$B$11=1,MAX(0,MIN(가정!$B$16-C428,INT(E428/가정!$B$17))),0)</f>
        <v>0</v>
      </c>
      <c r="G428" s="24" t="n">
        <f aca="false">F428*가정!$B$17</f>
        <v>0</v>
      </c>
      <c r="H428" s="24" t="n">
        <f aca="false">E428-G428</f>
        <v>70053.6683417085</v>
      </c>
      <c r="I428" s="24" t="n">
        <f aca="false">I427+D428</f>
        <v>97020</v>
      </c>
      <c r="J428" s="16" t="n">
        <f aca="false">(H428+D428)*가정!$B$10</f>
        <v>70553.6683417085</v>
      </c>
      <c r="K428" s="24" t="n">
        <f aca="false">A428*가정!$B$8*가정!$B$7</f>
        <v>2120</v>
      </c>
      <c r="L428" s="11" t="n">
        <f aca="false">C428+F428</f>
        <v>100</v>
      </c>
    </row>
    <row r="429" customFormat="false" ht="15" hidden="false" customHeight="false" outlineLevel="0" collapsed="false">
      <c r="A429" s="11" t="n">
        <v>425</v>
      </c>
      <c r="B429" s="11" t="n">
        <f aca="false">MATCH(A429,월별!$C$6:$C$41,1)</f>
        <v>14</v>
      </c>
      <c r="C429" s="11" t="n">
        <f aca="false">L428</f>
        <v>100</v>
      </c>
      <c r="D429" s="24" t="n">
        <f aca="false">C429*가정!$B$8</f>
        <v>500</v>
      </c>
      <c r="E429" s="24" t="n">
        <f aca="false">H428+D428</f>
        <v>70553.6683417085</v>
      </c>
      <c r="F429" s="11" t="n">
        <f aca="false">IF(가정!$B$11=1,MAX(0,MIN(가정!$B$16-C429,INT(E429/가정!$B$17))),0)</f>
        <v>0</v>
      </c>
      <c r="G429" s="24" t="n">
        <f aca="false">F429*가정!$B$17</f>
        <v>0</v>
      </c>
      <c r="H429" s="24" t="n">
        <f aca="false">E429-G429</f>
        <v>70553.6683417085</v>
      </c>
      <c r="I429" s="24" t="n">
        <f aca="false">I428+D429</f>
        <v>97520</v>
      </c>
      <c r="J429" s="16" t="n">
        <f aca="false">(H429+D429)*가정!$B$10</f>
        <v>71053.6683417085</v>
      </c>
      <c r="K429" s="24" t="n">
        <f aca="false">A429*가정!$B$8*가정!$B$7</f>
        <v>2125</v>
      </c>
      <c r="L429" s="11" t="n">
        <f aca="false">C429+F429</f>
        <v>100</v>
      </c>
    </row>
    <row r="430" customFormat="false" ht="15" hidden="false" customHeight="false" outlineLevel="0" collapsed="false">
      <c r="A430" s="11" t="n">
        <v>426</v>
      </c>
      <c r="B430" s="11" t="n">
        <f aca="false">MATCH(A430,월별!$C$6:$C$41,1)</f>
        <v>14</v>
      </c>
      <c r="C430" s="11" t="n">
        <f aca="false">L429</f>
        <v>100</v>
      </c>
      <c r="D430" s="24" t="n">
        <f aca="false">C430*가정!$B$8</f>
        <v>500</v>
      </c>
      <c r="E430" s="24" t="n">
        <f aca="false">H429+D429</f>
        <v>71053.6683417085</v>
      </c>
      <c r="F430" s="11" t="n">
        <f aca="false">IF(가정!$B$11=1,MAX(0,MIN(가정!$B$16-C430,INT(E430/가정!$B$17))),0)</f>
        <v>0</v>
      </c>
      <c r="G430" s="24" t="n">
        <f aca="false">F430*가정!$B$17</f>
        <v>0</v>
      </c>
      <c r="H430" s="24" t="n">
        <f aca="false">E430-G430</f>
        <v>71053.6683417085</v>
      </c>
      <c r="I430" s="24" t="n">
        <f aca="false">I429+D430</f>
        <v>98020</v>
      </c>
      <c r="J430" s="16" t="n">
        <f aca="false">(H430+D430)*가정!$B$10</f>
        <v>71553.6683417085</v>
      </c>
      <c r="K430" s="24" t="n">
        <f aca="false">A430*가정!$B$8*가정!$B$7</f>
        <v>2130</v>
      </c>
      <c r="L430" s="11" t="n">
        <f aca="false">C430+F430</f>
        <v>100</v>
      </c>
    </row>
    <row r="431" customFormat="false" ht="15" hidden="false" customHeight="false" outlineLevel="0" collapsed="false">
      <c r="A431" s="11" t="n">
        <v>427</v>
      </c>
      <c r="B431" s="11" t="n">
        <f aca="false">MATCH(A431,월별!$C$6:$C$41,1)</f>
        <v>15</v>
      </c>
      <c r="C431" s="11" t="n">
        <f aca="false">L430</f>
        <v>100</v>
      </c>
      <c r="D431" s="24" t="n">
        <f aca="false">C431*가정!$B$8</f>
        <v>500</v>
      </c>
      <c r="E431" s="24" t="n">
        <f aca="false">H430+D430</f>
        <v>71553.6683417085</v>
      </c>
      <c r="F431" s="11" t="n">
        <f aca="false">IF(가정!$B$11=1,MAX(0,MIN(가정!$B$16-C431,INT(E431/가정!$B$17))),0)</f>
        <v>0</v>
      </c>
      <c r="G431" s="24" t="n">
        <f aca="false">F431*가정!$B$17</f>
        <v>0</v>
      </c>
      <c r="H431" s="24" t="n">
        <f aca="false">E431-G431</f>
        <v>71553.6683417085</v>
      </c>
      <c r="I431" s="24" t="n">
        <f aca="false">I430+D431</f>
        <v>98520</v>
      </c>
      <c r="J431" s="16" t="n">
        <f aca="false">(H431+D431)*가정!$B$10</f>
        <v>72053.6683417085</v>
      </c>
      <c r="K431" s="24" t="n">
        <f aca="false">A431*가정!$B$8*가정!$B$7</f>
        <v>2135</v>
      </c>
      <c r="L431" s="11" t="n">
        <f aca="false">C431+F431</f>
        <v>100</v>
      </c>
    </row>
    <row r="432" customFormat="false" ht="15" hidden="false" customHeight="false" outlineLevel="0" collapsed="false">
      <c r="A432" s="11" t="n">
        <v>428</v>
      </c>
      <c r="B432" s="11" t="n">
        <f aca="false">MATCH(A432,월별!$C$6:$C$41,1)</f>
        <v>15</v>
      </c>
      <c r="C432" s="11" t="n">
        <f aca="false">L431</f>
        <v>100</v>
      </c>
      <c r="D432" s="24" t="n">
        <f aca="false">C432*가정!$B$8</f>
        <v>500</v>
      </c>
      <c r="E432" s="24" t="n">
        <f aca="false">H431+D431</f>
        <v>72053.6683417085</v>
      </c>
      <c r="F432" s="11" t="n">
        <f aca="false">IF(가정!$B$11=1,MAX(0,MIN(가정!$B$16-C432,INT(E432/가정!$B$17))),0)</f>
        <v>0</v>
      </c>
      <c r="G432" s="24" t="n">
        <f aca="false">F432*가정!$B$17</f>
        <v>0</v>
      </c>
      <c r="H432" s="24" t="n">
        <f aca="false">E432-G432</f>
        <v>72053.6683417085</v>
      </c>
      <c r="I432" s="24" t="n">
        <f aca="false">I431+D432</f>
        <v>99020</v>
      </c>
      <c r="J432" s="16" t="n">
        <f aca="false">(H432+D432)*가정!$B$10</f>
        <v>72553.6683417085</v>
      </c>
      <c r="K432" s="24" t="n">
        <f aca="false">A432*가정!$B$8*가정!$B$7</f>
        <v>2140</v>
      </c>
      <c r="L432" s="11" t="n">
        <f aca="false">C432+F432</f>
        <v>100</v>
      </c>
    </row>
    <row r="433" customFormat="false" ht="15" hidden="false" customHeight="false" outlineLevel="0" collapsed="false">
      <c r="A433" s="11" t="n">
        <v>429</v>
      </c>
      <c r="B433" s="11" t="n">
        <f aca="false">MATCH(A433,월별!$C$6:$C$41,1)</f>
        <v>15</v>
      </c>
      <c r="C433" s="11" t="n">
        <f aca="false">L432</f>
        <v>100</v>
      </c>
      <c r="D433" s="24" t="n">
        <f aca="false">C433*가정!$B$8</f>
        <v>500</v>
      </c>
      <c r="E433" s="24" t="n">
        <f aca="false">H432+D432</f>
        <v>72553.6683417085</v>
      </c>
      <c r="F433" s="11" t="n">
        <f aca="false">IF(가정!$B$11=1,MAX(0,MIN(가정!$B$16-C433,INT(E433/가정!$B$17))),0)</f>
        <v>0</v>
      </c>
      <c r="G433" s="24" t="n">
        <f aca="false">F433*가정!$B$17</f>
        <v>0</v>
      </c>
      <c r="H433" s="24" t="n">
        <f aca="false">E433-G433</f>
        <v>72553.6683417085</v>
      </c>
      <c r="I433" s="24" t="n">
        <f aca="false">I432+D433</f>
        <v>99520</v>
      </c>
      <c r="J433" s="16" t="n">
        <f aca="false">(H433+D433)*가정!$B$10</f>
        <v>73053.6683417085</v>
      </c>
      <c r="K433" s="24" t="n">
        <f aca="false">A433*가정!$B$8*가정!$B$7</f>
        <v>2145</v>
      </c>
      <c r="L433" s="11" t="n">
        <f aca="false">C433+F433</f>
        <v>100</v>
      </c>
    </row>
    <row r="434" customFormat="false" ht="15" hidden="false" customHeight="false" outlineLevel="0" collapsed="false">
      <c r="A434" s="11" t="n">
        <v>430</v>
      </c>
      <c r="B434" s="11" t="n">
        <f aca="false">MATCH(A434,월별!$C$6:$C$41,1)</f>
        <v>15</v>
      </c>
      <c r="C434" s="11" t="n">
        <f aca="false">L433</f>
        <v>100</v>
      </c>
      <c r="D434" s="24" t="n">
        <f aca="false">C434*가정!$B$8</f>
        <v>500</v>
      </c>
      <c r="E434" s="24" t="n">
        <f aca="false">H433+D433</f>
        <v>73053.6683417085</v>
      </c>
      <c r="F434" s="11" t="n">
        <f aca="false">IF(가정!$B$11=1,MAX(0,MIN(가정!$B$16-C434,INT(E434/가정!$B$17))),0)</f>
        <v>0</v>
      </c>
      <c r="G434" s="24" t="n">
        <f aca="false">F434*가정!$B$17</f>
        <v>0</v>
      </c>
      <c r="H434" s="24" t="n">
        <f aca="false">E434-G434</f>
        <v>73053.6683417085</v>
      </c>
      <c r="I434" s="24" t="n">
        <f aca="false">I433+D434</f>
        <v>100020</v>
      </c>
      <c r="J434" s="16" t="n">
        <f aca="false">(H434+D434)*가정!$B$10</f>
        <v>73553.6683417085</v>
      </c>
      <c r="K434" s="24" t="n">
        <f aca="false">A434*가정!$B$8*가정!$B$7</f>
        <v>2150</v>
      </c>
      <c r="L434" s="11" t="n">
        <f aca="false">C434+F434</f>
        <v>100</v>
      </c>
    </row>
    <row r="435" customFormat="false" ht="15" hidden="false" customHeight="false" outlineLevel="0" collapsed="false">
      <c r="A435" s="11" t="n">
        <v>431</v>
      </c>
      <c r="B435" s="11" t="n">
        <f aca="false">MATCH(A435,월별!$C$6:$C$41,1)</f>
        <v>15</v>
      </c>
      <c r="C435" s="11" t="n">
        <f aca="false">L434</f>
        <v>100</v>
      </c>
      <c r="D435" s="24" t="n">
        <f aca="false">C435*가정!$B$8</f>
        <v>500</v>
      </c>
      <c r="E435" s="24" t="n">
        <f aca="false">H434+D434</f>
        <v>73553.6683417085</v>
      </c>
      <c r="F435" s="11" t="n">
        <f aca="false">IF(가정!$B$11=1,MAX(0,MIN(가정!$B$16-C435,INT(E435/가정!$B$17))),0)</f>
        <v>0</v>
      </c>
      <c r="G435" s="24" t="n">
        <f aca="false">F435*가정!$B$17</f>
        <v>0</v>
      </c>
      <c r="H435" s="24" t="n">
        <f aca="false">E435-G435</f>
        <v>73553.6683417085</v>
      </c>
      <c r="I435" s="24" t="n">
        <f aca="false">I434+D435</f>
        <v>100520</v>
      </c>
      <c r="J435" s="16" t="n">
        <f aca="false">(H435+D435)*가정!$B$10</f>
        <v>74053.6683417085</v>
      </c>
      <c r="K435" s="24" t="n">
        <f aca="false">A435*가정!$B$8*가정!$B$7</f>
        <v>2155</v>
      </c>
      <c r="L435" s="11" t="n">
        <f aca="false">C435+F435</f>
        <v>100</v>
      </c>
    </row>
    <row r="436" customFormat="false" ht="15" hidden="false" customHeight="false" outlineLevel="0" collapsed="false">
      <c r="A436" s="11" t="n">
        <v>432</v>
      </c>
      <c r="B436" s="11" t="n">
        <f aca="false">MATCH(A436,월별!$C$6:$C$41,1)</f>
        <v>15</v>
      </c>
      <c r="C436" s="11" t="n">
        <f aca="false">L435</f>
        <v>100</v>
      </c>
      <c r="D436" s="24" t="n">
        <f aca="false">C436*가정!$B$8</f>
        <v>500</v>
      </c>
      <c r="E436" s="24" t="n">
        <f aca="false">H435+D435</f>
        <v>74053.6683417085</v>
      </c>
      <c r="F436" s="11" t="n">
        <f aca="false">IF(가정!$B$11=1,MAX(0,MIN(가정!$B$16-C436,INT(E436/가정!$B$17))),0)</f>
        <v>0</v>
      </c>
      <c r="G436" s="24" t="n">
        <f aca="false">F436*가정!$B$17</f>
        <v>0</v>
      </c>
      <c r="H436" s="24" t="n">
        <f aca="false">E436-G436</f>
        <v>74053.6683417085</v>
      </c>
      <c r="I436" s="24" t="n">
        <f aca="false">I435+D436</f>
        <v>101020</v>
      </c>
      <c r="J436" s="16" t="n">
        <f aca="false">(H436+D436)*가정!$B$10</f>
        <v>74553.6683417085</v>
      </c>
      <c r="K436" s="24" t="n">
        <f aca="false">A436*가정!$B$8*가정!$B$7</f>
        <v>2160</v>
      </c>
      <c r="L436" s="11" t="n">
        <f aca="false">C436+F436</f>
        <v>100</v>
      </c>
    </row>
    <row r="437" customFormat="false" ht="15" hidden="false" customHeight="false" outlineLevel="0" collapsed="false">
      <c r="A437" s="11" t="n">
        <v>433</v>
      </c>
      <c r="B437" s="11" t="n">
        <f aca="false">MATCH(A437,월별!$C$6:$C$41,1)</f>
        <v>15</v>
      </c>
      <c r="C437" s="11" t="n">
        <f aca="false">L436</f>
        <v>100</v>
      </c>
      <c r="D437" s="24" t="n">
        <f aca="false">C437*가정!$B$8</f>
        <v>500</v>
      </c>
      <c r="E437" s="24" t="n">
        <f aca="false">H436+D436</f>
        <v>74553.6683417085</v>
      </c>
      <c r="F437" s="11" t="n">
        <f aca="false">IF(가정!$B$11=1,MAX(0,MIN(가정!$B$16-C437,INT(E437/가정!$B$17))),0)</f>
        <v>0</v>
      </c>
      <c r="G437" s="24" t="n">
        <f aca="false">F437*가정!$B$17</f>
        <v>0</v>
      </c>
      <c r="H437" s="24" t="n">
        <f aca="false">E437-G437</f>
        <v>74553.6683417085</v>
      </c>
      <c r="I437" s="24" t="n">
        <f aca="false">I436+D437</f>
        <v>101520</v>
      </c>
      <c r="J437" s="16" t="n">
        <f aca="false">(H437+D437)*가정!$B$10</f>
        <v>75053.6683417085</v>
      </c>
      <c r="K437" s="24" t="n">
        <f aca="false">A437*가정!$B$8*가정!$B$7</f>
        <v>2165</v>
      </c>
      <c r="L437" s="11" t="n">
        <f aca="false">C437+F437</f>
        <v>100</v>
      </c>
    </row>
    <row r="438" customFormat="false" ht="15" hidden="false" customHeight="false" outlineLevel="0" collapsed="false">
      <c r="A438" s="11" t="n">
        <v>434</v>
      </c>
      <c r="B438" s="11" t="n">
        <f aca="false">MATCH(A438,월별!$C$6:$C$41,1)</f>
        <v>15</v>
      </c>
      <c r="C438" s="11" t="n">
        <f aca="false">L437</f>
        <v>100</v>
      </c>
      <c r="D438" s="24" t="n">
        <f aca="false">C438*가정!$B$8</f>
        <v>500</v>
      </c>
      <c r="E438" s="24" t="n">
        <f aca="false">H437+D437</f>
        <v>75053.6683417085</v>
      </c>
      <c r="F438" s="11" t="n">
        <f aca="false">IF(가정!$B$11=1,MAX(0,MIN(가정!$B$16-C438,INT(E438/가정!$B$17))),0)</f>
        <v>0</v>
      </c>
      <c r="G438" s="24" t="n">
        <f aca="false">F438*가정!$B$17</f>
        <v>0</v>
      </c>
      <c r="H438" s="24" t="n">
        <f aca="false">E438-G438</f>
        <v>75053.6683417085</v>
      </c>
      <c r="I438" s="24" t="n">
        <f aca="false">I437+D438</f>
        <v>102020</v>
      </c>
      <c r="J438" s="16" t="n">
        <f aca="false">(H438+D438)*가정!$B$10</f>
        <v>75553.6683417085</v>
      </c>
      <c r="K438" s="24" t="n">
        <f aca="false">A438*가정!$B$8*가정!$B$7</f>
        <v>2170</v>
      </c>
      <c r="L438" s="11" t="n">
        <f aca="false">C438+F438</f>
        <v>100</v>
      </c>
    </row>
    <row r="439" customFormat="false" ht="15" hidden="false" customHeight="false" outlineLevel="0" collapsed="false">
      <c r="A439" s="11" t="n">
        <v>435</v>
      </c>
      <c r="B439" s="11" t="n">
        <f aca="false">MATCH(A439,월별!$C$6:$C$41,1)</f>
        <v>15</v>
      </c>
      <c r="C439" s="11" t="n">
        <f aca="false">L438</f>
        <v>100</v>
      </c>
      <c r="D439" s="24" t="n">
        <f aca="false">C439*가정!$B$8</f>
        <v>500</v>
      </c>
      <c r="E439" s="24" t="n">
        <f aca="false">H438+D438</f>
        <v>75553.6683417085</v>
      </c>
      <c r="F439" s="11" t="n">
        <f aca="false">IF(가정!$B$11=1,MAX(0,MIN(가정!$B$16-C439,INT(E439/가정!$B$17))),0)</f>
        <v>0</v>
      </c>
      <c r="G439" s="24" t="n">
        <f aca="false">F439*가정!$B$17</f>
        <v>0</v>
      </c>
      <c r="H439" s="24" t="n">
        <f aca="false">E439-G439</f>
        <v>75553.6683417085</v>
      </c>
      <c r="I439" s="24" t="n">
        <f aca="false">I438+D439</f>
        <v>102520</v>
      </c>
      <c r="J439" s="16" t="n">
        <f aca="false">(H439+D439)*가정!$B$10</f>
        <v>76053.6683417085</v>
      </c>
      <c r="K439" s="24" t="n">
        <f aca="false">A439*가정!$B$8*가정!$B$7</f>
        <v>2175</v>
      </c>
      <c r="L439" s="11" t="n">
        <f aca="false">C439+F439</f>
        <v>100</v>
      </c>
    </row>
    <row r="440" customFormat="false" ht="15" hidden="false" customHeight="false" outlineLevel="0" collapsed="false">
      <c r="A440" s="11" t="n">
        <v>436</v>
      </c>
      <c r="B440" s="11" t="n">
        <f aca="false">MATCH(A440,월별!$C$6:$C$41,1)</f>
        <v>15</v>
      </c>
      <c r="C440" s="11" t="n">
        <f aca="false">L439</f>
        <v>100</v>
      </c>
      <c r="D440" s="24" t="n">
        <f aca="false">C440*가정!$B$8</f>
        <v>500</v>
      </c>
      <c r="E440" s="24" t="n">
        <f aca="false">H439+D439</f>
        <v>76053.6683417085</v>
      </c>
      <c r="F440" s="11" t="n">
        <f aca="false">IF(가정!$B$11=1,MAX(0,MIN(가정!$B$16-C440,INT(E440/가정!$B$17))),0)</f>
        <v>0</v>
      </c>
      <c r="G440" s="24" t="n">
        <f aca="false">F440*가정!$B$17</f>
        <v>0</v>
      </c>
      <c r="H440" s="24" t="n">
        <f aca="false">E440-G440</f>
        <v>76053.6683417085</v>
      </c>
      <c r="I440" s="24" t="n">
        <f aca="false">I439+D440</f>
        <v>103020</v>
      </c>
      <c r="J440" s="16" t="n">
        <f aca="false">(H440+D440)*가정!$B$10</f>
        <v>76553.6683417085</v>
      </c>
      <c r="K440" s="24" t="n">
        <f aca="false">A440*가정!$B$8*가정!$B$7</f>
        <v>2180</v>
      </c>
      <c r="L440" s="11" t="n">
        <f aca="false">C440+F440</f>
        <v>100</v>
      </c>
    </row>
    <row r="441" customFormat="false" ht="15" hidden="false" customHeight="false" outlineLevel="0" collapsed="false">
      <c r="A441" s="11" t="n">
        <v>437</v>
      </c>
      <c r="B441" s="11" t="n">
        <f aca="false">MATCH(A441,월별!$C$6:$C$41,1)</f>
        <v>15</v>
      </c>
      <c r="C441" s="11" t="n">
        <f aca="false">L440</f>
        <v>100</v>
      </c>
      <c r="D441" s="24" t="n">
        <f aca="false">C441*가정!$B$8</f>
        <v>500</v>
      </c>
      <c r="E441" s="24" t="n">
        <f aca="false">H440+D440</f>
        <v>76553.6683417085</v>
      </c>
      <c r="F441" s="11" t="n">
        <f aca="false">IF(가정!$B$11=1,MAX(0,MIN(가정!$B$16-C441,INT(E441/가정!$B$17))),0)</f>
        <v>0</v>
      </c>
      <c r="G441" s="24" t="n">
        <f aca="false">F441*가정!$B$17</f>
        <v>0</v>
      </c>
      <c r="H441" s="24" t="n">
        <f aca="false">E441-G441</f>
        <v>76553.6683417085</v>
      </c>
      <c r="I441" s="24" t="n">
        <f aca="false">I440+D441</f>
        <v>103520</v>
      </c>
      <c r="J441" s="16" t="n">
        <f aca="false">(H441+D441)*가정!$B$10</f>
        <v>77053.6683417085</v>
      </c>
      <c r="K441" s="24" t="n">
        <f aca="false">A441*가정!$B$8*가정!$B$7</f>
        <v>2185</v>
      </c>
      <c r="L441" s="11" t="n">
        <f aca="false">C441+F441</f>
        <v>100</v>
      </c>
    </row>
    <row r="442" customFormat="false" ht="15" hidden="false" customHeight="false" outlineLevel="0" collapsed="false">
      <c r="A442" s="11" t="n">
        <v>438</v>
      </c>
      <c r="B442" s="11" t="n">
        <f aca="false">MATCH(A442,월별!$C$6:$C$41,1)</f>
        <v>15</v>
      </c>
      <c r="C442" s="11" t="n">
        <f aca="false">L441</f>
        <v>100</v>
      </c>
      <c r="D442" s="24" t="n">
        <f aca="false">C442*가정!$B$8</f>
        <v>500</v>
      </c>
      <c r="E442" s="24" t="n">
        <f aca="false">H441+D441</f>
        <v>77053.6683417085</v>
      </c>
      <c r="F442" s="11" t="n">
        <f aca="false">IF(가정!$B$11=1,MAX(0,MIN(가정!$B$16-C442,INT(E442/가정!$B$17))),0)</f>
        <v>0</v>
      </c>
      <c r="G442" s="24" t="n">
        <f aca="false">F442*가정!$B$17</f>
        <v>0</v>
      </c>
      <c r="H442" s="24" t="n">
        <f aca="false">E442-G442</f>
        <v>77053.6683417085</v>
      </c>
      <c r="I442" s="24" t="n">
        <f aca="false">I441+D442</f>
        <v>104020</v>
      </c>
      <c r="J442" s="16" t="n">
        <f aca="false">(H442+D442)*가정!$B$10</f>
        <v>77553.6683417085</v>
      </c>
      <c r="K442" s="24" t="n">
        <f aca="false">A442*가정!$B$8*가정!$B$7</f>
        <v>2190</v>
      </c>
      <c r="L442" s="11" t="n">
        <f aca="false">C442+F442</f>
        <v>100</v>
      </c>
    </row>
    <row r="443" customFormat="false" ht="15" hidden="false" customHeight="false" outlineLevel="0" collapsed="false">
      <c r="A443" s="11" t="n">
        <v>439</v>
      </c>
      <c r="B443" s="11" t="n">
        <f aca="false">MATCH(A443,월별!$C$6:$C$41,1)</f>
        <v>15</v>
      </c>
      <c r="C443" s="11" t="n">
        <f aca="false">L442</f>
        <v>100</v>
      </c>
      <c r="D443" s="24" t="n">
        <f aca="false">C443*가정!$B$8</f>
        <v>500</v>
      </c>
      <c r="E443" s="24" t="n">
        <f aca="false">H442+D442</f>
        <v>77553.6683417085</v>
      </c>
      <c r="F443" s="11" t="n">
        <f aca="false">IF(가정!$B$11=1,MAX(0,MIN(가정!$B$16-C443,INT(E443/가정!$B$17))),0)</f>
        <v>0</v>
      </c>
      <c r="G443" s="24" t="n">
        <f aca="false">F443*가정!$B$17</f>
        <v>0</v>
      </c>
      <c r="H443" s="24" t="n">
        <f aca="false">E443-G443</f>
        <v>77553.6683417085</v>
      </c>
      <c r="I443" s="24" t="n">
        <f aca="false">I442+D443</f>
        <v>104520</v>
      </c>
      <c r="J443" s="16" t="n">
        <f aca="false">(H443+D443)*가정!$B$10</f>
        <v>78053.6683417085</v>
      </c>
      <c r="K443" s="24" t="n">
        <f aca="false">A443*가정!$B$8*가정!$B$7</f>
        <v>2195</v>
      </c>
      <c r="L443" s="11" t="n">
        <f aca="false">C443+F443</f>
        <v>100</v>
      </c>
    </row>
    <row r="444" customFormat="false" ht="15" hidden="false" customHeight="false" outlineLevel="0" collapsed="false">
      <c r="A444" s="11" t="n">
        <v>440</v>
      </c>
      <c r="B444" s="11" t="n">
        <f aca="false">MATCH(A444,월별!$C$6:$C$41,1)</f>
        <v>15</v>
      </c>
      <c r="C444" s="11" t="n">
        <f aca="false">L443</f>
        <v>100</v>
      </c>
      <c r="D444" s="24" t="n">
        <f aca="false">C444*가정!$B$8</f>
        <v>500</v>
      </c>
      <c r="E444" s="24" t="n">
        <f aca="false">H443+D443</f>
        <v>78053.6683417085</v>
      </c>
      <c r="F444" s="11" t="n">
        <f aca="false">IF(가정!$B$11=1,MAX(0,MIN(가정!$B$16-C444,INT(E444/가정!$B$17))),0)</f>
        <v>0</v>
      </c>
      <c r="G444" s="24" t="n">
        <f aca="false">F444*가정!$B$17</f>
        <v>0</v>
      </c>
      <c r="H444" s="24" t="n">
        <f aca="false">E444-G444</f>
        <v>78053.6683417085</v>
      </c>
      <c r="I444" s="24" t="n">
        <f aca="false">I443+D444</f>
        <v>105020</v>
      </c>
      <c r="J444" s="16" t="n">
        <f aca="false">(H444+D444)*가정!$B$10</f>
        <v>78553.6683417085</v>
      </c>
      <c r="K444" s="24" t="n">
        <f aca="false">A444*가정!$B$8*가정!$B$7</f>
        <v>2200</v>
      </c>
      <c r="L444" s="11" t="n">
        <f aca="false">C444+F444</f>
        <v>100</v>
      </c>
    </row>
    <row r="445" customFormat="false" ht="15" hidden="false" customHeight="false" outlineLevel="0" collapsed="false">
      <c r="A445" s="11" t="n">
        <v>441</v>
      </c>
      <c r="B445" s="11" t="n">
        <f aca="false">MATCH(A445,월별!$C$6:$C$41,1)</f>
        <v>15</v>
      </c>
      <c r="C445" s="11" t="n">
        <f aca="false">L444</f>
        <v>100</v>
      </c>
      <c r="D445" s="24" t="n">
        <f aca="false">C445*가정!$B$8</f>
        <v>500</v>
      </c>
      <c r="E445" s="24" t="n">
        <f aca="false">H444+D444</f>
        <v>78553.6683417085</v>
      </c>
      <c r="F445" s="11" t="n">
        <f aca="false">IF(가정!$B$11=1,MAX(0,MIN(가정!$B$16-C445,INT(E445/가정!$B$17))),0)</f>
        <v>0</v>
      </c>
      <c r="G445" s="24" t="n">
        <f aca="false">F445*가정!$B$17</f>
        <v>0</v>
      </c>
      <c r="H445" s="24" t="n">
        <f aca="false">E445-G445</f>
        <v>78553.6683417085</v>
      </c>
      <c r="I445" s="24" t="n">
        <f aca="false">I444+D445</f>
        <v>105520</v>
      </c>
      <c r="J445" s="16" t="n">
        <f aca="false">(H445+D445)*가정!$B$10</f>
        <v>79053.6683417085</v>
      </c>
      <c r="K445" s="24" t="n">
        <f aca="false">A445*가정!$B$8*가정!$B$7</f>
        <v>2205</v>
      </c>
      <c r="L445" s="11" t="n">
        <f aca="false">C445+F445</f>
        <v>100</v>
      </c>
    </row>
    <row r="446" customFormat="false" ht="15" hidden="false" customHeight="false" outlineLevel="0" collapsed="false">
      <c r="A446" s="11" t="n">
        <v>442</v>
      </c>
      <c r="B446" s="11" t="n">
        <f aca="false">MATCH(A446,월별!$C$6:$C$41,1)</f>
        <v>15</v>
      </c>
      <c r="C446" s="11" t="n">
        <f aca="false">L445</f>
        <v>100</v>
      </c>
      <c r="D446" s="24" t="n">
        <f aca="false">C446*가정!$B$8</f>
        <v>500</v>
      </c>
      <c r="E446" s="24" t="n">
        <f aca="false">H445+D445</f>
        <v>79053.6683417085</v>
      </c>
      <c r="F446" s="11" t="n">
        <f aca="false">IF(가정!$B$11=1,MAX(0,MIN(가정!$B$16-C446,INT(E446/가정!$B$17))),0)</f>
        <v>0</v>
      </c>
      <c r="G446" s="24" t="n">
        <f aca="false">F446*가정!$B$17</f>
        <v>0</v>
      </c>
      <c r="H446" s="24" t="n">
        <f aca="false">E446-G446</f>
        <v>79053.6683417085</v>
      </c>
      <c r="I446" s="24" t="n">
        <f aca="false">I445+D446</f>
        <v>106020</v>
      </c>
      <c r="J446" s="16" t="n">
        <f aca="false">(H446+D446)*가정!$B$10</f>
        <v>79553.6683417085</v>
      </c>
      <c r="K446" s="24" t="n">
        <f aca="false">A446*가정!$B$8*가정!$B$7</f>
        <v>2210</v>
      </c>
      <c r="L446" s="11" t="n">
        <f aca="false">C446+F446</f>
        <v>100</v>
      </c>
    </row>
    <row r="447" customFormat="false" ht="15" hidden="false" customHeight="false" outlineLevel="0" collapsed="false">
      <c r="A447" s="11" t="n">
        <v>443</v>
      </c>
      <c r="B447" s="11" t="n">
        <f aca="false">MATCH(A447,월별!$C$6:$C$41,1)</f>
        <v>15</v>
      </c>
      <c r="C447" s="11" t="n">
        <f aca="false">L446</f>
        <v>100</v>
      </c>
      <c r="D447" s="24" t="n">
        <f aca="false">C447*가정!$B$8</f>
        <v>500</v>
      </c>
      <c r="E447" s="24" t="n">
        <f aca="false">H446+D446</f>
        <v>79553.6683417085</v>
      </c>
      <c r="F447" s="11" t="n">
        <f aca="false">IF(가정!$B$11=1,MAX(0,MIN(가정!$B$16-C447,INT(E447/가정!$B$17))),0)</f>
        <v>0</v>
      </c>
      <c r="G447" s="24" t="n">
        <f aca="false">F447*가정!$B$17</f>
        <v>0</v>
      </c>
      <c r="H447" s="24" t="n">
        <f aca="false">E447-G447</f>
        <v>79553.6683417085</v>
      </c>
      <c r="I447" s="24" t="n">
        <f aca="false">I446+D447</f>
        <v>106520</v>
      </c>
      <c r="J447" s="16" t="n">
        <f aca="false">(H447+D447)*가정!$B$10</f>
        <v>80053.6683417085</v>
      </c>
      <c r="K447" s="24" t="n">
        <f aca="false">A447*가정!$B$8*가정!$B$7</f>
        <v>2215</v>
      </c>
      <c r="L447" s="11" t="n">
        <f aca="false">C447+F447</f>
        <v>100</v>
      </c>
    </row>
    <row r="448" customFormat="false" ht="15" hidden="false" customHeight="false" outlineLevel="0" collapsed="false">
      <c r="A448" s="11" t="n">
        <v>444</v>
      </c>
      <c r="B448" s="11" t="n">
        <f aca="false">MATCH(A448,월별!$C$6:$C$41,1)</f>
        <v>15</v>
      </c>
      <c r="C448" s="11" t="n">
        <f aca="false">L447</f>
        <v>100</v>
      </c>
      <c r="D448" s="24" t="n">
        <f aca="false">C448*가정!$B$8</f>
        <v>500</v>
      </c>
      <c r="E448" s="24" t="n">
        <f aca="false">H447+D447</f>
        <v>80053.6683417085</v>
      </c>
      <c r="F448" s="11" t="n">
        <f aca="false">IF(가정!$B$11=1,MAX(0,MIN(가정!$B$16-C448,INT(E448/가정!$B$17))),0)</f>
        <v>0</v>
      </c>
      <c r="G448" s="24" t="n">
        <f aca="false">F448*가정!$B$17</f>
        <v>0</v>
      </c>
      <c r="H448" s="24" t="n">
        <f aca="false">E448-G448</f>
        <v>80053.6683417085</v>
      </c>
      <c r="I448" s="24" t="n">
        <f aca="false">I447+D448</f>
        <v>107020</v>
      </c>
      <c r="J448" s="16" t="n">
        <f aca="false">(H448+D448)*가정!$B$10</f>
        <v>80553.6683417085</v>
      </c>
      <c r="K448" s="24" t="n">
        <f aca="false">A448*가정!$B$8*가정!$B$7</f>
        <v>2220</v>
      </c>
      <c r="L448" s="11" t="n">
        <f aca="false">C448+F448</f>
        <v>100</v>
      </c>
    </row>
    <row r="449" customFormat="false" ht="15" hidden="false" customHeight="false" outlineLevel="0" collapsed="false">
      <c r="A449" s="11" t="n">
        <v>445</v>
      </c>
      <c r="B449" s="11" t="n">
        <f aca="false">MATCH(A449,월별!$C$6:$C$41,1)</f>
        <v>15</v>
      </c>
      <c r="C449" s="11" t="n">
        <f aca="false">L448</f>
        <v>100</v>
      </c>
      <c r="D449" s="24" t="n">
        <f aca="false">C449*가정!$B$8</f>
        <v>500</v>
      </c>
      <c r="E449" s="24" t="n">
        <f aca="false">H448+D448</f>
        <v>80553.6683417085</v>
      </c>
      <c r="F449" s="11" t="n">
        <f aca="false">IF(가정!$B$11=1,MAX(0,MIN(가정!$B$16-C449,INT(E449/가정!$B$17))),0)</f>
        <v>0</v>
      </c>
      <c r="G449" s="24" t="n">
        <f aca="false">F449*가정!$B$17</f>
        <v>0</v>
      </c>
      <c r="H449" s="24" t="n">
        <f aca="false">E449-G449</f>
        <v>80553.6683417085</v>
      </c>
      <c r="I449" s="24" t="n">
        <f aca="false">I448+D449</f>
        <v>107520</v>
      </c>
      <c r="J449" s="16" t="n">
        <f aca="false">(H449+D449)*가정!$B$10</f>
        <v>81053.6683417085</v>
      </c>
      <c r="K449" s="24" t="n">
        <f aca="false">A449*가정!$B$8*가정!$B$7</f>
        <v>2225</v>
      </c>
      <c r="L449" s="11" t="n">
        <f aca="false">C449+F449</f>
        <v>100</v>
      </c>
    </row>
    <row r="450" customFormat="false" ht="15" hidden="false" customHeight="false" outlineLevel="0" collapsed="false">
      <c r="A450" s="11" t="n">
        <v>446</v>
      </c>
      <c r="B450" s="11" t="n">
        <f aca="false">MATCH(A450,월별!$C$6:$C$41,1)</f>
        <v>15</v>
      </c>
      <c r="C450" s="11" t="n">
        <f aca="false">L449</f>
        <v>100</v>
      </c>
      <c r="D450" s="24" t="n">
        <f aca="false">C450*가정!$B$8</f>
        <v>500</v>
      </c>
      <c r="E450" s="24" t="n">
        <f aca="false">H449+D449</f>
        <v>81053.6683417085</v>
      </c>
      <c r="F450" s="11" t="n">
        <f aca="false">IF(가정!$B$11=1,MAX(0,MIN(가정!$B$16-C450,INT(E450/가정!$B$17))),0)</f>
        <v>0</v>
      </c>
      <c r="G450" s="24" t="n">
        <f aca="false">F450*가정!$B$17</f>
        <v>0</v>
      </c>
      <c r="H450" s="24" t="n">
        <f aca="false">E450-G450</f>
        <v>81053.6683417085</v>
      </c>
      <c r="I450" s="24" t="n">
        <f aca="false">I449+D450</f>
        <v>108020</v>
      </c>
      <c r="J450" s="16" t="n">
        <f aca="false">(H450+D450)*가정!$B$10</f>
        <v>81553.6683417085</v>
      </c>
      <c r="K450" s="24" t="n">
        <f aca="false">A450*가정!$B$8*가정!$B$7</f>
        <v>2230</v>
      </c>
      <c r="L450" s="11" t="n">
        <f aca="false">C450+F450</f>
        <v>100</v>
      </c>
    </row>
    <row r="451" customFormat="false" ht="15" hidden="false" customHeight="false" outlineLevel="0" collapsed="false">
      <c r="A451" s="11" t="n">
        <v>447</v>
      </c>
      <c r="B451" s="11" t="n">
        <f aca="false">MATCH(A451,월별!$C$6:$C$41,1)</f>
        <v>15</v>
      </c>
      <c r="C451" s="11" t="n">
        <f aca="false">L450</f>
        <v>100</v>
      </c>
      <c r="D451" s="24" t="n">
        <f aca="false">C451*가정!$B$8</f>
        <v>500</v>
      </c>
      <c r="E451" s="24" t="n">
        <f aca="false">H450+D450</f>
        <v>81553.6683417085</v>
      </c>
      <c r="F451" s="11" t="n">
        <f aca="false">IF(가정!$B$11=1,MAX(0,MIN(가정!$B$16-C451,INT(E451/가정!$B$17))),0)</f>
        <v>0</v>
      </c>
      <c r="G451" s="24" t="n">
        <f aca="false">F451*가정!$B$17</f>
        <v>0</v>
      </c>
      <c r="H451" s="24" t="n">
        <f aca="false">E451-G451</f>
        <v>81553.6683417085</v>
      </c>
      <c r="I451" s="24" t="n">
        <f aca="false">I450+D451</f>
        <v>108520</v>
      </c>
      <c r="J451" s="16" t="n">
        <f aca="false">(H451+D451)*가정!$B$10</f>
        <v>82053.6683417085</v>
      </c>
      <c r="K451" s="24" t="n">
        <f aca="false">A451*가정!$B$8*가정!$B$7</f>
        <v>2235</v>
      </c>
      <c r="L451" s="11" t="n">
        <f aca="false">C451+F451</f>
        <v>100</v>
      </c>
    </row>
    <row r="452" customFormat="false" ht="15" hidden="false" customHeight="false" outlineLevel="0" collapsed="false">
      <c r="A452" s="11" t="n">
        <v>448</v>
      </c>
      <c r="B452" s="11" t="n">
        <f aca="false">MATCH(A452,월별!$C$6:$C$41,1)</f>
        <v>15</v>
      </c>
      <c r="C452" s="11" t="n">
        <f aca="false">L451</f>
        <v>100</v>
      </c>
      <c r="D452" s="24" t="n">
        <f aca="false">C452*가정!$B$8</f>
        <v>500</v>
      </c>
      <c r="E452" s="24" t="n">
        <f aca="false">H451+D451</f>
        <v>82053.6683417085</v>
      </c>
      <c r="F452" s="11" t="n">
        <f aca="false">IF(가정!$B$11=1,MAX(0,MIN(가정!$B$16-C452,INT(E452/가정!$B$17))),0)</f>
        <v>0</v>
      </c>
      <c r="G452" s="24" t="n">
        <f aca="false">F452*가정!$B$17</f>
        <v>0</v>
      </c>
      <c r="H452" s="24" t="n">
        <f aca="false">E452-G452</f>
        <v>82053.6683417085</v>
      </c>
      <c r="I452" s="24" t="n">
        <f aca="false">I451+D452</f>
        <v>109020</v>
      </c>
      <c r="J452" s="16" t="n">
        <f aca="false">(H452+D452)*가정!$B$10</f>
        <v>82553.6683417085</v>
      </c>
      <c r="K452" s="24" t="n">
        <f aca="false">A452*가정!$B$8*가정!$B$7</f>
        <v>2240</v>
      </c>
      <c r="L452" s="11" t="n">
        <f aca="false">C452+F452</f>
        <v>100</v>
      </c>
    </row>
    <row r="453" customFormat="false" ht="15" hidden="false" customHeight="false" outlineLevel="0" collapsed="false">
      <c r="A453" s="11" t="n">
        <v>449</v>
      </c>
      <c r="B453" s="11" t="n">
        <f aca="false">MATCH(A453,월별!$C$6:$C$41,1)</f>
        <v>15</v>
      </c>
      <c r="C453" s="11" t="n">
        <f aca="false">L452</f>
        <v>100</v>
      </c>
      <c r="D453" s="24" t="n">
        <f aca="false">C453*가정!$B$8</f>
        <v>500</v>
      </c>
      <c r="E453" s="24" t="n">
        <f aca="false">H452+D452</f>
        <v>82553.6683417085</v>
      </c>
      <c r="F453" s="11" t="n">
        <f aca="false">IF(가정!$B$11=1,MAX(0,MIN(가정!$B$16-C453,INT(E453/가정!$B$17))),0)</f>
        <v>0</v>
      </c>
      <c r="G453" s="24" t="n">
        <f aca="false">F453*가정!$B$17</f>
        <v>0</v>
      </c>
      <c r="H453" s="24" t="n">
        <f aca="false">E453-G453</f>
        <v>82553.6683417085</v>
      </c>
      <c r="I453" s="24" t="n">
        <f aca="false">I452+D453</f>
        <v>109520</v>
      </c>
      <c r="J453" s="16" t="n">
        <f aca="false">(H453+D453)*가정!$B$10</f>
        <v>83053.6683417085</v>
      </c>
      <c r="K453" s="24" t="n">
        <f aca="false">A453*가정!$B$8*가정!$B$7</f>
        <v>2245</v>
      </c>
      <c r="L453" s="11" t="n">
        <f aca="false">C453+F453</f>
        <v>100</v>
      </c>
    </row>
    <row r="454" customFormat="false" ht="15" hidden="false" customHeight="false" outlineLevel="0" collapsed="false">
      <c r="A454" s="11" t="n">
        <v>450</v>
      </c>
      <c r="B454" s="11" t="n">
        <f aca="false">MATCH(A454,월별!$C$6:$C$41,1)</f>
        <v>15</v>
      </c>
      <c r="C454" s="11" t="n">
        <f aca="false">L453</f>
        <v>100</v>
      </c>
      <c r="D454" s="24" t="n">
        <f aca="false">C454*가정!$B$8</f>
        <v>500</v>
      </c>
      <c r="E454" s="24" t="n">
        <f aca="false">H453+D453</f>
        <v>83053.6683417085</v>
      </c>
      <c r="F454" s="11" t="n">
        <f aca="false">IF(가정!$B$11=1,MAX(0,MIN(가정!$B$16-C454,INT(E454/가정!$B$17))),0)</f>
        <v>0</v>
      </c>
      <c r="G454" s="24" t="n">
        <f aca="false">F454*가정!$B$17</f>
        <v>0</v>
      </c>
      <c r="H454" s="24" t="n">
        <f aca="false">E454-G454</f>
        <v>83053.6683417085</v>
      </c>
      <c r="I454" s="24" t="n">
        <f aca="false">I453+D454</f>
        <v>110020</v>
      </c>
      <c r="J454" s="16" t="n">
        <f aca="false">(H454+D454)*가정!$B$10</f>
        <v>83553.6683417085</v>
      </c>
      <c r="K454" s="24" t="n">
        <f aca="false">A454*가정!$B$8*가정!$B$7</f>
        <v>2250</v>
      </c>
      <c r="L454" s="11" t="n">
        <f aca="false">C454+F454</f>
        <v>100</v>
      </c>
    </row>
    <row r="455" customFormat="false" ht="15" hidden="false" customHeight="false" outlineLevel="0" collapsed="false">
      <c r="A455" s="11" t="n">
        <v>451</v>
      </c>
      <c r="B455" s="11" t="n">
        <f aca="false">MATCH(A455,월별!$C$6:$C$41,1)</f>
        <v>15</v>
      </c>
      <c r="C455" s="11" t="n">
        <f aca="false">L454</f>
        <v>100</v>
      </c>
      <c r="D455" s="24" t="n">
        <f aca="false">C455*가정!$B$8</f>
        <v>500</v>
      </c>
      <c r="E455" s="24" t="n">
        <f aca="false">H454+D454</f>
        <v>83553.6683417085</v>
      </c>
      <c r="F455" s="11" t="n">
        <f aca="false">IF(가정!$B$11=1,MAX(0,MIN(가정!$B$16-C455,INT(E455/가정!$B$17))),0)</f>
        <v>0</v>
      </c>
      <c r="G455" s="24" t="n">
        <f aca="false">F455*가정!$B$17</f>
        <v>0</v>
      </c>
      <c r="H455" s="24" t="n">
        <f aca="false">E455-G455</f>
        <v>83553.6683417085</v>
      </c>
      <c r="I455" s="24" t="n">
        <f aca="false">I454+D455</f>
        <v>110520</v>
      </c>
      <c r="J455" s="16" t="n">
        <f aca="false">(H455+D455)*가정!$B$10</f>
        <v>84053.6683417085</v>
      </c>
      <c r="K455" s="24" t="n">
        <f aca="false">A455*가정!$B$8*가정!$B$7</f>
        <v>2255</v>
      </c>
      <c r="L455" s="11" t="n">
        <f aca="false">C455+F455</f>
        <v>100</v>
      </c>
    </row>
    <row r="456" customFormat="false" ht="15" hidden="false" customHeight="false" outlineLevel="0" collapsed="false">
      <c r="A456" s="11" t="n">
        <v>452</v>
      </c>
      <c r="B456" s="11" t="n">
        <f aca="false">MATCH(A456,월별!$C$6:$C$41,1)</f>
        <v>15</v>
      </c>
      <c r="C456" s="11" t="n">
        <f aca="false">L455</f>
        <v>100</v>
      </c>
      <c r="D456" s="24" t="n">
        <f aca="false">C456*가정!$B$8</f>
        <v>500</v>
      </c>
      <c r="E456" s="24" t="n">
        <f aca="false">H455+D455</f>
        <v>84053.6683417085</v>
      </c>
      <c r="F456" s="11" t="n">
        <f aca="false">IF(가정!$B$11=1,MAX(0,MIN(가정!$B$16-C456,INT(E456/가정!$B$17))),0)</f>
        <v>0</v>
      </c>
      <c r="G456" s="24" t="n">
        <f aca="false">F456*가정!$B$17</f>
        <v>0</v>
      </c>
      <c r="H456" s="24" t="n">
        <f aca="false">E456-G456</f>
        <v>84053.6683417085</v>
      </c>
      <c r="I456" s="24" t="n">
        <f aca="false">I455+D456</f>
        <v>111020</v>
      </c>
      <c r="J456" s="16" t="n">
        <f aca="false">(H456+D456)*가정!$B$10</f>
        <v>84553.6683417085</v>
      </c>
      <c r="K456" s="24" t="n">
        <f aca="false">A456*가정!$B$8*가정!$B$7</f>
        <v>2260</v>
      </c>
      <c r="L456" s="11" t="n">
        <f aca="false">C456+F456</f>
        <v>100</v>
      </c>
    </row>
    <row r="457" customFormat="false" ht="15" hidden="false" customHeight="false" outlineLevel="0" collapsed="false">
      <c r="A457" s="11" t="n">
        <v>453</v>
      </c>
      <c r="B457" s="11" t="n">
        <f aca="false">MATCH(A457,월별!$C$6:$C$41,1)</f>
        <v>15</v>
      </c>
      <c r="C457" s="11" t="n">
        <f aca="false">L456</f>
        <v>100</v>
      </c>
      <c r="D457" s="24" t="n">
        <f aca="false">C457*가정!$B$8</f>
        <v>500</v>
      </c>
      <c r="E457" s="24" t="n">
        <f aca="false">H456+D456</f>
        <v>84553.6683417085</v>
      </c>
      <c r="F457" s="11" t="n">
        <f aca="false">IF(가정!$B$11=1,MAX(0,MIN(가정!$B$16-C457,INT(E457/가정!$B$17))),0)</f>
        <v>0</v>
      </c>
      <c r="G457" s="24" t="n">
        <f aca="false">F457*가정!$B$17</f>
        <v>0</v>
      </c>
      <c r="H457" s="24" t="n">
        <f aca="false">E457-G457</f>
        <v>84553.6683417085</v>
      </c>
      <c r="I457" s="24" t="n">
        <f aca="false">I456+D457</f>
        <v>111520</v>
      </c>
      <c r="J457" s="16" t="n">
        <f aca="false">(H457+D457)*가정!$B$10</f>
        <v>85053.6683417085</v>
      </c>
      <c r="K457" s="24" t="n">
        <f aca="false">A457*가정!$B$8*가정!$B$7</f>
        <v>2265</v>
      </c>
      <c r="L457" s="11" t="n">
        <f aca="false">C457+F457</f>
        <v>100</v>
      </c>
    </row>
    <row r="458" customFormat="false" ht="15" hidden="false" customHeight="false" outlineLevel="0" collapsed="false">
      <c r="A458" s="11" t="n">
        <v>454</v>
      </c>
      <c r="B458" s="11" t="n">
        <f aca="false">MATCH(A458,월별!$C$6:$C$41,1)</f>
        <v>15</v>
      </c>
      <c r="C458" s="11" t="n">
        <f aca="false">L457</f>
        <v>100</v>
      </c>
      <c r="D458" s="24" t="n">
        <f aca="false">C458*가정!$B$8</f>
        <v>500</v>
      </c>
      <c r="E458" s="24" t="n">
        <f aca="false">H457+D457</f>
        <v>85053.6683417085</v>
      </c>
      <c r="F458" s="11" t="n">
        <f aca="false">IF(가정!$B$11=1,MAX(0,MIN(가정!$B$16-C458,INT(E458/가정!$B$17))),0)</f>
        <v>0</v>
      </c>
      <c r="G458" s="24" t="n">
        <f aca="false">F458*가정!$B$17</f>
        <v>0</v>
      </c>
      <c r="H458" s="24" t="n">
        <f aca="false">E458-G458</f>
        <v>85053.6683417085</v>
      </c>
      <c r="I458" s="24" t="n">
        <f aca="false">I457+D458</f>
        <v>112020</v>
      </c>
      <c r="J458" s="16" t="n">
        <f aca="false">(H458+D458)*가정!$B$10</f>
        <v>85553.6683417085</v>
      </c>
      <c r="K458" s="24" t="n">
        <f aca="false">A458*가정!$B$8*가정!$B$7</f>
        <v>2270</v>
      </c>
      <c r="L458" s="11" t="n">
        <f aca="false">C458+F458</f>
        <v>100</v>
      </c>
    </row>
    <row r="459" customFormat="false" ht="15" hidden="false" customHeight="false" outlineLevel="0" collapsed="false">
      <c r="A459" s="11" t="n">
        <v>455</v>
      </c>
      <c r="B459" s="11" t="n">
        <f aca="false">MATCH(A459,월별!$C$6:$C$41,1)</f>
        <v>15</v>
      </c>
      <c r="C459" s="11" t="n">
        <f aca="false">L458</f>
        <v>100</v>
      </c>
      <c r="D459" s="24" t="n">
        <f aca="false">C459*가정!$B$8</f>
        <v>500</v>
      </c>
      <c r="E459" s="24" t="n">
        <f aca="false">H458+D458</f>
        <v>85553.6683417085</v>
      </c>
      <c r="F459" s="11" t="n">
        <f aca="false">IF(가정!$B$11=1,MAX(0,MIN(가정!$B$16-C459,INT(E459/가정!$B$17))),0)</f>
        <v>0</v>
      </c>
      <c r="G459" s="24" t="n">
        <f aca="false">F459*가정!$B$17</f>
        <v>0</v>
      </c>
      <c r="H459" s="24" t="n">
        <f aca="false">E459-G459</f>
        <v>85553.6683417085</v>
      </c>
      <c r="I459" s="24" t="n">
        <f aca="false">I458+D459</f>
        <v>112520</v>
      </c>
      <c r="J459" s="16" t="n">
        <f aca="false">(H459+D459)*가정!$B$10</f>
        <v>86053.6683417085</v>
      </c>
      <c r="K459" s="24" t="n">
        <f aca="false">A459*가정!$B$8*가정!$B$7</f>
        <v>2275</v>
      </c>
      <c r="L459" s="11" t="n">
        <f aca="false">C459+F459</f>
        <v>100</v>
      </c>
    </row>
    <row r="460" customFormat="false" ht="15" hidden="false" customHeight="false" outlineLevel="0" collapsed="false">
      <c r="A460" s="11" t="n">
        <v>456</v>
      </c>
      <c r="B460" s="11" t="n">
        <f aca="false">MATCH(A460,월별!$C$6:$C$41,1)</f>
        <v>15</v>
      </c>
      <c r="C460" s="11" t="n">
        <f aca="false">L459</f>
        <v>100</v>
      </c>
      <c r="D460" s="24" t="n">
        <f aca="false">C460*가정!$B$8</f>
        <v>500</v>
      </c>
      <c r="E460" s="24" t="n">
        <f aca="false">H459+D459</f>
        <v>86053.6683417085</v>
      </c>
      <c r="F460" s="11" t="n">
        <f aca="false">IF(가정!$B$11=1,MAX(0,MIN(가정!$B$16-C460,INT(E460/가정!$B$17))),0)</f>
        <v>0</v>
      </c>
      <c r="G460" s="24" t="n">
        <f aca="false">F460*가정!$B$17</f>
        <v>0</v>
      </c>
      <c r="H460" s="24" t="n">
        <f aca="false">E460-G460</f>
        <v>86053.6683417085</v>
      </c>
      <c r="I460" s="24" t="n">
        <f aca="false">I459+D460</f>
        <v>113020</v>
      </c>
      <c r="J460" s="16" t="n">
        <f aca="false">(H460+D460)*가정!$B$10</f>
        <v>86553.6683417085</v>
      </c>
      <c r="K460" s="24" t="n">
        <f aca="false">A460*가정!$B$8*가정!$B$7</f>
        <v>2280</v>
      </c>
      <c r="L460" s="11" t="n">
        <f aca="false">C460+F460</f>
        <v>100</v>
      </c>
    </row>
    <row r="461" customFormat="false" ht="15" hidden="false" customHeight="false" outlineLevel="0" collapsed="false">
      <c r="A461" s="11" t="n">
        <v>457</v>
      </c>
      <c r="B461" s="11" t="n">
        <f aca="false">MATCH(A461,월별!$C$6:$C$41,1)</f>
        <v>16</v>
      </c>
      <c r="C461" s="11" t="n">
        <f aca="false">L460</f>
        <v>100</v>
      </c>
      <c r="D461" s="24" t="n">
        <f aca="false">C461*가정!$B$8</f>
        <v>500</v>
      </c>
      <c r="E461" s="24" t="n">
        <f aca="false">H460+D460</f>
        <v>86553.6683417085</v>
      </c>
      <c r="F461" s="11" t="n">
        <f aca="false">IF(가정!$B$11=1,MAX(0,MIN(가정!$B$16-C461,INT(E461/가정!$B$17))),0)</f>
        <v>0</v>
      </c>
      <c r="G461" s="24" t="n">
        <f aca="false">F461*가정!$B$17</f>
        <v>0</v>
      </c>
      <c r="H461" s="24" t="n">
        <f aca="false">E461-G461</f>
        <v>86553.6683417085</v>
      </c>
      <c r="I461" s="24" t="n">
        <f aca="false">I460+D461</f>
        <v>113520</v>
      </c>
      <c r="J461" s="16" t="n">
        <f aca="false">(H461+D461)*가정!$B$10</f>
        <v>87053.6683417085</v>
      </c>
      <c r="K461" s="24" t="n">
        <f aca="false">A461*가정!$B$8*가정!$B$7</f>
        <v>2285</v>
      </c>
      <c r="L461" s="11" t="n">
        <f aca="false">C461+F461</f>
        <v>100</v>
      </c>
    </row>
    <row r="462" customFormat="false" ht="15" hidden="false" customHeight="false" outlineLevel="0" collapsed="false">
      <c r="A462" s="11" t="n">
        <v>458</v>
      </c>
      <c r="B462" s="11" t="n">
        <f aca="false">MATCH(A462,월별!$C$6:$C$41,1)</f>
        <v>16</v>
      </c>
      <c r="C462" s="11" t="n">
        <f aca="false">L461</f>
        <v>100</v>
      </c>
      <c r="D462" s="24" t="n">
        <f aca="false">C462*가정!$B$8</f>
        <v>500</v>
      </c>
      <c r="E462" s="24" t="n">
        <f aca="false">H461+D461</f>
        <v>87053.6683417085</v>
      </c>
      <c r="F462" s="11" t="n">
        <f aca="false">IF(가정!$B$11=1,MAX(0,MIN(가정!$B$16-C462,INT(E462/가정!$B$17))),0)</f>
        <v>0</v>
      </c>
      <c r="G462" s="24" t="n">
        <f aca="false">F462*가정!$B$17</f>
        <v>0</v>
      </c>
      <c r="H462" s="24" t="n">
        <f aca="false">E462-G462</f>
        <v>87053.6683417085</v>
      </c>
      <c r="I462" s="24" t="n">
        <f aca="false">I461+D462</f>
        <v>114020</v>
      </c>
      <c r="J462" s="16" t="n">
        <f aca="false">(H462+D462)*가정!$B$10</f>
        <v>87553.6683417085</v>
      </c>
      <c r="K462" s="24" t="n">
        <f aca="false">A462*가정!$B$8*가정!$B$7</f>
        <v>2290</v>
      </c>
      <c r="L462" s="11" t="n">
        <f aca="false">C462+F462</f>
        <v>100</v>
      </c>
    </row>
    <row r="463" customFormat="false" ht="15" hidden="false" customHeight="false" outlineLevel="0" collapsed="false">
      <c r="A463" s="11" t="n">
        <v>459</v>
      </c>
      <c r="B463" s="11" t="n">
        <f aca="false">MATCH(A463,월별!$C$6:$C$41,1)</f>
        <v>16</v>
      </c>
      <c r="C463" s="11" t="n">
        <f aca="false">L462</f>
        <v>100</v>
      </c>
      <c r="D463" s="24" t="n">
        <f aca="false">C463*가정!$B$8</f>
        <v>500</v>
      </c>
      <c r="E463" s="24" t="n">
        <f aca="false">H462+D462</f>
        <v>87553.6683417085</v>
      </c>
      <c r="F463" s="11" t="n">
        <f aca="false">IF(가정!$B$11=1,MAX(0,MIN(가정!$B$16-C463,INT(E463/가정!$B$17))),0)</f>
        <v>0</v>
      </c>
      <c r="G463" s="24" t="n">
        <f aca="false">F463*가정!$B$17</f>
        <v>0</v>
      </c>
      <c r="H463" s="24" t="n">
        <f aca="false">E463-G463</f>
        <v>87553.6683417085</v>
      </c>
      <c r="I463" s="24" t="n">
        <f aca="false">I462+D463</f>
        <v>114520</v>
      </c>
      <c r="J463" s="16" t="n">
        <f aca="false">(H463+D463)*가정!$B$10</f>
        <v>88053.6683417085</v>
      </c>
      <c r="K463" s="24" t="n">
        <f aca="false">A463*가정!$B$8*가정!$B$7</f>
        <v>2295</v>
      </c>
      <c r="L463" s="11" t="n">
        <f aca="false">C463+F463</f>
        <v>100</v>
      </c>
    </row>
    <row r="464" customFormat="false" ht="15" hidden="false" customHeight="false" outlineLevel="0" collapsed="false">
      <c r="A464" s="11" t="n">
        <v>460</v>
      </c>
      <c r="B464" s="11" t="n">
        <f aca="false">MATCH(A464,월별!$C$6:$C$41,1)</f>
        <v>16</v>
      </c>
      <c r="C464" s="11" t="n">
        <f aca="false">L463</f>
        <v>100</v>
      </c>
      <c r="D464" s="24" t="n">
        <f aca="false">C464*가정!$B$8</f>
        <v>500</v>
      </c>
      <c r="E464" s="24" t="n">
        <f aca="false">H463+D463</f>
        <v>88053.6683417085</v>
      </c>
      <c r="F464" s="11" t="n">
        <f aca="false">IF(가정!$B$11=1,MAX(0,MIN(가정!$B$16-C464,INT(E464/가정!$B$17))),0)</f>
        <v>0</v>
      </c>
      <c r="G464" s="24" t="n">
        <f aca="false">F464*가정!$B$17</f>
        <v>0</v>
      </c>
      <c r="H464" s="24" t="n">
        <f aca="false">E464-G464</f>
        <v>88053.6683417085</v>
      </c>
      <c r="I464" s="24" t="n">
        <f aca="false">I463+D464</f>
        <v>115020</v>
      </c>
      <c r="J464" s="16" t="n">
        <f aca="false">(H464+D464)*가정!$B$10</f>
        <v>88553.6683417085</v>
      </c>
      <c r="K464" s="24" t="n">
        <f aca="false">A464*가정!$B$8*가정!$B$7</f>
        <v>2300</v>
      </c>
      <c r="L464" s="11" t="n">
        <f aca="false">C464+F464</f>
        <v>100</v>
      </c>
    </row>
    <row r="465" customFormat="false" ht="15" hidden="false" customHeight="false" outlineLevel="0" collapsed="false">
      <c r="A465" s="11" t="n">
        <v>461</v>
      </c>
      <c r="B465" s="11" t="n">
        <f aca="false">MATCH(A465,월별!$C$6:$C$41,1)</f>
        <v>16</v>
      </c>
      <c r="C465" s="11" t="n">
        <f aca="false">L464</f>
        <v>100</v>
      </c>
      <c r="D465" s="24" t="n">
        <f aca="false">C465*가정!$B$8</f>
        <v>500</v>
      </c>
      <c r="E465" s="24" t="n">
        <f aca="false">H464+D464</f>
        <v>88553.6683417085</v>
      </c>
      <c r="F465" s="11" t="n">
        <f aca="false">IF(가정!$B$11=1,MAX(0,MIN(가정!$B$16-C465,INT(E465/가정!$B$17))),0)</f>
        <v>0</v>
      </c>
      <c r="G465" s="24" t="n">
        <f aca="false">F465*가정!$B$17</f>
        <v>0</v>
      </c>
      <c r="H465" s="24" t="n">
        <f aca="false">E465-G465</f>
        <v>88553.6683417085</v>
      </c>
      <c r="I465" s="24" t="n">
        <f aca="false">I464+D465</f>
        <v>115520</v>
      </c>
      <c r="J465" s="16" t="n">
        <f aca="false">(H465+D465)*가정!$B$10</f>
        <v>89053.6683417085</v>
      </c>
      <c r="K465" s="24" t="n">
        <f aca="false">A465*가정!$B$8*가정!$B$7</f>
        <v>2305</v>
      </c>
      <c r="L465" s="11" t="n">
        <f aca="false">C465+F465</f>
        <v>100</v>
      </c>
    </row>
    <row r="466" customFormat="false" ht="15" hidden="false" customHeight="false" outlineLevel="0" collapsed="false">
      <c r="A466" s="11" t="n">
        <v>462</v>
      </c>
      <c r="B466" s="11" t="n">
        <f aca="false">MATCH(A466,월별!$C$6:$C$41,1)</f>
        <v>16</v>
      </c>
      <c r="C466" s="11" t="n">
        <f aca="false">L465</f>
        <v>100</v>
      </c>
      <c r="D466" s="24" t="n">
        <f aca="false">C466*가정!$B$8</f>
        <v>500</v>
      </c>
      <c r="E466" s="24" t="n">
        <f aca="false">H465+D465</f>
        <v>89053.6683417085</v>
      </c>
      <c r="F466" s="11" t="n">
        <f aca="false">IF(가정!$B$11=1,MAX(0,MIN(가정!$B$16-C466,INT(E466/가정!$B$17))),0)</f>
        <v>0</v>
      </c>
      <c r="G466" s="24" t="n">
        <f aca="false">F466*가정!$B$17</f>
        <v>0</v>
      </c>
      <c r="H466" s="24" t="n">
        <f aca="false">E466-G466</f>
        <v>89053.6683417085</v>
      </c>
      <c r="I466" s="24" t="n">
        <f aca="false">I465+D466</f>
        <v>116020</v>
      </c>
      <c r="J466" s="16" t="n">
        <f aca="false">(H466+D466)*가정!$B$10</f>
        <v>89553.6683417085</v>
      </c>
      <c r="K466" s="24" t="n">
        <f aca="false">A466*가정!$B$8*가정!$B$7</f>
        <v>2310</v>
      </c>
      <c r="L466" s="11" t="n">
        <f aca="false">C466+F466</f>
        <v>100</v>
      </c>
    </row>
    <row r="467" customFormat="false" ht="15" hidden="false" customHeight="false" outlineLevel="0" collapsed="false">
      <c r="A467" s="11" t="n">
        <v>463</v>
      </c>
      <c r="B467" s="11" t="n">
        <f aca="false">MATCH(A467,월별!$C$6:$C$41,1)</f>
        <v>16</v>
      </c>
      <c r="C467" s="11" t="n">
        <f aca="false">L466</f>
        <v>100</v>
      </c>
      <c r="D467" s="24" t="n">
        <f aca="false">C467*가정!$B$8</f>
        <v>500</v>
      </c>
      <c r="E467" s="24" t="n">
        <f aca="false">H466+D466</f>
        <v>89553.6683417085</v>
      </c>
      <c r="F467" s="11" t="n">
        <f aca="false">IF(가정!$B$11=1,MAX(0,MIN(가정!$B$16-C467,INT(E467/가정!$B$17))),0)</f>
        <v>0</v>
      </c>
      <c r="G467" s="24" t="n">
        <f aca="false">F467*가정!$B$17</f>
        <v>0</v>
      </c>
      <c r="H467" s="24" t="n">
        <f aca="false">E467-G467</f>
        <v>89553.6683417085</v>
      </c>
      <c r="I467" s="24" t="n">
        <f aca="false">I466+D467</f>
        <v>116520</v>
      </c>
      <c r="J467" s="16" t="n">
        <f aca="false">(H467+D467)*가정!$B$10</f>
        <v>90053.6683417085</v>
      </c>
      <c r="K467" s="24" t="n">
        <f aca="false">A467*가정!$B$8*가정!$B$7</f>
        <v>2315</v>
      </c>
      <c r="L467" s="11" t="n">
        <f aca="false">C467+F467</f>
        <v>100</v>
      </c>
    </row>
    <row r="468" customFormat="false" ht="15" hidden="false" customHeight="false" outlineLevel="0" collapsed="false">
      <c r="A468" s="11" t="n">
        <v>464</v>
      </c>
      <c r="B468" s="11" t="n">
        <f aca="false">MATCH(A468,월별!$C$6:$C$41,1)</f>
        <v>16</v>
      </c>
      <c r="C468" s="11" t="n">
        <f aca="false">L467</f>
        <v>100</v>
      </c>
      <c r="D468" s="24" t="n">
        <f aca="false">C468*가정!$B$8</f>
        <v>500</v>
      </c>
      <c r="E468" s="24" t="n">
        <f aca="false">H467+D467</f>
        <v>90053.6683417085</v>
      </c>
      <c r="F468" s="11" t="n">
        <f aca="false">IF(가정!$B$11=1,MAX(0,MIN(가정!$B$16-C468,INT(E468/가정!$B$17))),0)</f>
        <v>0</v>
      </c>
      <c r="G468" s="24" t="n">
        <f aca="false">F468*가정!$B$17</f>
        <v>0</v>
      </c>
      <c r="H468" s="24" t="n">
        <f aca="false">E468-G468</f>
        <v>90053.6683417085</v>
      </c>
      <c r="I468" s="24" t="n">
        <f aca="false">I467+D468</f>
        <v>117020</v>
      </c>
      <c r="J468" s="16" t="n">
        <f aca="false">(H468+D468)*가정!$B$10</f>
        <v>90553.6683417085</v>
      </c>
      <c r="K468" s="24" t="n">
        <f aca="false">A468*가정!$B$8*가정!$B$7</f>
        <v>2320</v>
      </c>
      <c r="L468" s="11" t="n">
        <f aca="false">C468+F468</f>
        <v>100</v>
      </c>
    </row>
    <row r="469" customFormat="false" ht="15" hidden="false" customHeight="false" outlineLevel="0" collapsed="false">
      <c r="A469" s="11" t="n">
        <v>465</v>
      </c>
      <c r="B469" s="11" t="n">
        <f aca="false">MATCH(A469,월별!$C$6:$C$41,1)</f>
        <v>16</v>
      </c>
      <c r="C469" s="11" t="n">
        <f aca="false">L468</f>
        <v>100</v>
      </c>
      <c r="D469" s="24" t="n">
        <f aca="false">C469*가정!$B$8</f>
        <v>500</v>
      </c>
      <c r="E469" s="24" t="n">
        <f aca="false">H468+D468</f>
        <v>90553.6683417085</v>
      </c>
      <c r="F469" s="11" t="n">
        <f aca="false">IF(가정!$B$11=1,MAX(0,MIN(가정!$B$16-C469,INT(E469/가정!$B$17))),0)</f>
        <v>0</v>
      </c>
      <c r="G469" s="24" t="n">
        <f aca="false">F469*가정!$B$17</f>
        <v>0</v>
      </c>
      <c r="H469" s="24" t="n">
        <f aca="false">E469-G469</f>
        <v>90553.6683417085</v>
      </c>
      <c r="I469" s="24" t="n">
        <f aca="false">I468+D469</f>
        <v>117520</v>
      </c>
      <c r="J469" s="16" t="n">
        <f aca="false">(H469+D469)*가정!$B$10</f>
        <v>91053.6683417085</v>
      </c>
      <c r="K469" s="24" t="n">
        <f aca="false">A469*가정!$B$8*가정!$B$7</f>
        <v>2325</v>
      </c>
      <c r="L469" s="11" t="n">
        <f aca="false">C469+F469</f>
        <v>100</v>
      </c>
    </row>
    <row r="470" customFormat="false" ht="15" hidden="false" customHeight="false" outlineLevel="0" collapsed="false">
      <c r="A470" s="11" t="n">
        <v>466</v>
      </c>
      <c r="B470" s="11" t="n">
        <f aca="false">MATCH(A470,월별!$C$6:$C$41,1)</f>
        <v>16</v>
      </c>
      <c r="C470" s="11" t="n">
        <f aca="false">L469</f>
        <v>100</v>
      </c>
      <c r="D470" s="24" t="n">
        <f aca="false">C470*가정!$B$8</f>
        <v>500</v>
      </c>
      <c r="E470" s="24" t="n">
        <f aca="false">H469+D469</f>
        <v>91053.6683417085</v>
      </c>
      <c r="F470" s="11" t="n">
        <f aca="false">IF(가정!$B$11=1,MAX(0,MIN(가정!$B$16-C470,INT(E470/가정!$B$17))),0)</f>
        <v>0</v>
      </c>
      <c r="G470" s="24" t="n">
        <f aca="false">F470*가정!$B$17</f>
        <v>0</v>
      </c>
      <c r="H470" s="24" t="n">
        <f aca="false">E470-G470</f>
        <v>91053.6683417085</v>
      </c>
      <c r="I470" s="24" t="n">
        <f aca="false">I469+D470</f>
        <v>118020</v>
      </c>
      <c r="J470" s="16" t="n">
        <f aca="false">(H470+D470)*가정!$B$10</f>
        <v>91553.6683417085</v>
      </c>
      <c r="K470" s="24" t="n">
        <f aca="false">A470*가정!$B$8*가정!$B$7</f>
        <v>2330</v>
      </c>
      <c r="L470" s="11" t="n">
        <f aca="false">C470+F470</f>
        <v>100</v>
      </c>
    </row>
    <row r="471" customFormat="false" ht="15" hidden="false" customHeight="false" outlineLevel="0" collapsed="false">
      <c r="A471" s="11" t="n">
        <v>467</v>
      </c>
      <c r="B471" s="11" t="n">
        <f aca="false">MATCH(A471,월별!$C$6:$C$41,1)</f>
        <v>16</v>
      </c>
      <c r="C471" s="11" t="n">
        <f aca="false">L470</f>
        <v>100</v>
      </c>
      <c r="D471" s="24" t="n">
        <f aca="false">C471*가정!$B$8</f>
        <v>500</v>
      </c>
      <c r="E471" s="24" t="n">
        <f aca="false">H470+D470</f>
        <v>91553.6683417085</v>
      </c>
      <c r="F471" s="11" t="n">
        <f aca="false">IF(가정!$B$11=1,MAX(0,MIN(가정!$B$16-C471,INT(E471/가정!$B$17))),0)</f>
        <v>0</v>
      </c>
      <c r="G471" s="24" t="n">
        <f aca="false">F471*가정!$B$17</f>
        <v>0</v>
      </c>
      <c r="H471" s="24" t="n">
        <f aca="false">E471-G471</f>
        <v>91553.6683417085</v>
      </c>
      <c r="I471" s="24" t="n">
        <f aca="false">I470+D471</f>
        <v>118520</v>
      </c>
      <c r="J471" s="16" t="n">
        <f aca="false">(H471+D471)*가정!$B$10</f>
        <v>92053.6683417085</v>
      </c>
      <c r="K471" s="24" t="n">
        <f aca="false">A471*가정!$B$8*가정!$B$7</f>
        <v>2335</v>
      </c>
      <c r="L471" s="11" t="n">
        <f aca="false">C471+F471</f>
        <v>100</v>
      </c>
    </row>
    <row r="472" customFormat="false" ht="15" hidden="false" customHeight="false" outlineLevel="0" collapsed="false">
      <c r="A472" s="11" t="n">
        <v>468</v>
      </c>
      <c r="B472" s="11" t="n">
        <f aca="false">MATCH(A472,월별!$C$6:$C$41,1)</f>
        <v>16</v>
      </c>
      <c r="C472" s="11" t="n">
        <f aca="false">L471</f>
        <v>100</v>
      </c>
      <c r="D472" s="24" t="n">
        <f aca="false">C472*가정!$B$8</f>
        <v>500</v>
      </c>
      <c r="E472" s="24" t="n">
        <f aca="false">H471+D471</f>
        <v>92053.6683417085</v>
      </c>
      <c r="F472" s="11" t="n">
        <f aca="false">IF(가정!$B$11=1,MAX(0,MIN(가정!$B$16-C472,INT(E472/가정!$B$17))),0)</f>
        <v>0</v>
      </c>
      <c r="G472" s="24" t="n">
        <f aca="false">F472*가정!$B$17</f>
        <v>0</v>
      </c>
      <c r="H472" s="24" t="n">
        <f aca="false">E472-G472</f>
        <v>92053.6683417085</v>
      </c>
      <c r="I472" s="24" t="n">
        <f aca="false">I471+D472</f>
        <v>119020</v>
      </c>
      <c r="J472" s="16" t="n">
        <f aca="false">(H472+D472)*가정!$B$10</f>
        <v>92553.6683417085</v>
      </c>
      <c r="K472" s="24" t="n">
        <f aca="false">A472*가정!$B$8*가정!$B$7</f>
        <v>2340</v>
      </c>
      <c r="L472" s="11" t="n">
        <f aca="false">C472+F472</f>
        <v>100</v>
      </c>
    </row>
    <row r="473" customFormat="false" ht="15" hidden="false" customHeight="false" outlineLevel="0" collapsed="false">
      <c r="A473" s="11" t="n">
        <v>469</v>
      </c>
      <c r="B473" s="11" t="n">
        <f aca="false">MATCH(A473,월별!$C$6:$C$41,1)</f>
        <v>16</v>
      </c>
      <c r="C473" s="11" t="n">
        <f aca="false">L472</f>
        <v>100</v>
      </c>
      <c r="D473" s="24" t="n">
        <f aca="false">C473*가정!$B$8</f>
        <v>500</v>
      </c>
      <c r="E473" s="24" t="n">
        <f aca="false">H472+D472</f>
        <v>92553.6683417085</v>
      </c>
      <c r="F473" s="11" t="n">
        <f aca="false">IF(가정!$B$11=1,MAX(0,MIN(가정!$B$16-C473,INT(E473/가정!$B$17))),0)</f>
        <v>0</v>
      </c>
      <c r="G473" s="24" t="n">
        <f aca="false">F473*가정!$B$17</f>
        <v>0</v>
      </c>
      <c r="H473" s="24" t="n">
        <f aca="false">E473-G473</f>
        <v>92553.6683417085</v>
      </c>
      <c r="I473" s="24" t="n">
        <f aca="false">I472+D473</f>
        <v>119520</v>
      </c>
      <c r="J473" s="16" t="n">
        <f aca="false">(H473+D473)*가정!$B$10</f>
        <v>93053.6683417085</v>
      </c>
      <c r="K473" s="24" t="n">
        <f aca="false">A473*가정!$B$8*가정!$B$7</f>
        <v>2345</v>
      </c>
      <c r="L473" s="11" t="n">
        <f aca="false">C473+F473</f>
        <v>100</v>
      </c>
    </row>
    <row r="474" customFormat="false" ht="15" hidden="false" customHeight="false" outlineLevel="0" collapsed="false">
      <c r="A474" s="11" t="n">
        <v>470</v>
      </c>
      <c r="B474" s="11" t="n">
        <f aca="false">MATCH(A474,월별!$C$6:$C$41,1)</f>
        <v>16</v>
      </c>
      <c r="C474" s="11" t="n">
        <f aca="false">L473</f>
        <v>100</v>
      </c>
      <c r="D474" s="24" t="n">
        <f aca="false">C474*가정!$B$8</f>
        <v>500</v>
      </c>
      <c r="E474" s="24" t="n">
        <f aca="false">H473+D473</f>
        <v>93053.6683417085</v>
      </c>
      <c r="F474" s="11" t="n">
        <f aca="false">IF(가정!$B$11=1,MAX(0,MIN(가정!$B$16-C474,INT(E474/가정!$B$17))),0)</f>
        <v>0</v>
      </c>
      <c r="G474" s="24" t="n">
        <f aca="false">F474*가정!$B$17</f>
        <v>0</v>
      </c>
      <c r="H474" s="24" t="n">
        <f aca="false">E474-G474</f>
        <v>93053.6683417085</v>
      </c>
      <c r="I474" s="24" t="n">
        <f aca="false">I473+D474</f>
        <v>120020</v>
      </c>
      <c r="J474" s="16" t="n">
        <f aca="false">(H474+D474)*가정!$B$10</f>
        <v>93553.6683417085</v>
      </c>
      <c r="K474" s="24" t="n">
        <f aca="false">A474*가정!$B$8*가정!$B$7</f>
        <v>2350</v>
      </c>
      <c r="L474" s="11" t="n">
        <f aca="false">C474+F474</f>
        <v>100</v>
      </c>
    </row>
    <row r="475" customFormat="false" ht="15" hidden="false" customHeight="false" outlineLevel="0" collapsed="false">
      <c r="A475" s="11" t="n">
        <v>471</v>
      </c>
      <c r="B475" s="11" t="n">
        <f aca="false">MATCH(A475,월별!$C$6:$C$41,1)</f>
        <v>16</v>
      </c>
      <c r="C475" s="11" t="n">
        <f aca="false">L474</f>
        <v>100</v>
      </c>
      <c r="D475" s="24" t="n">
        <f aca="false">C475*가정!$B$8</f>
        <v>500</v>
      </c>
      <c r="E475" s="24" t="n">
        <f aca="false">H474+D474</f>
        <v>93553.6683417085</v>
      </c>
      <c r="F475" s="11" t="n">
        <f aca="false">IF(가정!$B$11=1,MAX(0,MIN(가정!$B$16-C475,INT(E475/가정!$B$17))),0)</f>
        <v>0</v>
      </c>
      <c r="G475" s="24" t="n">
        <f aca="false">F475*가정!$B$17</f>
        <v>0</v>
      </c>
      <c r="H475" s="24" t="n">
        <f aca="false">E475-G475</f>
        <v>93553.6683417085</v>
      </c>
      <c r="I475" s="24" t="n">
        <f aca="false">I474+D475</f>
        <v>120520</v>
      </c>
      <c r="J475" s="16" t="n">
        <f aca="false">(H475+D475)*가정!$B$10</f>
        <v>94053.6683417085</v>
      </c>
      <c r="K475" s="24" t="n">
        <f aca="false">A475*가정!$B$8*가정!$B$7</f>
        <v>2355</v>
      </c>
      <c r="L475" s="11" t="n">
        <f aca="false">C475+F475</f>
        <v>100</v>
      </c>
    </row>
    <row r="476" customFormat="false" ht="15" hidden="false" customHeight="false" outlineLevel="0" collapsed="false">
      <c r="A476" s="11" t="n">
        <v>472</v>
      </c>
      <c r="B476" s="11" t="n">
        <f aca="false">MATCH(A476,월별!$C$6:$C$41,1)</f>
        <v>16</v>
      </c>
      <c r="C476" s="11" t="n">
        <f aca="false">L475</f>
        <v>100</v>
      </c>
      <c r="D476" s="24" t="n">
        <f aca="false">C476*가정!$B$8</f>
        <v>500</v>
      </c>
      <c r="E476" s="24" t="n">
        <f aca="false">H475+D475</f>
        <v>94053.6683417085</v>
      </c>
      <c r="F476" s="11" t="n">
        <f aca="false">IF(가정!$B$11=1,MAX(0,MIN(가정!$B$16-C476,INT(E476/가정!$B$17))),0)</f>
        <v>0</v>
      </c>
      <c r="G476" s="24" t="n">
        <f aca="false">F476*가정!$B$17</f>
        <v>0</v>
      </c>
      <c r="H476" s="24" t="n">
        <f aca="false">E476-G476</f>
        <v>94053.6683417085</v>
      </c>
      <c r="I476" s="24" t="n">
        <f aca="false">I475+D476</f>
        <v>121020</v>
      </c>
      <c r="J476" s="16" t="n">
        <f aca="false">(H476+D476)*가정!$B$10</f>
        <v>94553.6683417085</v>
      </c>
      <c r="K476" s="24" t="n">
        <f aca="false">A476*가정!$B$8*가정!$B$7</f>
        <v>2360</v>
      </c>
      <c r="L476" s="11" t="n">
        <f aca="false">C476+F476</f>
        <v>100</v>
      </c>
    </row>
    <row r="477" customFormat="false" ht="15" hidden="false" customHeight="false" outlineLevel="0" collapsed="false">
      <c r="A477" s="11" t="n">
        <v>473</v>
      </c>
      <c r="B477" s="11" t="n">
        <f aca="false">MATCH(A477,월별!$C$6:$C$41,1)</f>
        <v>16</v>
      </c>
      <c r="C477" s="11" t="n">
        <f aca="false">L476</f>
        <v>100</v>
      </c>
      <c r="D477" s="24" t="n">
        <f aca="false">C477*가정!$B$8</f>
        <v>500</v>
      </c>
      <c r="E477" s="24" t="n">
        <f aca="false">H476+D476</f>
        <v>94553.6683417085</v>
      </c>
      <c r="F477" s="11" t="n">
        <f aca="false">IF(가정!$B$11=1,MAX(0,MIN(가정!$B$16-C477,INT(E477/가정!$B$17))),0)</f>
        <v>0</v>
      </c>
      <c r="G477" s="24" t="n">
        <f aca="false">F477*가정!$B$17</f>
        <v>0</v>
      </c>
      <c r="H477" s="24" t="n">
        <f aca="false">E477-G477</f>
        <v>94553.6683417085</v>
      </c>
      <c r="I477" s="24" t="n">
        <f aca="false">I476+D477</f>
        <v>121520</v>
      </c>
      <c r="J477" s="16" t="n">
        <f aca="false">(H477+D477)*가정!$B$10</f>
        <v>95053.6683417085</v>
      </c>
      <c r="K477" s="24" t="n">
        <f aca="false">A477*가정!$B$8*가정!$B$7</f>
        <v>2365</v>
      </c>
      <c r="L477" s="11" t="n">
        <f aca="false">C477+F477</f>
        <v>100</v>
      </c>
    </row>
    <row r="478" customFormat="false" ht="15" hidden="false" customHeight="false" outlineLevel="0" collapsed="false">
      <c r="A478" s="11" t="n">
        <v>474</v>
      </c>
      <c r="B478" s="11" t="n">
        <f aca="false">MATCH(A478,월별!$C$6:$C$41,1)</f>
        <v>16</v>
      </c>
      <c r="C478" s="11" t="n">
        <f aca="false">L477</f>
        <v>100</v>
      </c>
      <c r="D478" s="24" t="n">
        <f aca="false">C478*가정!$B$8</f>
        <v>500</v>
      </c>
      <c r="E478" s="24" t="n">
        <f aca="false">H477+D477</f>
        <v>95053.6683417085</v>
      </c>
      <c r="F478" s="11" t="n">
        <f aca="false">IF(가정!$B$11=1,MAX(0,MIN(가정!$B$16-C478,INT(E478/가정!$B$17))),0)</f>
        <v>0</v>
      </c>
      <c r="G478" s="24" t="n">
        <f aca="false">F478*가정!$B$17</f>
        <v>0</v>
      </c>
      <c r="H478" s="24" t="n">
        <f aca="false">E478-G478</f>
        <v>95053.6683417085</v>
      </c>
      <c r="I478" s="24" t="n">
        <f aca="false">I477+D478</f>
        <v>122020</v>
      </c>
      <c r="J478" s="16" t="n">
        <f aca="false">(H478+D478)*가정!$B$10</f>
        <v>95553.6683417085</v>
      </c>
      <c r="K478" s="24" t="n">
        <f aca="false">A478*가정!$B$8*가정!$B$7</f>
        <v>2370</v>
      </c>
      <c r="L478" s="11" t="n">
        <f aca="false">C478+F478</f>
        <v>100</v>
      </c>
    </row>
    <row r="479" customFormat="false" ht="15" hidden="false" customHeight="false" outlineLevel="0" collapsed="false">
      <c r="A479" s="11" t="n">
        <v>475</v>
      </c>
      <c r="B479" s="11" t="n">
        <f aca="false">MATCH(A479,월별!$C$6:$C$41,1)</f>
        <v>16</v>
      </c>
      <c r="C479" s="11" t="n">
        <f aca="false">L478</f>
        <v>100</v>
      </c>
      <c r="D479" s="24" t="n">
        <f aca="false">C479*가정!$B$8</f>
        <v>500</v>
      </c>
      <c r="E479" s="24" t="n">
        <f aca="false">H478+D478</f>
        <v>95553.6683417085</v>
      </c>
      <c r="F479" s="11" t="n">
        <f aca="false">IF(가정!$B$11=1,MAX(0,MIN(가정!$B$16-C479,INT(E479/가정!$B$17))),0)</f>
        <v>0</v>
      </c>
      <c r="G479" s="24" t="n">
        <f aca="false">F479*가정!$B$17</f>
        <v>0</v>
      </c>
      <c r="H479" s="24" t="n">
        <f aca="false">E479-G479</f>
        <v>95553.6683417085</v>
      </c>
      <c r="I479" s="24" t="n">
        <f aca="false">I478+D479</f>
        <v>122520</v>
      </c>
      <c r="J479" s="16" t="n">
        <f aca="false">(H479+D479)*가정!$B$10</f>
        <v>96053.6683417085</v>
      </c>
      <c r="K479" s="24" t="n">
        <f aca="false">A479*가정!$B$8*가정!$B$7</f>
        <v>2375</v>
      </c>
      <c r="L479" s="11" t="n">
        <f aca="false">C479+F479</f>
        <v>100</v>
      </c>
    </row>
    <row r="480" customFormat="false" ht="15" hidden="false" customHeight="false" outlineLevel="0" collapsed="false">
      <c r="A480" s="11" t="n">
        <v>476</v>
      </c>
      <c r="B480" s="11" t="n">
        <f aca="false">MATCH(A480,월별!$C$6:$C$41,1)</f>
        <v>16</v>
      </c>
      <c r="C480" s="11" t="n">
        <f aca="false">L479</f>
        <v>100</v>
      </c>
      <c r="D480" s="24" t="n">
        <f aca="false">C480*가정!$B$8</f>
        <v>500</v>
      </c>
      <c r="E480" s="24" t="n">
        <f aca="false">H479+D479</f>
        <v>96053.6683417085</v>
      </c>
      <c r="F480" s="11" t="n">
        <f aca="false">IF(가정!$B$11=1,MAX(0,MIN(가정!$B$16-C480,INT(E480/가정!$B$17))),0)</f>
        <v>0</v>
      </c>
      <c r="G480" s="24" t="n">
        <f aca="false">F480*가정!$B$17</f>
        <v>0</v>
      </c>
      <c r="H480" s="24" t="n">
        <f aca="false">E480-G480</f>
        <v>96053.6683417085</v>
      </c>
      <c r="I480" s="24" t="n">
        <f aca="false">I479+D480</f>
        <v>123020</v>
      </c>
      <c r="J480" s="16" t="n">
        <f aca="false">(H480+D480)*가정!$B$10</f>
        <v>96553.6683417085</v>
      </c>
      <c r="K480" s="24" t="n">
        <f aca="false">A480*가정!$B$8*가정!$B$7</f>
        <v>2380</v>
      </c>
      <c r="L480" s="11" t="n">
        <f aca="false">C480+F480</f>
        <v>100</v>
      </c>
    </row>
    <row r="481" customFormat="false" ht="15" hidden="false" customHeight="false" outlineLevel="0" collapsed="false">
      <c r="A481" s="11" t="n">
        <v>477</v>
      </c>
      <c r="B481" s="11" t="n">
        <f aca="false">MATCH(A481,월별!$C$6:$C$41,1)</f>
        <v>16</v>
      </c>
      <c r="C481" s="11" t="n">
        <f aca="false">L480</f>
        <v>100</v>
      </c>
      <c r="D481" s="24" t="n">
        <f aca="false">C481*가정!$B$8</f>
        <v>500</v>
      </c>
      <c r="E481" s="24" t="n">
        <f aca="false">H480+D480</f>
        <v>96553.6683417085</v>
      </c>
      <c r="F481" s="11" t="n">
        <f aca="false">IF(가정!$B$11=1,MAX(0,MIN(가정!$B$16-C481,INT(E481/가정!$B$17))),0)</f>
        <v>0</v>
      </c>
      <c r="G481" s="24" t="n">
        <f aca="false">F481*가정!$B$17</f>
        <v>0</v>
      </c>
      <c r="H481" s="24" t="n">
        <f aca="false">E481-G481</f>
        <v>96553.6683417085</v>
      </c>
      <c r="I481" s="24" t="n">
        <f aca="false">I480+D481</f>
        <v>123520</v>
      </c>
      <c r="J481" s="16" t="n">
        <f aca="false">(H481+D481)*가정!$B$10</f>
        <v>97053.6683417085</v>
      </c>
      <c r="K481" s="24" t="n">
        <f aca="false">A481*가정!$B$8*가정!$B$7</f>
        <v>2385</v>
      </c>
      <c r="L481" s="11" t="n">
        <f aca="false">C481+F481</f>
        <v>100</v>
      </c>
    </row>
    <row r="482" customFormat="false" ht="15" hidden="false" customHeight="false" outlineLevel="0" collapsed="false">
      <c r="A482" s="11" t="n">
        <v>478</v>
      </c>
      <c r="B482" s="11" t="n">
        <f aca="false">MATCH(A482,월별!$C$6:$C$41,1)</f>
        <v>16</v>
      </c>
      <c r="C482" s="11" t="n">
        <f aca="false">L481</f>
        <v>100</v>
      </c>
      <c r="D482" s="24" t="n">
        <f aca="false">C482*가정!$B$8</f>
        <v>500</v>
      </c>
      <c r="E482" s="24" t="n">
        <f aca="false">H481+D481</f>
        <v>97053.6683417085</v>
      </c>
      <c r="F482" s="11" t="n">
        <f aca="false">IF(가정!$B$11=1,MAX(0,MIN(가정!$B$16-C482,INT(E482/가정!$B$17))),0)</f>
        <v>0</v>
      </c>
      <c r="G482" s="24" t="n">
        <f aca="false">F482*가정!$B$17</f>
        <v>0</v>
      </c>
      <c r="H482" s="24" t="n">
        <f aca="false">E482-G482</f>
        <v>97053.6683417085</v>
      </c>
      <c r="I482" s="24" t="n">
        <f aca="false">I481+D482</f>
        <v>124020</v>
      </c>
      <c r="J482" s="16" t="n">
        <f aca="false">(H482+D482)*가정!$B$10</f>
        <v>97553.6683417085</v>
      </c>
      <c r="K482" s="24" t="n">
        <f aca="false">A482*가정!$B$8*가정!$B$7</f>
        <v>2390</v>
      </c>
      <c r="L482" s="11" t="n">
        <f aca="false">C482+F482</f>
        <v>100</v>
      </c>
    </row>
    <row r="483" customFormat="false" ht="15" hidden="false" customHeight="false" outlineLevel="0" collapsed="false">
      <c r="A483" s="11" t="n">
        <v>479</v>
      </c>
      <c r="B483" s="11" t="n">
        <f aca="false">MATCH(A483,월별!$C$6:$C$41,1)</f>
        <v>16</v>
      </c>
      <c r="C483" s="11" t="n">
        <f aca="false">L482</f>
        <v>100</v>
      </c>
      <c r="D483" s="24" t="n">
        <f aca="false">C483*가정!$B$8</f>
        <v>500</v>
      </c>
      <c r="E483" s="24" t="n">
        <f aca="false">H482+D482</f>
        <v>97553.6683417085</v>
      </c>
      <c r="F483" s="11" t="n">
        <f aca="false">IF(가정!$B$11=1,MAX(0,MIN(가정!$B$16-C483,INT(E483/가정!$B$17))),0)</f>
        <v>0</v>
      </c>
      <c r="G483" s="24" t="n">
        <f aca="false">F483*가정!$B$17</f>
        <v>0</v>
      </c>
      <c r="H483" s="24" t="n">
        <f aca="false">E483-G483</f>
        <v>97553.6683417085</v>
      </c>
      <c r="I483" s="24" t="n">
        <f aca="false">I482+D483</f>
        <v>124520</v>
      </c>
      <c r="J483" s="16" t="n">
        <f aca="false">(H483+D483)*가정!$B$10</f>
        <v>98053.6683417085</v>
      </c>
      <c r="K483" s="24" t="n">
        <f aca="false">A483*가정!$B$8*가정!$B$7</f>
        <v>2395</v>
      </c>
      <c r="L483" s="11" t="n">
        <f aca="false">C483+F483</f>
        <v>100</v>
      </c>
    </row>
    <row r="484" customFormat="false" ht="15" hidden="false" customHeight="false" outlineLevel="0" collapsed="false">
      <c r="A484" s="11" t="n">
        <v>480</v>
      </c>
      <c r="B484" s="11" t="n">
        <f aca="false">MATCH(A484,월별!$C$6:$C$41,1)</f>
        <v>16</v>
      </c>
      <c r="C484" s="11" t="n">
        <f aca="false">L483</f>
        <v>100</v>
      </c>
      <c r="D484" s="24" t="n">
        <f aca="false">C484*가정!$B$8</f>
        <v>500</v>
      </c>
      <c r="E484" s="24" t="n">
        <f aca="false">H483+D483</f>
        <v>98053.6683417085</v>
      </c>
      <c r="F484" s="11" t="n">
        <f aca="false">IF(가정!$B$11=1,MAX(0,MIN(가정!$B$16-C484,INT(E484/가정!$B$17))),0)</f>
        <v>0</v>
      </c>
      <c r="G484" s="24" t="n">
        <f aca="false">F484*가정!$B$17</f>
        <v>0</v>
      </c>
      <c r="H484" s="24" t="n">
        <f aca="false">E484-G484</f>
        <v>98053.6683417085</v>
      </c>
      <c r="I484" s="24" t="n">
        <f aca="false">I483+D484</f>
        <v>125020</v>
      </c>
      <c r="J484" s="16" t="n">
        <f aca="false">(H484+D484)*가정!$B$10</f>
        <v>98553.6683417085</v>
      </c>
      <c r="K484" s="24" t="n">
        <f aca="false">A484*가정!$B$8*가정!$B$7</f>
        <v>2400</v>
      </c>
      <c r="L484" s="11" t="n">
        <f aca="false">C484+F484</f>
        <v>100</v>
      </c>
    </row>
    <row r="485" customFormat="false" ht="15" hidden="false" customHeight="false" outlineLevel="0" collapsed="false">
      <c r="A485" s="11" t="n">
        <v>481</v>
      </c>
      <c r="B485" s="11" t="n">
        <f aca="false">MATCH(A485,월별!$C$6:$C$41,1)</f>
        <v>16</v>
      </c>
      <c r="C485" s="11" t="n">
        <f aca="false">L484</f>
        <v>100</v>
      </c>
      <c r="D485" s="24" t="n">
        <f aca="false">C485*가정!$B$8</f>
        <v>500</v>
      </c>
      <c r="E485" s="24" t="n">
        <f aca="false">H484+D484</f>
        <v>98553.6683417085</v>
      </c>
      <c r="F485" s="11" t="n">
        <f aca="false">IF(가정!$B$11=1,MAX(0,MIN(가정!$B$16-C485,INT(E485/가정!$B$17))),0)</f>
        <v>0</v>
      </c>
      <c r="G485" s="24" t="n">
        <f aca="false">F485*가정!$B$17</f>
        <v>0</v>
      </c>
      <c r="H485" s="24" t="n">
        <f aca="false">E485-G485</f>
        <v>98553.6683417085</v>
      </c>
      <c r="I485" s="24" t="n">
        <f aca="false">I484+D485</f>
        <v>125520</v>
      </c>
      <c r="J485" s="16" t="n">
        <f aca="false">(H485+D485)*가정!$B$10</f>
        <v>99053.6683417085</v>
      </c>
      <c r="K485" s="24" t="n">
        <f aca="false">A485*가정!$B$8*가정!$B$7</f>
        <v>2405</v>
      </c>
      <c r="L485" s="11" t="n">
        <f aca="false">C485+F485</f>
        <v>100</v>
      </c>
    </row>
    <row r="486" customFormat="false" ht="15" hidden="false" customHeight="false" outlineLevel="0" collapsed="false">
      <c r="A486" s="11" t="n">
        <v>482</v>
      </c>
      <c r="B486" s="11" t="n">
        <f aca="false">MATCH(A486,월별!$C$6:$C$41,1)</f>
        <v>16</v>
      </c>
      <c r="C486" s="11" t="n">
        <f aca="false">L485</f>
        <v>100</v>
      </c>
      <c r="D486" s="24" t="n">
        <f aca="false">C486*가정!$B$8</f>
        <v>500</v>
      </c>
      <c r="E486" s="24" t="n">
        <f aca="false">H485+D485</f>
        <v>99053.6683417085</v>
      </c>
      <c r="F486" s="11" t="n">
        <f aca="false">IF(가정!$B$11=1,MAX(0,MIN(가정!$B$16-C486,INT(E486/가정!$B$17))),0)</f>
        <v>0</v>
      </c>
      <c r="G486" s="24" t="n">
        <f aca="false">F486*가정!$B$17</f>
        <v>0</v>
      </c>
      <c r="H486" s="24" t="n">
        <f aca="false">E486-G486</f>
        <v>99053.6683417085</v>
      </c>
      <c r="I486" s="24" t="n">
        <f aca="false">I485+D486</f>
        <v>126020</v>
      </c>
      <c r="J486" s="16" t="n">
        <f aca="false">(H486+D486)*가정!$B$10</f>
        <v>99553.6683417085</v>
      </c>
      <c r="K486" s="24" t="n">
        <f aca="false">A486*가정!$B$8*가정!$B$7</f>
        <v>2410</v>
      </c>
      <c r="L486" s="11" t="n">
        <f aca="false">C486+F486</f>
        <v>100</v>
      </c>
    </row>
    <row r="487" customFormat="false" ht="15" hidden="false" customHeight="false" outlineLevel="0" collapsed="false">
      <c r="A487" s="11" t="n">
        <v>483</v>
      </c>
      <c r="B487" s="11" t="n">
        <f aca="false">MATCH(A487,월별!$C$6:$C$41,1)</f>
        <v>16</v>
      </c>
      <c r="C487" s="11" t="n">
        <f aca="false">L486</f>
        <v>100</v>
      </c>
      <c r="D487" s="24" t="n">
        <f aca="false">C487*가정!$B$8</f>
        <v>500</v>
      </c>
      <c r="E487" s="24" t="n">
        <f aca="false">H486+D486</f>
        <v>99553.6683417085</v>
      </c>
      <c r="F487" s="11" t="n">
        <f aca="false">IF(가정!$B$11=1,MAX(0,MIN(가정!$B$16-C487,INT(E487/가정!$B$17))),0)</f>
        <v>0</v>
      </c>
      <c r="G487" s="24" t="n">
        <f aca="false">F487*가정!$B$17</f>
        <v>0</v>
      </c>
      <c r="H487" s="24" t="n">
        <f aca="false">E487-G487</f>
        <v>99553.6683417085</v>
      </c>
      <c r="I487" s="24" t="n">
        <f aca="false">I486+D487</f>
        <v>126520</v>
      </c>
      <c r="J487" s="16" t="n">
        <f aca="false">(H487+D487)*가정!$B$10</f>
        <v>100053.668341709</v>
      </c>
      <c r="K487" s="24" t="n">
        <f aca="false">A487*가정!$B$8*가정!$B$7</f>
        <v>2415</v>
      </c>
      <c r="L487" s="11" t="n">
        <f aca="false">C487+F487</f>
        <v>100</v>
      </c>
    </row>
    <row r="488" customFormat="false" ht="15" hidden="false" customHeight="false" outlineLevel="0" collapsed="false">
      <c r="A488" s="11" t="n">
        <v>484</v>
      </c>
      <c r="B488" s="11" t="n">
        <f aca="false">MATCH(A488,월별!$C$6:$C$41,1)</f>
        <v>16</v>
      </c>
      <c r="C488" s="11" t="n">
        <f aca="false">L487</f>
        <v>100</v>
      </c>
      <c r="D488" s="24" t="n">
        <f aca="false">C488*가정!$B$8</f>
        <v>500</v>
      </c>
      <c r="E488" s="24" t="n">
        <f aca="false">H487+D487</f>
        <v>100053.668341709</v>
      </c>
      <c r="F488" s="11" t="n">
        <f aca="false">IF(가정!$B$11=1,MAX(0,MIN(가정!$B$16-C488,INT(E488/가정!$B$17))),0)</f>
        <v>0</v>
      </c>
      <c r="G488" s="24" t="n">
        <f aca="false">F488*가정!$B$17</f>
        <v>0</v>
      </c>
      <c r="H488" s="24" t="n">
        <f aca="false">E488-G488</f>
        <v>100053.668341709</v>
      </c>
      <c r="I488" s="24" t="n">
        <f aca="false">I487+D488</f>
        <v>127020</v>
      </c>
      <c r="J488" s="16" t="n">
        <f aca="false">(H488+D488)*가정!$B$10</f>
        <v>100553.668341709</v>
      </c>
      <c r="K488" s="24" t="n">
        <f aca="false">A488*가정!$B$8*가정!$B$7</f>
        <v>2420</v>
      </c>
      <c r="L488" s="11" t="n">
        <f aca="false">C488+F488</f>
        <v>100</v>
      </c>
    </row>
    <row r="489" customFormat="false" ht="15" hidden="false" customHeight="false" outlineLevel="0" collapsed="false">
      <c r="A489" s="11" t="n">
        <v>485</v>
      </c>
      <c r="B489" s="11" t="n">
        <f aca="false">MATCH(A489,월별!$C$6:$C$41,1)</f>
        <v>16</v>
      </c>
      <c r="C489" s="11" t="n">
        <f aca="false">L488</f>
        <v>100</v>
      </c>
      <c r="D489" s="24" t="n">
        <f aca="false">C489*가정!$B$8</f>
        <v>500</v>
      </c>
      <c r="E489" s="24" t="n">
        <f aca="false">H488+D488</f>
        <v>100553.668341709</v>
      </c>
      <c r="F489" s="11" t="n">
        <f aca="false">IF(가정!$B$11=1,MAX(0,MIN(가정!$B$16-C489,INT(E489/가정!$B$17))),0)</f>
        <v>0</v>
      </c>
      <c r="G489" s="24" t="n">
        <f aca="false">F489*가정!$B$17</f>
        <v>0</v>
      </c>
      <c r="H489" s="24" t="n">
        <f aca="false">E489-G489</f>
        <v>100553.668341709</v>
      </c>
      <c r="I489" s="24" t="n">
        <f aca="false">I488+D489</f>
        <v>127520</v>
      </c>
      <c r="J489" s="16" t="n">
        <f aca="false">(H489+D489)*가정!$B$10</f>
        <v>101053.668341709</v>
      </c>
      <c r="K489" s="24" t="n">
        <f aca="false">A489*가정!$B$8*가정!$B$7</f>
        <v>2425</v>
      </c>
      <c r="L489" s="11" t="n">
        <f aca="false">C489+F489</f>
        <v>100</v>
      </c>
    </row>
    <row r="490" customFormat="false" ht="15" hidden="false" customHeight="false" outlineLevel="0" collapsed="false">
      <c r="A490" s="11" t="n">
        <v>486</v>
      </c>
      <c r="B490" s="11" t="n">
        <f aca="false">MATCH(A490,월별!$C$6:$C$41,1)</f>
        <v>16</v>
      </c>
      <c r="C490" s="11" t="n">
        <f aca="false">L489</f>
        <v>100</v>
      </c>
      <c r="D490" s="24" t="n">
        <f aca="false">C490*가정!$B$8</f>
        <v>500</v>
      </c>
      <c r="E490" s="24" t="n">
        <f aca="false">H489+D489</f>
        <v>101053.668341709</v>
      </c>
      <c r="F490" s="11" t="n">
        <f aca="false">IF(가정!$B$11=1,MAX(0,MIN(가정!$B$16-C490,INT(E490/가정!$B$17))),0)</f>
        <v>0</v>
      </c>
      <c r="G490" s="24" t="n">
        <f aca="false">F490*가정!$B$17</f>
        <v>0</v>
      </c>
      <c r="H490" s="24" t="n">
        <f aca="false">E490-G490</f>
        <v>101053.668341709</v>
      </c>
      <c r="I490" s="24" t="n">
        <f aca="false">I489+D490</f>
        <v>128020</v>
      </c>
      <c r="J490" s="16" t="n">
        <f aca="false">(H490+D490)*가정!$B$10</f>
        <v>101553.668341709</v>
      </c>
      <c r="K490" s="24" t="n">
        <f aca="false">A490*가정!$B$8*가정!$B$7</f>
        <v>2430</v>
      </c>
      <c r="L490" s="11" t="n">
        <f aca="false">C490+F490</f>
        <v>100</v>
      </c>
    </row>
    <row r="491" customFormat="false" ht="15" hidden="false" customHeight="false" outlineLevel="0" collapsed="false">
      <c r="A491" s="11" t="n">
        <v>487</v>
      </c>
      <c r="B491" s="11" t="n">
        <f aca="false">MATCH(A491,월별!$C$6:$C$41,1)</f>
        <v>16</v>
      </c>
      <c r="C491" s="11" t="n">
        <f aca="false">L490</f>
        <v>100</v>
      </c>
      <c r="D491" s="24" t="n">
        <f aca="false">C491*가정!$B$8</f>
        <v>500</v>
      </c>
      <c r="E491" s="24" t="n">
        <f aca="false">H490+D490</f>
        <v>101553.668341709</v>
      </c>
      <c r="F491" s="11" t="n">
        <f aca="false">IF(가정!$B$11=1,MAX(0,MIN(가정!$B$16-C491,INT(E491/가정!$B$17))),0)</f>
        <v>0</v>
      </c>
      <c r="G491" s="24" t="n">
        <f aca="false">F491*가정!$B$17</f>
        <v>0</v>
      </c>
      <c r="H491" s="24" t="n">
        <f aca="false">E491-G491</f>
        <v>101553.668341709</v>
      </c>
      <c r="I491" s="24" t="n">
        <f aca="false">I490+D491</f>
        <v>128520</v>
      </c>
      <c r="J491" s="16" t="n">
        <f aca="false">(H491+D491)*가정!$B$10</f>
        <v>102053.668341709</v>
      </c>
      <c r="K491" s="24" t="n">
        <f aca="false">A491*가정!$B$8*가정!$B$7</f>
        <v>2435</v>
      </c>
      <c r="L491" s="11" t="n">
        <f aca="false">C491+F491</f>
        <v>100</v>
      </c>
    </row>
    <row r="492" customFormat="false" ht="15" hidden="false" customHeight="false" outlineLevel="0" collapsed="false">
      <c r="A492" s="11" t="n">
        <v>488</v>
      </c>
      <c r="B492" s="11" t="n">
        <f aca="false">MATCH(A492,월별!$C$6:$C$41,1)</f>
        <v>17</v>
      </c>
      <c r="C492" s="11" t="n">
        <f aca="false">L491</f>
        <v>100</v>
      </c>
      <c r="D492" s="24" t="n">
        <f aca="false">C492*가정!$B$8</f>
        <v>500</v>
      </c>
      <c r="E492" s="24" t="n">
        <f aca="false">H491+D491</f>
        <v>102053.668341709</v>
      </c>
      <c r="F492" s="11" t="n">
        <f aca="false">IF(가정!$B$11=1,MAX(0,MIN(가정!$B$16-C492,INT(E492/가정!$B$17))),0)</f>
        <v>0</v>
      </c>
      <c r="G492" s="24" t="n">
        <f aca="false">F492*가정!$B$17</f>
        <v>0</v>
      </c>
      <c r="H492" s="24" t="n">
        <f aca="false">E492-G492</f>
        <v>102053.668341709</v>
      </c>
      <c r="I492" s="24" t="n">
        <f aca="false">I491+D492</f>
        <v>129020</v>
      </c>
      <c r="J492" s="16" t="n">
        <f aca="false">(H492+D492)*가정!$B$10</f>
        <v>102553.668341709</v>
      </c>
      <c r="K492" s="24" t="n">
        <f aca="false">A492*가정!$B$8*가정!$B$7</f>
        <v>2440</v>
      </c>
      <c r="L492" s="11" t="n">
        <f aca="false">C492+F492</f>
        <v>100</v>
      </c>
    </row>
    <row r="493" customFormat="false" ht="15" hidden="false" customHeight="false" outlineLevel="0" collapsed="false">
      <c r="A493" s="11" t="n">
        <v>489</v>
      </c>
      <c r="B493" s="11" t="n">
        <f aca="false">MATCH(A493,월별!$C$6:$C$41,1)</f>
        <v>17</v>
      </c>
      <c r="C493" s="11" t="n">
        <f aca="false">L492</f>
        <v>100</v>
      </c>
      <c r="D493" s="24" t="n">
        <f aca="false">C493*가정!$B$8</f>
        <v>500</v>
      </c>
      <c r="E493" s="24" t="n">
        <f aca="false">H492+D492</f>
        <v>102553.668341709</v>
      </c>
      <c r="F493" s="11" t="n">
        <f aca="false">IF(가정!$B$11=1,MAX(0,MIN(가정!$B$16-C493,INT(E493/가정!$B$17))),0)</f>
        <v>0</v>
      </c>
      <c r="G493" s="24" t="n">
        <f aca="false">F493*가정!$B$17</f>
        <v>0</v>
      </c>
      <c r="H493" s="24" t="n">
        <f aca="false">E493-G493</f>
        <v>102553.668341709</v>
      </c>
      <c r="I493" s="24" t="n">
        <f aca="false">I492+D493</f>
        <v>129520</v>
      </c>
      <c r="J493" s="16" t="n">
        <f aca="false">(H493+D493)*가정!$B$10</f>
        <v>103053.668341709</v>
      </c>
      <c r="K493" s="24" t="n">
        <f aca="false">A493*가정!$B$8*가정!$B$7</f>
        <v>2445</v>
      </c>
      <c r="L493" s="11" t="n">
        <f aca="false">C493+F493</f>
        <v>100</v>
      </c>
    </row>
    <row r="494" customFormat="false" ht="15" hidden="false" customHeight="false" outlineLevel="0" collapsed="false">
      <c r="A494" s="11" t="n">
        <v>490</v>
      </c>
      <c r="B494" s="11" t="n">
        <f aca="false">MATCH(A494,월별!$C$6:$C$41,1)</f>
        <v>17</v>
      </c>
      <c r="C494" s="11" t="n">
        <f aca="false">L493</f>
        <v>100</v>
      </c>
      <c r="D494" s="24" t="n">
        <f aca="false">C494*가정!$B$8</f>
        <v>500</v>
      </c>
      <c r="E494" s="24" t="n">
        <f aca="false">H493+D493</f>
        <v>103053.668341709</v>
      </c>
      <c r="F494" s="11" t="n">
        <f aca="false">IF(가정!$B$11=1,MAX(0,MIN(가정!$B$16-C494,INT(E494/가정!$B$17))),0)</f>
        <v>0</v>
      </c>
      <c r="G494" s="24" t="n">
        <f aca="false">F494*가정!$B$17</f>
        <v>0</v>
      </c>
      <c r="H494" s="24" t="n">
        <f aca="false">E494-G494</f>
        <v>103053.668341709</v>
      </c>
      <c r="I494" s="24" t="n">
        <f aca="false">I493+D494</f>
        <v>130020</v>
      </c>
      <c r="J494" s="16" t="n">
        <f aca="false">(H494+D494)*가정!$B$10</f>
        <v>103553.668341709</v>
      </c>
      <c r="K494" s="24" t="n">
        <f aca="false">A494*가정!$B$8*가정!$B$7</f>
        <v>2450</v>
      </c>
      <c r="L494" s="11" t="n">
        <f aca="false">C494+F494</f>
        <v>100</v>
      </c>
    </row>
    <row r="495" customFormat="false" ht="15" hidden="false" customHeight="false" outlineLevel="0" collapsed="false">
      <c r="A495" s="11" t="n">
        <v>491</v>
      </c>
      <c r="B495" s="11" t="n">
        <f aca="false">MATCH(A495,월별!$C$6:$C$41,1)</f>
        <v>17</v>
      </c>
      <c r="C495" s="11" t="n">
        <f aca="false">L494</f>
        <v>100</v>
      </c>
      <c r="D495" s="24" t="n">
        <f aca="false">C495*가정!$B$8</f>
        <v>500</v>
      </c>
      <c r="E495" s="24" t="n">
        <f aca="false">H494+D494</f>
        <v>103553.668341709</v>
      </c>
      <c r="F495" s="11" t="n">
        <f aca="false">IF(가정!$B$11=1,MAX(0,MIN(가정!$B$16-C495,INT(E495/가정!$B$17))),0)</f>
        <v>0</v>
      </c>
      <c r="G495" s="24" t="n">
        <f aca="false">F495*가정!$B$17</f>
        <v>0</v>
      </c>
      <c r="H495" s="24" t="n">
        <f aca="false">E495-G495</f>
        <v>103553.668341709</v>
      </c>
      <c r="I495" s="24" t="n">
        <f aca="false">I494+D495</f>
        <v>130520</v>
      </c>
      <c r="J495" s="16" t="n">
        <f aca="false">(H495+D495)*가정!$B$10</f>
        <v>104053.668341709</v>
      </c>
      <c r="K495" s="24" t="n">
        <f aca="false">A495*가정!$B$8*가정!$B$7</f>
        <v>2455</v>
      </c>
      <c r="L495" s="11" t="n">
        <f aca="false">C495+F495</f>
        <v>100</v>
      </c>
    </row>
    <row r="496" customFormat="false" ht="15" hidden="false" customHeight="false" outlineLevel="0" collapsed="false">
      <c r="A496" s="11" t="n">
        <v>492</v>
      </c>
      <c r="B496" s="11" t="n">
        <f aca="false">MATCH(A496,월별!$C$6:$C$41,1)</f>
        <v>17</v>
      </c>
      <c r="C496" s="11" t="n">
        <f aca="false">L495</f>
        <v>100</v>
      </c>
      <c r="D496" s="24" t="n">
        <f aca="false">C496*가정!$B$8</f>
        <v>500</v>
      </c>
      <c r="E496" s="24" t="n">
        <f aca="false">H495+D495</f>
        <v>104053.668341709</v>
      </c>
      <c r="F496" s="11" t="n">
        <f aca="false">IF(가정!$B$11=1,MAX(0,MIN(가정!$B$16-C496,INT(E496/가정!$B$17))),0)</f>
        <v>0</v>
      </c>
      <c r="G496" s="24" t="n">
        <f aca="false">F496*가정!$B$17</f>
        <v>0</v>
      </c>
      <c r="H496" s="24" t="n">
        <f aca="false">E496-G496</f>
        <v>104053.668341709</v>
      </c>
      <c r="I496" s="24" t="n">
        <f aca="false">I495+D496</f>
        <v>131020</v>
      </c>
      <c r="J496" s="16" t="n">
        <f aca="false">(H496+D496)*가정!$B$10</f>
        <v>104553.668341709</v>
      </c>
      <c r="K496" s="24" t="n">
        <f aca="false">A496*가정!$B$8*가정!$B$7</f>
        <v>2460</v>
      </c>
      <c r="L496" s="11" t="n">
        <f aca="false">C496+F496</f>
        <v>100</v>
      </c>
    </row>
    <row r="497" customFormat="false" ht="15" hidden="false" customHeight="false" outlineLevel="0" collapsed="false">
      <c r="A497" s="11" t="n">
        <v>493</v>
      </c>
      <c r="B497" s="11" t="n">
        <f aca="false">MATCH(A497,월별!$C$6:$C$41,1)</f>
        <v>17</v>
      </c>
      <c r="C497" s="11" t="n">
        <f aca="false">L496</f>
        <v>100</v>
      </c>
      <c r="D497" s="24" t="n">
        <f aca="false">C497*가정!$B$8</f>
        <v>500</v>
      </c>
      <c r="E497" s="24" t="n">
        <f aca="false">H496+D496</f>
        <v>104553.668341709</v>
      </c>
      <c r="F497" s="11" t="n">
        <f aca="false">IF(가정!$B$11=1,MAX(0,MIN(가정!$B$16-C497,INT(E497/가정!$B$17))),0)</f>
        <v>0</v>
      </c>
      <c r="G497" s="24" t="n">
        <f aca="false">F497*가정!$B$17</f>
        <v>0</v>
      </c>
      <c r="H497" s="24" t="n">
        <f aca="false">E497-G497</f>
        <v>104553.668341709</v>
      </c>
      <c r="I497" s="24" t="n">
        <f aca="false">I496+D497</f>
        <v>131520</v>
      </c>
      <c r="J497" s="16" t="n">
        <f aca="false">(H497+D497)*가정!$B$10</f>
        <v>105053.668341709</v>
      </c>
      <c r="K497" s="24" t="n">
        <f aca="false">A497*가정!$B$8*가정!$B$7</f>
        <v>2465</v>
      </c>
      <c r="L497" s="11" t="n">
        <f aca="false">C497+F497</f>
        <v>100</v>
      </c>
    </row>
    <row r="498" customFormat="false" ht="15" hidden="false" customHeight="false" outlineLevel="0" collapsed="false">
      <c r="A498" s="11" t="n">
        <v>494</v>
      </c>
      <c r="B498" s="11" t="n">
        <f aca="false">MATCH(A498,월별!$C$6:$C$41,1)</f>
        <v>17</v>
      </c>
      <c r="C498" s="11" t="n">
        <f aca="false">L497</f>
        <v>100</v>
      </c>
      <c r="D498" s="24" t="n">
        <f aca="false">C498*가정!$B$8</f>
        <v>500</v>
      </c>
      <c r="E498" s="24" t="n">
        <f aca="false">H497+D497</f>
        <v>105053.668341709</v>
      </c>
      <c r="F498" s="11" t="n">
        <f aca="false">IF(가정!$B$11=1,MAX(0,MIN(가정!$B$16-C498,INT(E498/가정!$B$17))),0)</f>
        <v>0</v>
      </c>
      <c r="G498" s="24" t="n">
        <f aca="false">F498*가정!$B$17</f>
        <v>0</v>
      </c>
      <c r="H498" s="24" t="n">
        <f aca="false">E498-G498</f>
        <v>105053.668341709</v>
      </c>
      <c r="I498" s="24" t="n">
        <f aca="false">I497+D498</f>
        <v>132020</v>
      </c>
      <c r="J498" s="16" t="n">
        <f aca="false">(H498+D498)*가정!$B$10</f>
        <v>105553.668341709</v>
      </c>
      <c r="K498" s="24" t="n">
        <f aca="false">A498*가정!$B$8*가정!$B$7</f>
        <v>2470</v>
      </c>
      <c r="L498" s="11" t="n">
        <f aca="false">C498+F498</f>
        <v>100</v>
      </c>
    </row>
    <row r="499" customFormat="false" ht="15" hidden="false" customHeight="false" outlineLevel="0" collapsed="false">
      <c r="A499" s="11" t="n">
        <v>495</v>
      </c>
      <c r="B499" s="11" t="n">
        <f aca="false">MATCH(A499,월별!$C$6:$C$41,1)</f>
        <v>17</v>
      </c>
      <c r="C499" s="11" t="n">
        <f aca="false">L498</f>
        <v>100</v>
      </c>
      <c r="D499" s="24" t="n">
        <f aca="false">C499*가정!$B$8</f>
        <v>500</v>
      </c>
      <c r="E499" s="24" t="n">
        <f aca="false">H498+D498</f>
        <v>105553.668341709</v>
      </c>
      <c r="F499" s="11" t="n">
        <f aca="false">IF(가정!$B$11=1,MAX(0,MIN(가정!$B$16-C499,INT(E499/가정!$B$17))),0)</f>
        <v>0</v>
      </c>
      <c r="G499" s="24" t="n">
        <f aca="false">F499*가정!$B$17</f>
        <v>0</v>
      </c>
      <c r="H499" s="24" t="n">
        <f aca="false">E499-G499</f>
        <v>105553.668341709</v>
      </c>
      <c r="I499" s="24" t="n">
        <f aca="false">I498+D499</f>
        <v>132520</v>
      </c>
      <c r="J499" s="16" t="n">
        <f aca="false">(H499+D499)*가정!$B$10</f>
        <v>106053.668341709</v>
      </c>
      <c r="K499" s="24" t="n">
        <f aca="false">A499*가정!$B$8*가정!$B$7</f>
        <v>2475</v>
      </c>
      <c r="L499" s="11" t="n">
        <f aca="false">C499+F499</f>
        <v>100</v>
      </c>
    </row>
    <row r="500" customFormat="false" ht="15" hidden="false" customHeight="false" outlineLevel="0" collapsed="false">
      <c r="A500" s="11" t="n">
        <v>496</v>
      </c>
      <c r="B500" s="11" t="n">
        <f aca="false">MATCH(A500,월별!$C$6:$C$41,1)</f>
        <v>17</v>
      </c>
      <c r="C500" s="11" t="n">
        <f aca="false">L499</f>
        <v>100</v>
      </c>
      <c r="D500" s="24" t="n">
        <f aca="false">C500*가정!$B$8</f>
        <v>500</v>
      </c>
      <c r="E500" s="24" t="n">
        <f aca="false">H499+D499</f>
        <v>106053.668341709</v>
      </c>
      <c r="F500" s="11" t="n">
        <f aca="false">IF(가정!$B$11=1,MAX(0,MIN(가정!$B$16-C500,INT(E500/가정!$B$17))),0)</f>
        <v>0</v>
      </c>
      <c r="G500" s="24" t="n">
        <f aca="false">F500*가정!$B$17</f>
        <v>0</v>
      </c>
      <c r="H500" s="24" t="n">
        <f aca="false">E500-G500</f>
        <v>106053.668341709</v>
      </c>
      <c r="I500" s="24" t="n">
        <f aca="false">I499+D500</f>
        <v>133020</v>
      </c>
      <c r="J500" s="16" t="n">
        <f aca="false">(H500+D500)*가정!$B$10</f>
        <v>106553.668341709</v>
      </c>
      <c r="K500" s="24" t="n">
        <f aca="false">A500*가정!$B$8*가정!$B$7</f>
        <v>2480</v>
      </c>
      <c r="L500" s="11" t="n">
        <f aca="false">C500+F500</f>
        <v>100</v>
      </c>
    </row>
    <row r="501" customFormat="false" ht="15" hidden="false" customHeight="false" outlineLevel="0" collapsed="false">
      <c r="A501" s="11" t="n">
        <v>497</v>
      </c>
      <c r="B501" s="11" t="n">
        <f aca="false">MATCH(A501,월별!$C$6:$C$41,1)</f>
        <v>17</v>
      </c>
      <c r="C501" s="11" t="n">
        <f aca="false">L500</f>
        <v>100</v>
      </c>
      <c r="D501" s="24" t="n">
        <f aca="false">C501*가정!$B$8</f>
        <v>500</v>
      </c>
      <c r="E501" s="24" t="n">
        <f aca="false">H500+D500</f>
        <v>106553.668341709</v>
      </c>
      <c r="F501" s="11" t="n">
        <f aca="false">IF(가정!$B$11=1,MAX(0,MIN(가정!$B$16-C501,INT(E501/가정!$B$17))),0)</f>
        <v>0</v>
      </c>
      <c r="G501" s="24" t="n">
        <f aca="false">F501*가정!$B$17</f>
        <v>0</v>
      </c>
      <c r="H501" s="24" t="n">
        <f aca="false">E501-G501</f>
        <v>106553.668341709</v>
      </c>
      <c r="I501" s="24" t="n">
        <f aca="false">I500+D501</f>
        <v>133520</v>
      </c>
      <c r="J501" s="16" t="n">
        <f aca="false">(H501+D501)*가정!$B$10</f>
        <v>107053.668341709</v>
      </c>
      <c r="K501" s="24" t="n">
        <f aca="false">A501*가정!$B$8*가정!$B$7</f>
        <v>2485</v>
      </c>
      <c r="L501" s="11" t="n">
        <f aca="false">C501+F501</f>
        <v>100</v>
      </c>
    </row>
    <row r="502" customFormat="false" ht="15" hidden="false" customHeight="false" outlineLevel="0" collapsed="false">
      <c r="A502" s="11" t="n">
        <v>498</v>
      </c>
      <c r="B502" s="11" t="n">
        <f aca="false">MATCH(A502,월별!$C$6:$C$41,1)</f>
        <v>17</v>
      </c>
      <c r="C502" s="11" t="n">
        <f aca="false">L501</f>
        <v>100</v>
      </c>
      <c r="D502" s="24" t="n">
        <f aca="false">C502*가정!$B$8</f>
        <v>500</v>
      </c>
      <c r="E502" s="24" t="n">
        <f aca="false">H501+D501</f>
        <v>107053.668341709</v>
      </c>
      <c r="F502" s="11" t="n">
        <f aca="false">IF(가정!$B$11=1,MAX(0,MIN(가정!$B$16-C502,INT(E502/가정!$B$17))),0)</f>
        <v>0</v>
      </c>
      <c r="G502" s="24" t="n">
        <f aca="false">F502*가정!$B$17</f>
        <v>0</v>
      </c>
      <c r="H502" s="24" t="n">
        <f aca="false">E502-G502</f>
        <v>107053.668341709</v>
      </c>
      <c r="I502" s="24" t="n">
        <f aca="false">I501+D502</f>
        <v>134020</v>
      </c>
      <c r="J502" s="16" t="n">
        <f aca="false">(H502+D502)*가정!$B$10</f>
        <v>107553.668341709</v>
      </c>
      <c r="K502" s="24" t="n">
        <f aca="false">A502*가정!$B$8*가정!$B$7</f>
        <v>2490</v>
      </c>
      <c r="L502" s="11" t="n">
        <f aca="false">C502+F502</f>
        <v>100</v>
      </c>
    </row>
    <row r="503" customFormat="false" ht="15" hidden="false" customHeight="false" outlineLevel="0" collapsed="false">
      <c r="A503" s="11" t="n">
        <v>499</v>
      </c>
      <c r="B503" s="11" t="n">
        <f aca="false">MATCH(A503,월별!$C$6:$C$41,1)</f>
        <v>17</v>
      </c>
      <c r="C503" s="11" t="n">
        <f aca="false">L502</f>
        <v>100</v>
      </c>
      <c r="D503" s="24" t="n">
        <f aca="false">C503*가정!$B$8</f>
        <v>500</v>
      </c>
      <c r="E503" s="24" t="n">
        <f aca="false">H502+D502</f>
        <v>107553.668341709</v>
      </c>
      <c r="F503" s="11" t="n">
        <f aca="false">IF(가정!$B$11=1,MAX(0,MIN(가정!$B$16-C503,INT(E503/가정!$B$17))),0)</f>
        <v>0</v>
      </c>
      <c r="G503" s="24" t="n">
        <f aca="false">F503*가정!$B$17</f>
        <v>0</v>
      </c>
      <c r="H503" s="24" t="n">
        <f aca="false">E503-G503</f>
        <v>107553.668341709</v>
      </c>
      <c r="I503" s="24" t="n">
        <f aca="false">I502+D503</f>
        <v>134520</v>
      </c>
      <c r="J503" s="16" t="n">
        <f aca="false">(H503+D503)*가정!$B$10</f>
        <v>108053.668341709</v>
      </c>
      <c r="K503" s="24" t="n">
        <f aca="false">A503*가정!$B$8*가정!$B$7</f>
        <v>2495</v>
      </c>
      <c r="L503" s="11" t="n">
        <f aca="false">C503+F503</f>
        <v>100</v>
      </c>
    </row>
    <row r="504" customFormat="false" ht="15" hidden="false" customHeight="false" outlineLevel="0" collapsed="false">
      <c r="A504" s="11" t="n">
        <v>500</v>
      </c>
      <c r="B504" s="11" t="n">
        <f aca="false">MATCH(A504,월별!$C$6:$C$41,1)</f>
        <v>17</v>
      </c>
      <c r="C504" s="11" t="n">
        <f aca="false">L503</f>
        <v>100</v>
      </c>
      <c r="D504" s="24" t="n">
        <f aca="false">C504*가정!$B$8</f>
        <v>500</v>
      </c>
      <c r="E504" s="24" t="n">
        <f aca="false">H503+D503</f>
        <v>108053.668341709</v>
      </c>
      <c r="F504" s="11" t="n">
        <f aca="false">IF(가정!$B$11=1,MAX(0,MIN(가정!$B$16-C504,INT(E504/가정!$B$17))),0)</f>
        <v>0</v>
      </c>
      <c r="G504" s="24" t="n">
        <f aca="false">F504*가정!$B$17</f>
        <v>0</v>
      </c>
      <c r="H504" s="24" t="n">
        <f aca="false">E504-G504</f>
        <v>108053.668341709</v>
      </c>
      <c r="I504" s="24" t="n">
        <f aca="false">I503+D504</f>
        <v>135020</v>
      </c>
      <c r="J504" s="16" t="n">
        <f aca="false">(H504+D504)*가정!$B$10</f>
        <v>108553.668341709</v>
      </c>
      <c r="K504" s="24" t="n">
        <f aca="false">A504*가정!$B$8*가정!$B$7</f>
        <v>2500</v>
      </c>
      <c r="L504" s="11" t="n">
        <f aca="false">C504+F504</f>
        <v>100</v>
      </c>
    </row>
    <row r="505" customFormat="false" ht="15" hidden="false" customHeight="false" outlineLevel="0" collapsed="false">
      <c r="A505" s="11" t="n">
        <v>501</v>
      </c>
      <c r="B505" s="11" t="n">
        <f aca="false">MATCH(A505,월별!$C$6:$C$41,1)</f>
        <v>17</v>
      </c>
      <c r="C505" s="11" t="n">
        <f aca="false">L504</f>
        <v>100</v>
      </c>
      <c r="D505" s="24" t="n">
        <f aca="false">C505*가정!$B$8</f>
        <v>500</v>
      </c>
      <c r="E505" s="24" t="n">
        <f aca="false">H504+D504</f>
        <v>108553.668341709</v>
      </c>
      <c r="F505" s="11" t="n">
        <f aca="false">IF(가정!$B$11=1,MAX(0,MIN(가정!$B$16-C505,INT(E505/가정!$B$17))),0)</f>
        <v>0</v>
      </c>
      <c r="G505" s="24" t="n">
        <f aca="false">F505*가정!$B$17</f>
        <v>0</v>
      </c>
      <c r="H505" s="24" t="n">
        <f aca="false">E505-G505</f>
        <v>108553.668341709</v>
      </c>
      <c r="I505" s="24" t="n">
        <f aca="false">I504+D505</f>
        <v>135520</v>
      </c>
      <c r="J505" s="16" t="n">
        <f aca="false">(H505+D505)*가정!$B$10</f>
        <v>109053.668341709</v>
      </c>
      <c r="K505" s="24" t="n">
        <f aca="false">A505*가정!$B$8*가정!$B$7</f>
        <v>2505</v>
      </c>
      <c r="L505" s="11" t="n">
        <f aca="false">C505+F505</f>
        <v>100</v>
      </c>
    </row>
    <row r="506" customFormat="false" ht="15" hidden="false" customHeight="false" outlineLevel="0" collapsed="false">
      <c r="A506" s="11" t="n">
        <v>502</v>
      </c>
      <c r="B506" s="11" t="n">
        <f aca="false">MATCH(A506,월별!$C$6:$C$41,1)</f>
        <v>17</v>
      </c>
      <c r="C506" s="11" t="n">
        <f aca="false">L505</f>
        <v>100</v>
      </c>
      <c r="D506" s="24" t="n">
        <f aca="false">C506*가정!$B$8</f>
        <v>500</v>
      </c>
      <c r="E506" s="24" t="n">
        <f aca="false">H505+D505</f>
        <v>109053.668341709</v>
      </c>
      <c r="F506" s="11" t="n">
        <f aca="false">IF(가정!$B$11=1,MAX(0,MIN(가정!$B$16-C506,INT(E506/가정!$B$17))),0)</f>
        <v>0</v>
      </c>
      <c r="G506" s="24" t="n">
        <f aca="false">F506*가정!$B$17</f>
        <v>0</v>
      </c>
      <c r="H506" s="24" t="n">
        <f aca="false">E506-G506</f>
        <v>109053.668341709</v>
      </c>
      <c r="I506" s="24" t="n">
        <f aca="false">I505+D506</f>
        <v>136020</v>
      </c>
      <c r="J506" s="16" t="n">
        <f aca="false">(H506+D506)*가정!$B$10</f>
        <v>109553.668341709</v>
      </c>
      <c r="K506" s="24" t="n">
        <f aca="false">A506*가정!$B$8*가정!$B$7</f>
        <v>2510</v>
      </c>
      <c r="L506" s="11" t="n">
        <f aca="false">C506+F506</f>
        <v>100</v>
      </c>
    </row>
    <row r="507" customFormat="false" ht="15" hidden="false" customHeight="false" outlineLevel="0" collapsed="false">
      <c r="A507" s="11" t="n">
        <v>503</v>
      </c>
      <c r="B507" s="11" t="n">
        <f aca="false">MATCH(A507,월별!$C$6:$C$41,1)</f>
        <v>17</v>
      </c>
      <c r="C507" s="11" t="n">
        <f aca="false">L506</f>
        <v>100</v>
      </c>
      <c r="D507" s="24" t="n">
        <f aca="false">C507*가정!$B$8</f>
        <v>500</v>
      </c>
      <c r="E507" s="24" t="n">
        <f aca="false">H506+D506</f>
        <v>109553.668341709</v>
      </c>
      <c r="F507" s="11" t="n">
        <f aca="false">IF(가정!$B$11=1,MAX(0,MIN(가정!$B$16-C507,INT(E507/가정!$B$17))),0)</f>
        <v>0</v>
      </c>
      <c r="G507" s="24" t="n">
        <f aca="false">F507*가정!$B$17</f>
        <v>0</v>
      </c>
      <c r="H507" s="24" t="n">
        <f aca="false">E507-G507</f>
        <v>109553.668341709</v>
      </c>
      <c r="I507" s="24" t="n">
        <f aca="false">I506+D507</f>
        <v>136520</v>
      </c>
      <c r="J507" s="16" t="n">
        <f aca="false">(H507+D507)*가정!$B$10</f>
        <v>110053.668341709</v>
      </c>
      <c r="K507" s="24" t="n">
        <f aca="false">A507*가정!$B$8*가정!$B$7</f>
        <v>2515</v>
      </c>
      <c r="L507" s="11" t="n">
        <f aca="false">C507+F507</f>
        <v>100</v>
      </c>
    </row>
    <row r="508" customFormat="false" ht="15" hidden="false" customHeight="false" outlineLevel="0" collapsed="false">
      <c r="A508" s="11" t="n">
        <v>504</v>
      </c>
      <c r="B508" s="11" t="n">
        <f aca="false">MATCH(A508,월별!$C$6:$C$41,1)</f>
        <v>17</v>
      </c>
      <c r="C508" s="11" t="n">
        <f aca="false">L507</f>
        <v>100</v>
      </c>
      <c r="D508" s="24" t="n">
        <f aca="false">C508*가정!$B$8</f>
        <v>500</v>
      </c>
      <c r="E508" s="24" t="n">
        <f aca="false">H507+D507</f>
        <v>110053.668341709</v>
      </c>
      <c r="F508" s="11" t="n">
        <f aca="false">IF(가정!$B$11=1,MAX(0,MIN(가정!$B$16-C508,INT(E508/가정!$B$17))),0)</f>
        <v>0</v>
      </c>
      <c r="G508" s="24" t="n">
        <f aca="false">F508*가정!$B$17</f>
        <v>0</v>
      </c>
      <c r="H508" s="24" t="n">
        <f aca="false">E508-G508</f>
        <v>110053.668341709</v>
      </c>
      <c r="I508" s="24" t="n">
        <f aca="false">I507+D508</f>
        <v>137020</v>
      </c>
      <c r="J508" s="16" t="n">
        <f aca="false">(H508+D508)*가정!$B$10</f>
        <v>110553.668341709</v>
      </c>
      <c r="K508" s="24" t="n">
        <f aca="false">A508*가정!$B$8*가정!$B$7</f>
        <v>2520</v>
      </c>
      <c r="L508" s="11" t="n">
        <f aca="false">C508+F508</f>
        <v>100</v>
      </c>
    </row>
    <row r="509" customFormat="false" ht="15" hidden="false" customHeight="false" outlineLevel="0" collapsed="false">
      <c r="A509" s="11" t="n">
        <v>505</v>
      </c>
      <c r="B509" s="11" t="n">
        <f aca="false">MATCH(A509,월별!$C$6:$C$41,1)</f>
        <v>17</v>
      </c>
      <c r="C509" s="11" t="n">
        <f aca="false">L508</f>
        <v>100</v>
      </c>
      <c r="D509" s="24" t="n">
        <f aca="false">C509*가정!$B$8</f>
        <v>500</v>
      </c>
      <c r="E509" s="24" t="n">
        <f aca="false">H508+D508</f>
        <v>110553.668341709</v>
      </c>
      <c r="F509" s="11" t="n">
        <f aca="false">IF(가정!$B$11=1,MAX(0,MIN(가정!$B$16-C509,INT(E509/가정!$B$17))),0)</f>
        <v>0</v>
      </c>
      <c r="G509" s="24" t="n">
        <f aca="false">F509*가정!$B$17</f>
        <v>0</v>
      </c>
      <c r="H509" s="24" t="n">
        <f aca="false">E509-G509</f>
        <v>110553.668341709</v>
      </c>
      <c r="I509" s="24" t="n">
        <f aca="false">I508+D509</f>
        <v>137520</v>
      </c>
      <c r="J509" s="16" t="n">
        <f aca="false">(H509+D509)*가정!$B$10</f>
        <v>111053.668341709</v>
      </c>
      <c r="K509" s="24" t="n">
        <f aca="false">A509*가정!$B$8*가정!$B$7</f>
        <v>2525</v>
      </c>
      <c r="L509" s="11" t="n">
        <f aca="false">C509+F509</f>
        <v>100</v>
      </c>
    </row>
    <row r="510" customFormat="false" ht="15" hidden="false" customHeight="false" outlineLevel="0" collapsed="false">
      <c r="A510" s="11" t="n">
        <v>506</v>
      </c>
      <c r="B510" s="11" t="n">
        <f aca="false">MATCH(A510,월별!$C$6:$C$41,1)</f>
        <v>17</v>
      </c>
      <c r="C510" s="11" t="n">
        <f aca="false">L509</f>
        <v>100</v>
      </c>
      <c r="D510" s="24" t="n">
        <f aca="false">C510*가정!$B$8</f>
        <v>500</v>
      </c>
      <c r="E510" s="24" t="n">
        <f aca="false">H509+D509</f>
        <v>111053.668341709</v>
      </c>
      <c r="F510" s="11" t="n">
        <f aca="false">IF(가정!$B$11=1,MAX(0,MIN(가정!$B$16-C510,INT(E510/가정!$B$17))),0)</f>
        <v>0</v>
      </c>
      <c r="G510" s="24" t="n">
        <f aca="false">F510*가정!$B$17</f>
        <v>0</v>
      </c>
      <c r="H510" s="24" t="n">
        <f aca="false">E510-G510</f>
        <v>111053.668341709</v>
      </c>
      <c r="I510" s="24" t="n">
        <f aca="false">I509+D510</f>
        <v>138020</v>
      </c>
      <c r="J510" s="16" t="n">
        <f aca="false">(H510+D510)*가정!$B$10</f>
        <v>111553.668341709</v>
      </c>
      <c r="K510" s="24" t="n">
        <f aca="false">A510*가정!$B$8*가정!$B$7</f>
        <v>2530</v>
      </c>
      <c r="L510" s="11" t="n">
        <f aca="false">C510+F510</f>
        <v>100</v>
      </c>
    </row>
    <row r="511" customFormat="false" ht="15" hidden="false" customHeight="false" outlineLevel="0" collapsed="false">
      <c r="A511" s="11" t="n">
        <v>507</v>
      </c>
      <c r="B511" s="11" t="n">
        <f aca="false">MATCH(A511,월별!$C$6:$C$41,1)</f>
        <v>17</v>
      </c>
      <c r="C511" s="11" t="n">
        <f aca="false">L510</f>
        <v>100</v>
      </c>
      <c r="D511" s="24" t="n">
        <f aca="false">C511*가정!$B$8</f>
        <v>500</v>
      </c>
      <c r="E511" s="24" t="n">
        <f aca="false">H510+D510</f>
        <v>111553.668341709</v>
      </c>
      <c r="F511" s="11" t="n">
        <f aca="false">IF(가정!$B$11=1,MAX(0,MIN(가정!$B$16-C511,INT(E511/가정!$B$17))),0)</f>
        <v>0</v>
      </c>
      <c r="G511" s="24" t="n">
        <f aca="false">F511*가정!$B$17</f>
        <v>0</v>
      </c>
      <c r="H511" s="24" t="n">
        <f aca="false">E511-G511</f>
        <v>111553.668341709</v>
      </c>
      <c r="I511" s="24" t="n">
        <f aca="false">I510+D511</f>
        <v>138520</v>
      </c>
      <c r="J511" s="16" t="n">
        <f aca="false">(H511+D511)*가정!$B$10</f>
        <v>112053.668341709</v>
      </c>
      <c r="K511" s="24" t="n">
        <f aca="false">A511*가정!$B$8*가정!$B$7</f>
        <v>2535</v>
      </c>
      <c r="L511" s="11" t="n">
        <f aca="false">C511+F511</f>
        <v>100</v>
      </c>
    </row>
    <row r="512" customFormat="false" ht="15" hidden="false" customHeight="false" outlineLevel="0" collapsed="false">
      <c r="A512" s="11" t="n">
        <v>508</v>
      </c>
      <c r="B512" s="11" t="n">
        <f aca="false">MATCH(A512,월별!$C$6:$C$41,1)</f>
        <v>17</v>
      </c>
      <c r="C512" s="11" t="n">
        <f aca="false">L511</f>
        <v>100</v>
      </c>
      <c r="D512" s="24" t="n">
        <f aca="false">C512*가정!$B$8</f>
        <v>500</v>
      </c>
      <c r="E512" s="24" t="n">
        <f aca="false">H511+D511</f>
        <v>112053.668341709</v>
      </c>
      <c r="F512" s="11" t="n">
        <f aca="false">IF(가정!$B$11=1,MAX(0,MIN(가정!$B$16-C512,INT(E512/가정!$B$17))),0)</f>
        <v>0</v>
      </c>
      <c r="G512" s="24" t="n">
        <f aca="false">F512*가정!$B$17</f>
        <v>0</v>
      </c>
      <c r="H512" s="24" t="n">
        <f aca="false">E512-G512</f>
        <v>112053.668341709</v>
      </c>
      <c r="I512" s="24" t="n">
        <f aca="false">I511+D512</f>
        <v>139020</v>
      </c>
      <c r="J512" s="16" t="n">
        <f aca="false">(H512+D512)*가정!$B$10</f>
        <v>112553.668341709</v>
      </c>
      <c r="K512" s="24" t="n">
        <f aca="false">A512*가정!$B$8*가정!$B$7</f>
        <v>2540</v>
      </c>
      <c r="L512" s="11" t="n">
        <f aca="false">C512+F512</f>
        <v>100</v>
      </c>
    </row>
    <row r="513" customFormat="false" ht="15" hidden="false" customHeight="false" outlineLevel="0" collapsed="false">
      <c r="A513" s="11" t="n">
        <v>509</v>
      </c>
      <c r="B513" s="11" t="n">
        <f aca="false">MATCH(A513,월별!$C$6:$C$41,1)</f>
        <v>17</v>
      </c>
      <c r="C513" s="11" t="n">
        <f aca="false">L512</f>
        <v>100</v>
      </c>
      <c r="D513" s="24" t="n">
        <f aca="false">C513*가정!$B$8</f>
        <v>500</v>
      </c>
      <c r="E513" s="24" t="n">
        <f aca="false">H512+D512</f>
        <v>112553.668341709</v>
      </c>
      <c r="F513" s="11" t="n">
        <f aca="false">IF(가정!$B$11=1,MAX(0,MIN(가정!$B$16-C513,INT(E513/가정!$B$17))),0)</f>
        <v>0</v>
      </c>
      <c r="G513" s="24" t="n">
        <f aca="false">F513*가정!$B$17</f>
        <v>0</v>
      </c>
      <c r="H513" s="24" t="n">
        <f aca="false">E513-G513</f>
        <v>112553.668341709</v>
      </c>
      <c r="I513" s="24" t="n">
        <f aca="false">I512+D513</f>
        <v>139520</v>
      </c>
      <c r="J513" s="16" t="n">
        <f aca="false">(H513+D513)*가정!$B$10</f>
        <v>113053.668341709</v>
      </c>
      <c r="K513" s="24" t="n">
        <f aca="false">A513*가정!$B$8*가정!$B$7</f>
        <v>2545</v>
      </c>
      <c r="L513" s="11" t="n">
        <f aca="false">C513+F513</f>
        <v>100</v>
      </c>
    </row>
    <row r="514" customFormat="false" ht="15" hidden="false" customHeight="false" outlineLevel="0" collapsed="false">
      <c r="A514" s="11" t="n">
        <v>510</v>
      </c>
      <c r="B514" s="11" t="n">
        <f aca="false">MATCH(A514,월별!$C$6:$C$41,1)</f>
        <v>17</v>
      </c>
      <c r="C514" s="11" t="n">
        <f aca="false">L513</f>
        <v>100</v>
      </c>
      <c r="D514" s="24" t="n">
        <f aca="false">C514*가정!$B$8</f>
        <v>500</v>
      </c>
      <c r="E514" s="24" t="n">
        <f aca="false">H513+D513</f>
        <v>113053.668341709</v>
      </c>
      <c r="F514" s="11" t="n">
        <f aca="false">IF(가정!$B$11=1,MAX(0,MIN(가정!$B$16-C514,INT(E514/가정!$B$17))),0)</f>
        <v>0</v>
      </c>
      <c r="G514" s="24" t="n">
        <f aca="false">F514*가정!$B$17</f>
        <v>0</v>
      </c>
      <c r="H514" s="24" t="n">
        <f aca="false">E514-G514</f>
        <v>113053.668341709</v>
      </c>
      <c r="I514" s="24" t="n">
        <f aca="false">I513+D514</f>
        <v>140020</v>
      </c>
      <c r="J514" s="16" t="n">
        <f aca="false">(H514+D514)*가정!$B$10</f>
        <v>113553.668341709</v>
      </c>
      <c r="K514" s="24" t="n">
        <f aca="false">A514*가정!$B$8*가정!$B$7</f>
        <v>2550</v>
      </c>
      <c r="L514" s="11" t="n">
        <f aca="false">C514+F514</f>
        <v>100</v>
      </c>
    </row>
    <row r="515" customFormat="false" ht="15" hidden="false" customHeight="false" outlineLevel="0" collapsed="false">
      <c r="A515" s="11" t="n">
        <v>511</v>
      </c>
      <c r="B515" s="11" t="n">
        <f aca="false">MATCH(A515,월별!$C$6:$C$41,1)</f>
        <v>17</v>
      </c>
      <c r="C515" s="11" t="n">
        <f aca="false">L514</f>
        <v>100</v>
      </c>
      <c r="D515" s="24" t="n">
        <f aca="false">C515*가정!$B$8</f>
        <v>500</v>
      </c>
      <c r="E515" s="24" t="n">
        <f aca="false">H514+D514</f>
        <v>113553.668341709</v>
      </c>
      <c r="F515" s="11" t="n">
        <f aca="false">IF(가정!$B$11=1,MAX(0,MIN(가정!$B$16-C515,INT(E515/가정!$B$17))),0)</f>
        <v>0</v>
      </c>
      <c r="G515" s="24" t="n">
        <f aca="false">F515*가정!$B$17</f>
        <v>0</v>
      </c>
      <c r="H515" s="24" t="n">
        <f aca="false">E515-G515</f>
        <v>113553.668341709</v>
      </c>
      <c r="I515" s="24" t="n">
        <f aca="false">I514+D515</f>
        <v>140520</v>
      </c>
      <c r="J515" s="16" t="n">
        <f aca="false">(H515+D515)*가정!$B$10</f>
        <v>114053.668341709</v>
      </c>
      <c r="K515" s="24" t="n">
        <f aca="false">A515*가정!$B$8*가정!$B$7</f>
        <v>2555</v>
      </c>
      <c r="L515" s="11" t="n">
        <f aca="false">C515+F515</f>
        <v>100</v>
      </c>
    </row>
    <row r="516" customFormat="false" ht="15" hidden="false" customHeight="false" outlineLevel="0" collapsed="false">
      <c r="A516" s="11" t="n">
        <v>512</v>
      </c>
      <c r="B516" s="11" t="n">
        <f aca="false">MATCH(A516,월별!$C$6:$C$41,1)</f>
        <v>17</v>
      </c>
      <c r="C516" s="11" t="n">
        <f aca="false">L515</f>
        <v>100</v>
      </c>
      <c r="D516" s="24" t="n">
        <f aca="false">C516*가정!$B$8</f>
        <v>500</v>
      </c>
      <c r="E516" s="24" t="n">
        <f aca="false">H515+D515</f>
        <v>114053.668341709</v>
      </c>
      <c r="F516" s="11" t="n">
        <f aca="false">IF(가정!$B$11=1,MAX(0,MIN(가정!$B$16-C516,INT(E516/가정!$B$17))),0)</f>
        <v>0</v>
      </c>
      <c r="G516" s="24" t="n">
        <f aca="false">F516*가정!$B$17</f>
        <v>0</v>
      </c>
      <c r="H516" s="24" t="n">
        <f aca="false">E516-G516</f>
        <v>114053.668341709</v>
      </c>
      <c r="I516" s="24" t="n">
        <f aca="false">I515+D516</f>
        <v>141020</v>
      </c>
      <c r="J516" s="16" t="n">
        <f aca="false">(H516+D516)*가정!$B$10</f>
        <v>114553.668341709</v>
      </c>
      <c r="K516" s="24" t="n">
        <f aca="false">A516*가정!$B$8*가정!$B$7</f>
        <v>2560</v>
      </c>
      <c r="L516" s="11" t="n">
        <f aca="false">C516+F516</f>
        <v>100</v>
      </c>
    </row>
    <row r="517" customFormat="false" ht="15" hidden="false" customHeight="false" outlineLevel="0" collapsed="false">
      <c r="A517" s="11" t="n">
        <v>513</v>
      </c>
      <c r="B517" s="11" t="n">
        <f aca="false">MATCH(A517,월별!$C$6:$C$41,1)</f>
        <v>17</v>
      </c>
      <c r="C517" s="11" t="n">
        <f aca="false">L516</f>
        <v>100</v>
      </c>
      <c r="D517" s="24" t="n">
        <f aca="false">C517*가정!$B$8</f>
        <v>500</v>
      </c>
      <c r="E517" s="24" t="n">
        <f aca="false">H516+D516</f>
        <v>114553.668341709</v>
      </c>
      <c r="F517" s="11" t="n">
        <f aca="false">IF(가정!$B$11=1,MAX(0,MIN(가정!$B$16-C517,INT(E517/가정!$B$17))),0)</f>
        <v>0</v>
      </c>
      <c r="G517" s="24" t="n">
        <f aca="false">F517*가정!$B$17</f>
        <v>0</v>
      </c>
      <c r="H517" s="24" t="n">
        <f aca="false">E517-G517</f>
        <v>114553.668341709</v>
      </c>
      <c r="I517" s="24" t="n">
        <f aca="false">I516+D517</f>
        <v>141520</v>
      </c>
      <c r="J517" s="16" t="n">
        <f aca="false">(H517+D517)*가정!$B$10</f>
        <v>115053.668341709</v>
      </c>
      <c r="K517" s="24" t="n">
        <f aca="false">A517*가정!$B$8*가정!$B$7</f>
        <v>2565</v>
      </c>
      <c r="L517" s="11" t="n">
        <f aca="false">C517+F517</f>
        <v>100</v>
      </c>
    </row>
    <row r="518" customFormat="false" ht="15" hidden="false" customHeight="false" outlineLevel="0" collapsed="false">
      <c r="A518" s="11" t="n">
        <v>514</v>
      </c>
      <c r="B518" s="11" t="n">
        <f aca="false">MATCH(A518,월별!$C$6:$C$41,1)</f>
        <v>17</v>
      </c>
      <c r="C518" s="11" t="n">
        <f aca="false">L517</f>
        <v>100</v>
      </c>
      <c r="D518" s="24" t="n">
        <f aca="false">C518*가정!$B$8</f>
        <v>500</v>
      </c>
      <c r="E518" s="24" t="n">
        <f aca="false">H517+D517</f>
        <v>115053.668341709</v>
      </c>
      <c r="F518" s="11" t="n">
        <f aca="false">IF(가정!$B$11=1,MAX(0,MIN(가정!$B$16-C518,INT(E518/가정!$B$17))),0)</f>
        <v>0</v>
      </c>
      <c r="G518" s="24" t="n">
        <f aca="false">F518*가정!$B$17</f>
        <v>0</v>
      </c>
      <c r="H518" s="24" t="n">
        <f aca="false">E518-G518</f>
        <v>115053.668341709</v>
      </c>
      <c r="I518" s="24" t="n">
        <f aca="false">I517+D518</f>
        <v>142020</v>
      </c>
      <c r="J518" s="16" t="n">
        <f aca="false">(H518+D518)*가정!$B$10</f>
        <v>115553.668341709</v>
      </c>
      <c r="K518" s="24" t="n">
        <f aca="false">A518*가정!$B$8*가정!$B$7</f>
        <v>2570</v>
      </c>
      <c r="L518" s="11" t="n">
        <f aca="false">C518+F518</f>
        <v>100</v>
      </c>
    </row>
    <row r="519" customFormat="false" ht="15" hidden="false" customHeight="false" outlineLevel="0" collapsed="false">
      <c r="A519" s="11" t="n">
        <v>515</v>
      </c>
      <c r="B519" s="11" t="n">
        <f aca="false">MATCH(A519,월별!$C$6:$C$41,1)</f>
        <v>17</v>
      </c>
      <c r="C519" s="11" t="n">
        <f aca="false">L518</f>
        <v>100</v>
      </c>
      <c r="D519" s="24" t="n">
        <f aca="false">C519*가정!$B$8</f>
        <v>500</v>
      </c>
      <c r="E519" s="24" t="n">
        <f aca="false">H518+D518</f>
        <v>115553.668341709</v>
      </c>
      <c r="F519" s="11" t="n">
        <f aca="false">IF(가정!$B$11=1,MAX(0,MIN(가정!$B$16-C519,INT(E519/가정!$B$17))),0)</f>
        <v>0</v>
      </c>
      <c r="G519" s="24" t="n">
        <f aca="false">F519*가정!$B$17</f>
        <v>0</v>
      </c>
      <c r="H519" s="24" t="n">
        <f aca="false">E519-G519</f>
        <v>115553.668341709</v>
      </c>
      <c r="I519" s="24" t="n">
        <f aca="false">I518+D519</f>
        <v>142520</v>
      </c>
      <c r="J519" s="16" t="n">
        <f aca="false">(H519+D519)*가정!$B$10</f>
        <v>116053.668341709</v>
      </c>
      <c r="K519" s="24" t="n">
        <f aca="false">A519*가정!$B$8*가정!$B$7</f>
        <v>2575</v>
      </c>
      <c r="L519" s="11" t="n">
        <f aca="false">C519+F519</f>
        <v>100</v>
      </c>
    </row>
    <row r="520" customFormat="false" ht="15" hidden="false" customHeight="false" outlineLevel="0" collapsed="false">
      <c r="A520" s="11" t="n">
        <v>516</v>
      </c>
      <c r="B520" s="11" t="n">
        <f aca="false">MATCH(A520,월별!$C$6:$C$41,1)</f>
        <v>17</v>
      </c>
      <c r="C520" s="11" t="n">
        <f aca="false">L519</f>
        <v>100</v>
      </c>
      <c r="D520" s="24" t="n">
        <f aca="false">C520*가정!$B$8</f>
        <v>500</v>
      </c>
      <c r="E520" s="24" t="n">
        <f aca="false">H519+D519</f>
        <v>116053.668341709</v>
      </c>
      <c r="F520" s="11" t="n">
        <f aca="false">IF(가정!$B$11=1,MAX(0,MIN(가정!$B$16-C520,INT(E520/가정!$B$17))),0)</f>
        <v>0</v>
      </c>
      <c r="G520" s="24" t="n">
        <f aca="false">F520*가정!$B$17</f>
        <v>0</v>
      </c>
      <c r="H520" s="24" t="n">
        <f aca="false">E520-G520</f>
        <v>116053.668341709</v>
      </c>
      <c r="I520" s="24" t="n">
        <f aca="false">I519+D520</f>
        <v>143020</v>
      </c>
      <c r="J520" s="16" t="n">
        <f aca="false">(H520+D520)*가정!$B$10</f>
        <v>116553.668341709</v>
      </c>
      <c r="K520" s="24" t="n">
        <f aca="false">A520*가정!$B$8*가정!$B$7</f>
        <v>2580</v>
      </c>
      <c r="L520" s="11" t="n">
        <f aca="false">C520+F520</f>
        <v>100</v>
      </c>
    </row>
    <row r="521" customFormat="false" ht="15" hidden="false" customHeight="false" outlineLevel="0" collapsed="false">
      <c r="A521" s="11" t="n">
        <v>517</v>
      </c>
      <c r="B521" s="11" t="n">
        <f aca="false">MATCH(A521,월별!$C$6:$C$41,1)</f>
        <v>17</v>
      </c>
      <c r="C521" s="11" t="n">
        <f aca="false">L520</f>
        <v>100</v>
      </c>
      <c r="D521" s="24" t="n">
        <f aca="false">C521*가정!$B$8</f>
        <v>500</v>
      </c>
      <c r="E521" s="24" t="n">
        <f aca="false">H520+D520</f>
        <v>116553.668341709</v>
      </c>
      <c r="F521" s="11" t="n">
        <f aca="false">IF(가정!$B$11=1,MAX(0,MIN(가정!$B$16-C521,INT(E521/가정!$B$17))),0)</f>
        <v>0</v>
      </c>
      <c r="G521" s="24" t="n">
        <f aca="false">F521*가정!$B$17</f>
        <v>0</v>
      </c>
      <c r="H521" s="24" t="n">
        <f aca="false">E521-G521</f>
        <v>116553.668341709</v>
      </c>
      <c r="I521" s="24" t="n">
        <f aca="false">I520+D521</f>
        <v>143520</v>
      </c>
      <c r="J521" s="16" t="n">
        <f aca="false">(H521+D521)*가정!$B$10</f>
        <v>117053.668341709</v>
      </c>
      <c r="K521" s="24" t="n">
        <f aca="false">A521*가정!$B$8*가정!$B$7</f>
        <v>2585</v>
      </c>
      <c r="L521" s="11" t="n">
        <f aca="false">C521+F521</f>
        <v>100</v>
      </c>
    </row>
    <row r="522" customFormat="false" ht="15" hidden="false" customHeight="false" outlineLevel="0" collapsed="false">
      <c r="A522" s="11" t="n">
        <v>518</v>
      </c>
      <c r="B522" s="11" t="n">
        <f aca="false">MATCH(A522,월별!$C$6:$C$41,1)</f>
        <v>18</v>
      </c>
      <c r="C522" s="11" t="n">
        <f aca="false">L521</f>
        <v>100</v>
      </c>
      <c r="D522" s="24" t="n">
        <f aca="false">C522*가정!$B$8</f>
        <v>500</v>
      </c>
      <c r="E522" s="24" t="n">
        <f aca="false">H521+D521</f>
        <v>117053.668341709</v>
      </c>
      <c r="F522" s="11" t="n">
        <f aca="false">IF(가정!$B$11=1,MAX(0,MIN(가정!$B$16-C522,INT(E522/가정!$B$17))),0)</f>
        <v>0</v>
      </c>
      <c r="G522" s="24" t="n">
        <f aca="false">F522*가정!$B$17</f>
        <v>0</v>
      </c>
      <c r="H522" s="24" t="n">
        <f aca="false">E522-G522</f>
        <v>117053.668341709</v>
      </c>
      <c r="I522" s="24" t="n">
        <f aca="false">I521+D522</f>
        <v>144020</v>
      </c>
      <c r="J522" s="16" t="n">
        <f aca="false">(H522+D522)*가정!$B$10</f>
        <v>117553.668341709</v>
      </c>
      <c r="K522" s="24" t="n">
        <f aca="false">A522*가정!$B$8*가정!$B$7</f>
        <v>2590</v>
      </c>
      <c r="L522" s="11" t="n">
        <f aca="false">C522+F522</f>
        <v>100</v>
      </c>
    </row>
    <row r="523" customFormat="false" ht="15" hidden="false" customHeight="false" outlineLevel="0" collapsed="false">
      <c r="A523" s="11" t="n">
        <v>519</v>
      </c>
      <c r="B523" s="11" t="n">
        <f aca="false">MATCH(A523,월별!$C$6:$C$41,1)</f>
        <v>18</v>
      </c>
      <c r="C523" s="11" t="n">
        <f aca="false">L522</f>
        <v>100</v>
      </c>
      <c r="D523" s="24" t="n">
        <f aca="false">C523*가정!$B$8</f>
        <v>500</v>
      </c>
      <c r="E523" s="24" t="n">
        <f aca="false">H522+D522</f>
        <v>117553.668341709</v>
      </c>
      <c r="F523" s="11" t="n">
        <f aca="false">IF(가정!$B$11=1,MAX(0,MIN(가정!$B$16-C523,INT(E523/가정!$B$17))),0)</f>
        <v>0</v>
      </c>
      <c r="G523" s="24" t="n">
        <f aca="false">F523*가정!$B$17</f>
        <v>0</v>
      </c>
      <c r="H523" s="24" t="n">
        <f aca="false">E523-G523</f>
        <v>117553.668341709</v>
      </c>
      <c r="I523" s="24" t="n">
        <f aca="false">I522+D523</f>
        <v>144520</v>
      </c>
      <c r="J523" s="16" t="n">
        <f aca="false">(H523+D523)*가정!$B$10</f>
        <v>118053.668341709</v>
      </c>
      <c r="K523" s="24" t="n">
        <f aca="false">A523*가정!$B$8*가정!$B$7</f>
        <v>2595</v>
      </c>
      <c r="L523" s="11" t="n">
        <f aca="false">C523+F523</f>
        <v>100</v>
      </c>
    </row>
    <row r="524" customFormat="false" ht="15" hidden="false" customHeight="false" outlineLevel="0" collapsed="false">
      <c r="A524" s="11" t="n">
        <v>520</v>
      </c>
      <c r="B524" s="11" t="n">
        <f aca="false">MATCH(A524,월별!$C$6:$C$41,1)</f>
        <v>18</v>
      </c>
      <c r="C524" s="11" t="n">
        <f aca="false">L523</f>
        <v>100</v>
      </c>
      <c r="D524" s="24" t="n">
        <f aca="false">C524*가정!$B$8</f>
        <v>500</v>
      </c>
      <c r="E524" s="24" t="n">
        <f aca="false">H523+D523</f>
        <v>118053.668341709</v>
      </c>
      <c r="F524" s="11" t="n">
        <f aca="false">IF(가정!$B$11=1,MAX(0,MIN(가정!$B$16-C524,INT(E524/가정!$B$17))),0)</f>
        <v>0</v>
      </c>
      <c r="G524" s="24" t="n">
        <f aca="false">F524*가정!$B$17</f>
        <v>0</v>
      </c>
      <c r="H524" s="24" t="n">
        <f aca="false">E524-G524</f>
        <v>118053.668341709</v>
      </c>
      <c r="I524" s="24" t="n">
        <f aca="false">I523+D524</f>
        <v>145020</v>
      </c>
      <c r="J524" s="16" t="n">
        <f aca="false">(H524+D524)*가정!$B$10</f>
        <v>118553.668341709</v>
      </c>
      <c r="K524" s="24" t="n">
        <f aca="false">A524*가정!$B$8*가정!$B$7</f>
        <v>2600</v>
      </c>
      <c r="L524" s="11" t="n">
        <f aca="false">C524+F524</f>
        <v>100</v>
      </c>
    </row>
    <row r="525" customFormat="false" ht="15" hidden="false" customHeight="false" outlineLevel="0" collapsed="false">
      <c r="A525" s="11" t="n">
        <v>521</v>
      </c>
      <c r="B525" s="11" t="n">
        <f aca="false">MATCH(A525,월별!$C$6:$C$41,1)</f>
        <v>18</v>
      </c>
      <c r="C525" s="11" t="n">
        <f aca="false">L524</f>
        <v>100</v>
      </c>
      <c r="D525" s="24" t="n">
        <f aca="false">C525*가정!$B$8</f>
        <v>500</v>
      </c>
      <c r="E525" s="24" t="n">
        <f aca="false">H524+D524</f>
        <v>118553.668341709</v>
      </c>
      <c r="F525" s="11" t="n">
        <f aca="false">IF(가정!$B$11=1,MAX(0,MIN(가정!$B$16-C525,INT(E525/가정!$B$17))),0)</f>
        <v>0</v>
      </c>
      <c r="G525" s="24" t="n">
        <f aca="false">F525*가정!$B$17</f>
        <v>0</v>
      </c>
      <c r="H525" s="24" t="n">
        <f aca="false">E525-G525</f>
        <v>118553.668341709</v>
      </c>
      <c r="I525" s="24" t="n">
        <f aca="false">I524+D525</f>
        <v>145520</v>
      </c>
      <c r="J525" s="16" t="n">
        <f aca="false">(H525+D525)*가정!$B$10</f>
        <v>119053.668341709</v>
      </c>
      <c r="K525" s="24" t="n">
        <f aca="false">A525*가정!$B$8*가정!$B$7</f>
        <v>2605</v>
      </c>
      <c r="L525" s="11" t="n">
        <f aca="false">C525+F525</f>
        <v>100</v>
      </c>
    </row>
    <row r="526" customFormat="false" ht="15" hidden="false" customHeight="false" outlineLevel="0" collapsed="false">
      <c r="A526" s="11" t="n">
        <v>522</v>
      </c>
      <c r="B526" s="11" t="n">
        <f aca="false">MATCH(A526,월별!$C$6:$C$41,1)</f>
        <v>18</v>
      </c>
      <c r="C526" s="11" t="n">
        <f aca="false">L525</f>
        <v>100</v>
      </c>
      <c r="D526" s="24" t="n">
        <f aca="false">C526*가정!$B$8</f>
        <v>500</v>
      </c>
      <c r="E526" s="24" t="n">
        <f aca="false">H525+D525</f>
        <v>119053.668341709</v>
      </c>
      <c r="F526" s="11" t="n">
        <f aca="false">IF(가정!$B$11=1,MAX(0,MIN(가정!$B$16-C526,INT(E526/가정!$B$17))),0)</f>
        <v>0</v>
      </c>
      <c r="G526" s="24" t="n">
        <f aca="false">F526*가정!$B$17</f>
        <v>0</v>
      </c>
      <c r="H526" s="24" t="n">
        <f aca="false">E526-G526</f>
        <v>119053.668341709</v>
      </c>
      <c r="I526" s="24" t="n">
        <f aca="false">I525+D526</f>
        <v>146020</v>
      </c>
      <c r="J526" s="16" t="n">
        <f aca="false">(H526+D526)*가정!$B$10</f>
        <v>119553.668341709</v>
      </c>
      <c r="K526" s="24" t="n">
        <f aca="false">A526*가정!$B$8*가정!$B$7</f>
        <v>2610</v>
      </c>
      <c r="L526" s="11" t="n">
        <f aca="false">C526+F526</f>
        <v>100</v>
      </c>
    </row>
    <row r="527" customFormat="false" ht="15" hidden="false" customHeight="false" outlineLevel="0" collapsed="false">
      <c r="A527" s="11" t="n">
        <v>523</v>
      </c>
      <c r="B527" s="11" t="n">
        <f aca="false">MATCH(A527,월별!$C$6:$C$41,1)</f>
        <v>18</v>
      </c>
      <c r="C527" s="11" t="n">
        <f aca="false">L526</f>
        <v>100</v>
      </c>
      <c r="D527" s="24" t="n">
        <f aca="false">C527*가정!$B$8</f>
        <v>500</v>
      </c>
      <c r="E527" s="24" t="n">
        <f aca="false">H526+D526</f>
        <v>119553.668341709</v>
      </c>
      <c r="F527" s="11" t="n">
        <f aca="false">IF(가정!$B$11=1,MAX(0,MIN(가정!$B$16-C527,INT(E527/가정!$B$17))),0)</f>
        <v>0</v>
      </c>
      <c r="G527" s="24" t="n">
        <f aca="false">F527*가정!$B$17</f>
        <v>0</v>
      </c>
      <c r="H527" s="24" t="n">
        <f aca="false">E527-G527</f>
        <v>119553.668341709</v>
      </c>
      <c r="I527" s="24" t="n">
        <f aca="false">I526+D527</f>
        <v>146520</v>
      </c>
      <c r="J527" s="16" t="n">
        <f aca="false">(H527+D527)*가정!$B$10</f>
        <v>120053.668341709</v>
      </c>
      <c r="K527" s="24" t="n">
        <f aca="false">A527*가정!$B$8*가정!$B$7</f>
        <v>2615</v>
      </c>
      <c r="L527" s="11" t="n">
        <f aca="false">C527+F527</f>
        <v>100</v>
      </c>
    </row>
    <row r="528" customFormat="false" ht="15" hidden="false" customHeight="false" outlineLevel="0" collapsed="false">
      <c r="A528" s="11" t="n">
        <v>524</v>
      </c>
      <c r="B528" s="11" t="n">
        <f aca="false">MATCH(A528,월별!$C$6:$C$41,1)</f>
        <v>18</v>
      </c>
      <c r="C528" s="11" t="n">
        <f aca="false">L527</f>
        <v>100</v>
      </c>
      <c r="D528" s="24" t="n">
        <f aca="false">C528*가정!$B$8</f>
        <v>500</v>
      </c>
      <c r="E528" s="24" t="n">
        <f aca="false">H527+D527</f>
        <v>120053.668341709</v>
      </c>
      <c r="F528" s="11" t="n">
        <f aca="false">IF(가정!$B$11=1,MAX(0,MIN(가정!$B$16-C528,INT(E528/가정!$B$17))),0)</f>
        <v>0</v>
      </c>
      <c r="G528" s="24" t="n">
        <f aca="false">F528*가정!$B$17</f>
        <v>0</v>
      </c>
      <c r="H528" s="24" t="n">
        <f aca="false">E528-G528</f>
        <v>120053.668341709</v>
      </c>
      <c r="I528" s="24" t="n">
        <f aca="false">I527+D528</f>
        <v>147020</v>
      </c>
      <c r="J528" s="16" t="n">
        <f aca="false">(H528+D528)*가정!$B$10</f>
        <v>120553.668341709</v>
      </c>
      <c r="K528" s="24" t="n">
        <f aca="false">A528*가정!$B$8*가정!$B$7</f>
        <v>2620</v>
      </c>
      <c r="L528" s="11" t="n">
        <f aca="false">C528+F528</f>
        <v>100</v>
      </c>
    </row>
    <row r="529" customFormat="false" ht="15" hidden="false" customHeight="false" outlineLevel="0" collapsed="false">
      <c r="A529" s="11" t="n">
        <v>525</v>
      </c>
      <c r="B529" s="11" t="n">
        <f aca="false">MATCH(A529,월별!$C$6:$C$41,1)</f>
        <v>18</v>
      </c>
      <c r="C529" s="11" t="n">
        <f aca="false">L528</f>
        <v>100</v>
      </c>
      <c r="D529" s="24" t="n">
        <f aca="false">C529*가정!$B$8</f>
        <v>500</v>
      </c>
      <c r="E529" s="24" t="n">
        <f aca="false">H528+D528</f>
        <v>120553.668341709</v>
      </c>
      <c r="F529" s="11" t="n">
        <f aca="false">IF(가정!$B$11=1,MAX(0,MIN(가정!$B$16-C529,INT(E529/가정!$B$17))),0)</f>
        <v>0</v>
      </c>
      <c r="G529" s="24" t="n">
        <f aca="false">F529*가정!$B$17</f>
        <v>0</v>
      </c>
      <c r="H529" s="24" t="n">
        <f aca="false">E529-G529</f>
        <v>120553.668341709</v>
      </c>
      <c r="I529" s="24" t="n">
        <f aca="false">I528+D529</f>
        <v>147520</v>
      </c>
      <c r="J529" s="16" t="n">
        <f aca="false">(H529+D529)*가정!$B$10</f>
        <v>121053.668341709</v>
      </c>
      <c r="K529" s="24" t="n">
        <f aca="false">A529*가정!$B$8*가정!$B$7</f>
        <v>2625</v>
      </c>
      <c r="L529" s="11" t="n">
        <f aca="false">C529+F529</f>
        <v>100</v>
      </c>
    </row>
    <row r="530" customFormat="false" ht="15" hidden="false" customHeight="false" outlineLevel="0" collapsed="false">
      <c r="A530" s="11" t="n">
        <v>526</v>
      </c>
      <c r="B530" s="11" t="n">
        <f aca="false">MATCH(A530,월별!$C$6:$C$41,1)</f>
        <v>18</v>
      </c>
      <c r="C530" s="11" t="n">
        <f aca="false">L529</f>
        <v>100</v>
      </c>
      <c r="D530" s="24" t="n">
        <f aca="false">C530*가정!$B$8</f>
        <v>500</v>
      </c>
      <c r="E530" s="24" t="n">
        <f aca="false">H529+D529</f>
        <v>121053.668341709</v>
      </c>
      <c r="F530" s="11" t="n">
        <f aca="false">IF(가정!$B$11=1,MAX(0,MIN(가정!$B$16-C530,INT(E530/가정!$B$17))),0)</f>
        <v>0</v>
      </c>
      <c r="G530" s="24" t="n">
        <f aca="false">F530*가정!$B$17</f>
        <v>0</v>
      </c>
      <c r="H530" s="24" t="n">
        <f aca="false">E530-G530</f>
        <v>121053.668341709</v>
      </c>
      <c r="I530" s="24" t="n">
        <f aca="false">I529+D530</f>
        <v>148020</v>
      </c>
      <c r="J530" s="16" t="n">
        <f aca="false">(H530+D530)*가정!$B$10</f>
        <v>121553.668341709</v>
      </c>
      <c r="K530" s="24" t="n">
        <f aca="false">A530*가정!$B$8*가정!$B$7</f>
        <v>2630</v>
      </c>
      <c r="L530" s="11" t="n">
        <f aca="false">C530+F530</f>
        <v>100</v>
      </c>
    </row>
    <row r="531" customFormat="false" ht="15" hidden="false" customHeight="false" outlineLevel="0" collapsed="false">
      <c r="A531" s="11" t="n">
        <v>527</v>
      </c>
      <c r="B531" s="11" t="n">
        <f aca="false">MATCH(A531,월별!$C$6:$C$41,1)</f>
        <v>18</v>
      </c>
      <c r="C531" s="11" t="n">
        <f aca="false">L530</f>
        <v>100</v>
      </c>
      <c r="D531" s="24" t="n">
        <f aca="false">C531*가정!$B$8</f>
        <v>500</v>
      </c>
      <c r="E531" s="24" t="n">
        <f aca="false">H530+D530</f>
        <v>121553.668341709</v>
      </c>
      <c r="F531" s="11" t="n">
        <f aca="false">IF(가정!$B$11=1,MAX(0,MIN(가정!$B$16-C531,INT(E531/가정!$B$17))),0)</f>
        <v>0</v>
      </c>
      <c r="G531" s="24" t="n">
        <f aca="false">F531*가정!$B$17</f>
        <v>0</v>
      </c>
      <c r="H531" s="24" t="n">
        <f aca="false">E531-G531</f>
        <v>121553.668341709</v>
      </c>
      <c r="I531" s="24" t="n">
        <f aca="false">I530+D531</f>
        <v>148520</v>
      </c>
      <c r="J531" s="16" t="n">
        <f aca="false">(H531+D531)*가정!$B$10</f>
        <v>122053.668341709</v>
      </c>
      <c r="K531" s="24" t="n">
        <f aca="false">A531*가정!$B$8*가정!$B$7</f>
        <v>2635</v>
      </c>
      <c r="L531" s="11" t="n">
        <f aca="false">C531+F531</f>
        <v>100</v>
      </c>
    </row>
    <row r="532" customFormat="false" ht="15" hidden="false" customHeight="false" outlineLevel="0" collapsed="false">
      <c r="A532" s="11" t="n">
        <v>528</v>
      </c>
      <c r="B532" s="11" t="n">
        <f aca="false">MATCH(A532,월별!$C$6:$C$41,1)</f>
        <v>18</v>
      </c>
      <c r="C532" s="11" t="n">
        <f aca="false">L531</f>
        <v>100</v>
      </c>
      <c r="D532" s="24" t="n">
        <f aca="false">C532*가정!$B$8</f>
        <v>500</v>
      </c>
      <c r="E532" s="24" t="n">
        <f aca="false">H531+D531</f>
        <v>122053.668341709</v>
      </c>
      <c r="F532" s="11" t="n">
        <f aca="false">IF(가정!$B$11=1,MAX(0,MIN(가정!$B$16-C532,INT(E532/가정!$B$17))),0)</f>
        <v>0</v>
      </c>
      <c r="G532" s="24" t="n">
        <f aca="false">F532*가정!$B$17</f>
        <v>0</v>
      </c>
      <c r="H532" s="24" t="n">
        <f aca="false">E532-G532</f>
        <v>122053.668341709</v>
      </c>
      <c r="I532" s="24" t="n">
        <f aca="false">I531+D532</f>
        <v>149020</v>
      </c>
      <c r="J532" s="16" t="n">
        <f aca="false">(H532+D532)*가정!$B$10</f>
        <v>122553.668341709</v>
      </c>
      <c r="K532" s="24" t="n">
        <f aca="false">A532*가정!$B$8*가정!$B$7</f>
        <v>2640</v>
      </c>
      <c r="L532" s="11" t="n">
        <f aca="false">C532+F532</f>
        <v>100</v>
      </c>
    </row>
    <row r="533" customFormat="false" ht="15" hidden="false" customHeight="false" outlineLevel="0" collapsed="false">
      <c r="A533" s="11" t="n">
        <v>529</v>
      </c>
      <c r="B533" s="11" t="n">
        <f aca="false">MATCH(A533,월별!$C$6:$C$41,1)</f>
        <v>18</v>
      </c>
      <c r="C533" s="11" t="n">
        <f aca="false">L532</f>
        <v>100</v>
      </c>
      <c r="D533" s="24" t="n">
        <f aca="false">C533*가정!$B$8</f>
        <v>500</v>
      </c>
      <c r="E533" s="24" t="n">
        <f aca="false">H532+D532</f>
        <v>122553.668341709</v>
      </c>
      <c r="F533" s="11" t="n">
        <f aca="false">IF(가정!$B$11=1,MAX(0,MIN(가정!$B$16-C533,INT(E533/가정!$B$17))),0)</f>
        <v>0</v>
      </c>
      <c r="G533" s="24" t="n">
        <f aca="false">F533*가정!$B$17</f>
        <v>0</v>
      </c>
      <c r="H533" s="24" t="n">
        <f aca="false">E533-G533</f>
        <v>122553.668341709</v>
      </c>
      <c r="I533" s="24" t="n">
        <f aca="false">I532+D533</f>
        <v>149520</v>
      </c>
      <c r="J533" s="16" t="n">
        <f aca="false">(H533+D533)*가정!$B$10</f>
        <v>123053.668341709</v>
      </c>
      <c r="K533" s="24" t="n">
        <f aca="false">A533*가정!$B$8*가정!$B$7</f>
        <v>2645</v>
      </c>
      <c r="L533" s="11" t="n">
        <f aca="false">C533+F533</f>
        <v>100</v>
      </c>
    </row>
    <row r="534" customFormat="false" ht="15" hidden="false" customHeight="false" outlineLevel="0" collapsed="false">
      <c r="A534" s="11" t="n">
        <v>530</v>
      </c>
      <c r="B534" s="11" t="n">
        <f aca="false">MATCH(A534,월별!$C$6:$C$41,1)</f>
        <v>18</v>
      </c>
      <c r="C534" s="11" t="n">
        <f aca="false">L533</f>
        <v>100</v>
      </c>
      <c r="D534" s="24" t="n">
        <f aca="false">C534*가정!$B$8</f>
        <v>500</v>
      </c>
      <c r="E534" s="24" t="n">
        <f aca="false">H533+D533</f>
        <v>123053.668341709</v>
      </c>
      <c r="F534" s="11" t="n">
        <f aca="false">IF(가정!$B$11=1,MAX(0,MIN(가정!$B$16-C534,INT(E534/가정!$B$17))),0)</f>
        <v>0</v>
      </c>
      <c r="G534" s="24" t="n">
        <f aca="false">F534*가정!$B$17</f>
        <v>0</v>
      </c>
      <c r="H534" s="24" t="n">
        <f aca="false">E534-G534</f>
        <v>123053.668341709</v>
      </c>
      <c r="I534" s="24" t="n">
        <f aca="false">I533+D534</f>
        <v>150020</v>
      </c>
      <c r="J534" s="16" t="n">
        <f aca="false">(H534+D534)*가정!$B$10</f>
        <v>123553.668341709</v>
      </c>
      <c r="K534" s="24" t="n">
        <f aca="false">A534*가정!$B$8*가정!$B$7</f>
        <v>2650</v>
      </c>
      <c r="L534" s="11" t="n">
        <f aca="false">C534+F534</f>
        <v>100</v>
      </c>
    </row>
    <row r="535" customFormat="false" ht="15" hidden="false" customHeight="false" outlineLevel="0" collapsed="false">
      <c r="A535" s="11" t="n">
        <v>531</v>
      </c>
      <c r="B535" s="11" t="n">
        <f aca="false">MATCH(A535,월별!$C$6:$C$41,1)</f>
        <v>18</v>
      </c>
      <c r="C535" s="11" t="n">
        <f aca="false">L534</f>
        <v>100</v>
      </c>
      <c r="D535" s="24" t="n">
        <f aca="false">C535*가정!$B$8</f>
        <v>500</v>
      </c>
      <c r="E535" s="24" t="n">
        <f aca="false">H534+D534</f>
        <v>123553.668341709</v>
      </c>
      <c r="F535" s="11" t="n">
        <f aca="false">IF(가정!$B$11=1,MAX(0,MIN(가정!$B$16-C535,INT(E535/가정!$B$17))),0)</f>
        <v>0</v>
      </c>
      <c r="G535" s="24" t="n">
        <f aca="false">F535*가정!$B$17</f>
        <v>0</v>
      </c>
      <c r="H535" s="24" t="n">
        <f aca="false">E535-G535</f>
        <v>123553.668341709</v>
      </c>
      <c r="I535" s="24" t="n">
        <f aca="false">I534+D535</f>
        <v>150520</v>
      </c>
      <c r="J535" s="16" t="n">
        <f aca="false">(H535+D535)*가정!$B$10</f>
        <v>124053.668341709</v>
      </c>
      <c r="K535" s="24" t="n">
        <f aca="false">A535*가정!$B$8*가정!$B$7</f>
        <v>2655</v>
      </c>
      <c r="L535" s="11" t="n">
        <f aca="false">C535+F535</f>
        <v>100</v>
      </c>
    </row>
    <row r="536" customFormat="false" ht="15" hidden="false" customHeight="false" outlineLevel="0" collapsed="false">
      <c r="A536" s="11" t="n">
        <v>532</v>
      </c>
      <c r="B536" s="11" t="n">
        <f aca="false">MATCH(A536,월별!$C$6:$C$41,1)</f>
        <v>18</v>
      </c>
      <c r="C536" s="11" t="n">
        <f aca="false">L535</f>
        <v>100</v>
      </c>
      <c r="D536" s="24" t="n">
        <f aca="false">C536*가정!$B$8</f>
        <v>500</v>
      </c>
      <c r="E536" s="24" t="n">
        <f aca="false">H535+D535</f>
        <v>124053.668341709</v>
      </c>
      <c r="F536" s="11" t="n">
        <f aca="false">IF(가정!$B$11=1,MAX(0,MIN(가정!$B$16-C536,INT(E536/가정!$B$17))),0)</f>
        <v>0</v>
      </c>
      <c r="G536" s="24" t="n">
        <f aca="false">F536*가정!$B$17</f>
        <v>0</v>
      </c>
      <c r="H536" s="24" t="n">
        <f aca="false">E536-G536</f>
        <v>124053.668341709</v>
      </c>
      <c r="I536" s="24" t="n">
        <f aca="false">I535+D536</f>
        <v>151020</v>
      </c>
      <c r="J536" s="16" t="n">
        <f aca="false">(H536+D536)*가정!$B$10</f>
        <v>124553.668341709</v>
      </c>
      <c r="K536" s="24" t="n">
        <f aca="false">A536*가정!$B$8*가정!$B$7</f>
        <v>2660</v>
      </c>
      <c r="L536" s="11" t="n">
        <f aca="false">C536+F536</f>
        <v>100</v>
      </c>
    </row>
    <row r="537" customFormat="false" ht="15" hidden="false" customHeight="false" outlineLevel="0" collapsed="false">
      <c r="A537" s="11" t="n">
        <v>533</v>
      </c>
      <c r="B537" s="11" t="n">
        <f aca="false">MATCH(A537,월별!$C$6:$C$41,1)</f>
        <v>18</v>
      </c>
      <c r="C537" s="11" t="n">
        <f aca="false">L536</f>
        <v>100</v>
      </c>
      <c r="D537" s="24" t="n">
        <f aca="false">C537*가정!$B$8</f>
        <v>500</v>
      </c>
      <c r="E537" s="24" t="n">
        <f aca="false">H536+D536</f>
        <v>124553.668341709</v>
      </c>
      <c r="F537" s="11" t="n">
        <f aca="false">IF(가정!$B$11=1,MAX(0,MIN(가정!$B$16-C537,INT(E537/가정!$B$17))),0)</f>
        <v>0</v>
      </c>
      <c r="G537" s="24" t="n">
        <f aca="false">F537*가정!$B$17</f>
        <v>0</v>
      </c>
      <c r="H537" s="24" t="n">
        <f aca="false">E537-G537</f>
        <v>124553.668341709</v>
      </c>
      <c r="I537" s="24" t="n">
        <f aca="false">I536+D537</f>
        <v>151520</v>
      </c>
      <c r="J537" s="16" t="n">
        <f aca="false">(H537+D537)*가정!$B$10</f>
        <v>125053.668341709</v>
      </c>
      <c r="K537" s="24" t="n">
        <f aca="false">A537*가정!$B$8*가정!$B$7</f>
        <v>2665</v>
      </c>
      <c r="L537" s="11" t="n">
        <f aca="false">C537+F537</f>
        <v>100</v>
      </c>
    </row>
    <row r="538" customFormat="false" ht="15" hidden="false" customHeight="false" outlineLevel="0" collapsed="false">
      <c r="A538" s="11" t="n">
        <v>534</v>
      </c>
      <c r="B538" s="11" t="n">
        <f aca="false">MATCH(A538,월별!$C$6:$C$41,1)</f>
        <v>18</v>
      </c>
      <c r="C538" s="11" t="n">
        <f aca="false">L537</f>
        <v>100</v>
      </c>
      <c r="D538" s="24" t="n">
        <f aca="false">C538*가정!$B$8</f>
        <v>500</v>
      </c>
      <c r="E538" s="24" t="n">
        <f aca="false">H537+D537</f>
        <v>125053.668341709</v>
      </c>
      <c r="F538" s="11" t="n">
        <f aca="false">IF(가정!$B$11=1,MAX(0,MIN(가정!$B$16-C538,INT(E538/가정!$B$17))),0)</f>
        <v>0</v>
      </c>
      <c r="G538" s="24" t="n">
        <f aca="false">F538*가정!$B$17</f>
        <v>0</v>
      </c>
      <c r="H538" s="24" t="n">
        <f aca="false">E538-G538</f>
        <v>125053.668341709</v>
      </c>
      <c r="I538" s="24" t="n">
        <f aca="false">I537+D538</f>
        <v>152020</v>
      </c>
      <c r="J538" s="16" t="n">
        <f aca="false">(H538+D538)*가정!$B$10</f>
        <v>125553.668341709</v>
      </c>
      <c r="K538" s="24" t="n">
        <f aca="false">A538*가정!$B$8*가정!$B$7</f>
        <v>2670</v>
      </c>
      <c r="L538" s="11" t="n">
        <f aca="false">C538+F538</f>
        <v>100</v>
      </c>
    </row>
    <row r="539" customFormat="false" ht="15" hidden="false" customHeight="false" outlineLevel="0" collapsed="false">
      <c r="A539" s="11" t="n">
        <v>535</v>
      </c>
      <c r="B539" s="11" t="n">
        <f aca="false">MATCH(A539,월별!$C$6:$C$41,1)</f>
        <v>18</v>
      </c>
      <c r="C539" s="11" t="n">
        <f aca="false">L538</f>
        <v>100</v>
      </c>
      <c r="D539" s="24" t="n">
        <f aca="false">C539*가정!$B$8</f>
        <v>500</v>
      </c>
      <c r="E539" s="24" t="n">
        <f aca="false">H538+D538</f>
        <v>125553.668341709</v>
      </c>
      <c r="F539" s="11" t="n">
        <f aca="false">IF(가정!$B$11=1,MAX(0,MIN(가정!$B$16-C539,INT(E539/가정!$B$17))),0)</f>
        <v>0</v>
      </c>
      <c r="G539" s="24" t="n">
        <f aca="false">F539*가정!$B$17</f>
        <v>0</v>
      </c>
      <c r="H539" s="24" t="n">
        <f aca="false">E539-G539</f>
        <v>125553.668341709</v>
      </c>
      <c r="I539" s="24" t="n">
        <f aca="false">I538+D539</f>
        <v>152520</v>
      </c>
      <c r="J539" s="16" t="n">
        <f aca="false">(H539+D539)*가정!$B$10</f>
        <v>126053.668341709</v>
      </c>
      <c r="K539" s="24" t="n">
        <f aca="false">A539*가정!$B$8*가정!$B$7</f>
        <v>2675</v>
      </c>
      <c r="L539" s="11" t="n">
        <f aca="false">C539+F539</f>
        <v>100</v>
      </c>
    </row>
    <row r="540" customFormat="false" ht="15" hidden="false" customHeight="false" outlineLevel="0" collapsed="false">
      <c r="A540" s="11" t="n">
        <v>536</v>
      </c>
      <c r="B540" s="11" t="n">
        <f aca="false">MATCH(A540,월별!$C$6:$C$41,1)</f>
        <v>18</v>
      </c>
      <c r="C540" s="11" t="n">
        <f aca="false">L539</f>
        <v>100</v>
      </c>
      <c r="D540" s="24" t="n">
        <f aca="false">C540*가정!$B$8</f>
        <v>500</v>
      </c>
      <c r="E540" s="24" t="n">
        <f aca="false">H539+D539</f>
        <v>126053.668341709</v>
      </c>
      <c r="F540" s="11" t="n">
        <f aca="false">IF(가정!$B$11=1,MAX(0,MIN(가정!$B$16-C540,INT(E540/가정!$B$17))),0)</f>
        <v>0</v>
      </c>
      <c r="G540" s="24" t="n">
        <f aca="false">F540*가정!$B$17</f>
        <v>0</v>
      </c>
      <c r="H540" s="24" t="n">
        <f aca="false">E540-G540</f>
        <v>126053.668341709</v>
      </c>
      <c r="I540" s="24" t="n">
        <f aca="false">I539+D540</f>
        <v>153020</v>
      </c>
      <c r="J540" s="16" t="n">
        <f aca="false">(H540+D540)*가정!$B$10</f>
        <v>126553.668341709</v>
      </c>
      <c r="K540" s="24" t="n">
        <f aca="false">A540*가정!$B$8*가정!$B$7</f>
        <v>2680</v>
      </c>
      <c r="L540" s="11" t="n">
        <f aca="false">C540+F540</f>
        <v>100</v>
      </c>
    </row>
    <row r="541" customFormat="false" ht="15" hidden="false" customHeight="false" outlineLevel="0" collapsed="false">
      <c r="A541" s="11" t="n">
        <v>537</v>
      </c>
      <c r="B541" s="11" t="n">
        <f aca="false">MATCH(A541,월별!$C$6:$C$41,1)</f>
        <v>18</v>
      </c>
      <c r="C541" s="11" t="n">
        <f aca="false">L540</f>
        <v>100</v>
      </c>
      <c r="D541" s="24" t="n">
        <f aca="false">C541*가정!$B$8</f>
        <v>500</v>
      </c>
      <c r="E541" s="24" t="n">
        <f aca="false">H540+D540</f>
        <v>126553.668341709</v>
      </c>
      <c r="F541" s="11" t="n">
        <f aca="false">IF(가정!$B$11=1,MAX(0,MIN(가정!$B$16-C541,INT(E541/가정!$B$17))),0)</f>
        <v>0</v>
      </c>
      <c r="G541" s="24" t="n">
        <f aca="false">F541*가정!$B$17</f>
        <v>0</v>
      </c>
      <c r="H541" s="24" t="n">
        <f aca="false">E541-G541</f>
        <v>126553.668341709</v>
      </c>
      <c r="I541" s="24" t="n">
        <f aca="false">I540+D541</f>
        <v>153520</v>
      </c>
      <c r="J541" s="16" t="n">
        <f aca="false">(H541+D541)*가정!$B$10</f>
        <v>127053.668341709</v>
      </c>
      <c r="K541" s="24" t="n">
        <f aca="false">A541*가정!$B$8*가정!$B$7</f>
        <v>2685</v>
      </c>
      <c r="L541" s="11" t="n">
        <f aca="false">C541+F541</f>
        <v>100</v>
      </c>
    </row>
    <row r="542" customFormat="false" ht="15" hidden="false" customHeight="false" outlineLevel="0" collapsed="false">
      <c r="A542" s="11" t="n">
        <v>538</v>
      </c>
      <c r="B542" s="11" t="n">
        <f aca="false">MATCH(A542,월별!$C$6:$C$41,1)</f>
        <v>18</v>
      </c>
      <c r="C542" s="11" t="n">
        <f aca="false">L541</f>
        <v>100</v>
      </c>
      <c r="D542" s="24" t="n">
        <f aca="false">C542*가정!$B$8</f>
        <v>500</v>
      </c>
      <c r="E542" s="24" t="n">
        <f aca="false">H541+D541</f>
        <v>127053.668341709</v>
      </c>
      <c r="F542" s="11" t="n">
        <f aca="false">IF(가정!$B$11=1,MAX(0,MIN(가정!$B$16-C542,INT(E542/가정!$B$17))),0)</f>
        <v>0</v>
      </c>
      <c r="G542" s="24" t="n">
        <f aca="false">F542*가정!$B$17</f>
        <v>0</v>
      </c>
      <c r="H542" s="24" t="n">
        <f aca="false">E542-G542</f>
        <v>127053.668341709</v>
      </c>
      <c r="I542" s="24" t="n">
        <f aca="false">I541+D542</f>
        <v>154020</v>
      </c>
      <c r="J542" s="16" t="n">
        <f aca="false">(H542+D542)*가정!$B$10</f>
        <v>127553.668341709</v>
      </c>
      <c r="K542" s="24" t="n">
        <f aca="false">A542*가정!$B$8*가정!$B$7</f>
        <v>2690</v>
      </c>
      <c r="L542" s="11" t="n">
        <f aca="false">C542+F542</f>
        <v>100</v>
      </c>
    </row>
    <row r="543" customFormat="false" ht="15" hidden="false" customHeight="false" outlineLevel="0" collapsed="false">
      <c r="A543" s="11" t="n">
        <v>539</v>
      </c>
      <c r="B543" s="11" t="n">
        <f aca="false">MATCH(A543,월별!$C$6:$C$41,1)</f>
        <v>18</v>
      </c>
      <c r="C543" s="11" t="n">
        <f aca="false">L542</f>
        <v>100</v>
      </c>
      <c r="D543" s="24" t="n">
        <f aca="false">C543*가정!$B$8</f>
        <v>500</v>
      </c>
      <c r="E543" s="24" t="n">
        <f aca="false">H542+D542</f>
        <v>127553.668341709</v>
      </c>
      <c r="F543" s="11" t="n">
        <f aca="false">IF(가정!$B$11=1,MAX(0,MIN(가정!$B$16-C543,INT(E543/가정!$B$17))),0)</f>
        <v>0</v>
      </c>
      <c r="G543" s="24" t="n">
        <f aca="false">F543*가정!$B$17</f>
        <v>0</v>
      </c>
      <c r="H543" s="24" t="n">
        <f aca="false">E543-G543</f>
        <v>127553.668341709</v>
      </c>
      <c r="I543" s="24" t="n">
        <f aca="false">I542+D543</f>
        <v>154520</v>
      </c>
      <c r="J543" s="16" t="n">
        <f aca="false">(H543+D543)*가정!$B$10</f>
        <v>128053.668341709</v>
      </c>
      <c r="K543" s="24" t="n">
        <f aca="false">A543*가정!$B$8*가정!$B$7</f>
        <v>2695</v>
      </c>
      <c r="L543" s="11" t="n">
        <f aca="false">C543+F543</f>
        <v>100</v>
      </c>
    </row>
    <row r="544" customFormat="false" ht="15" hidden="false" customHeight="false" outlineLevel="0" collapsed="false">
      <c r="A544" s="11" t="n">
        <v>540</v>
      </c>
      <c r="B544" s="11" t="n">
        <f aca="false">MATCH(A544,월별!$C$6:$C$41,1)</f>
        <v>18</v>
      </c>
      <c r="C544" s="11" t="n">
        <f aca="false">L543</f>
        <v>100</v>
      </c>
      <c r="D544" s="24" t="n">
        <f aca="false">C544*가정!$B$8</f>
        <v>500</v>
      </c>
      <c r="E544" s="24" t="n">
        <f aca="false">H543+D543</f>
        <v>128053.668341709</v>
      </c>
      <c r="F544" s="11" t="n">
        <f aca="false">IF(가정!$B$11=1,MAX(0,MIN(가정!$B$16-C544,INT(E544/가정!$B$17))),0)</f>
        <v>0</v>
      </c>
      <c r="G544" s="24" t="n">
        <f aca="false">F544*가정!$B$17</f>
        <v>0</v>
      </c>
      <c r="H544" s="24" t="n">
        <f aca="false">E544-G544</f>
        <v>128053.668341709</v>
      </c>
      <c r="I544" s="24" t="n">
        <f aca="false">I543+D544</f>
        <v>155020</v>
      </c>
      <c r="J544" s="16" t="n">
        <f aca="false">(H544+D544)*가정!$B$10</f>
        <v>128553.668341709</v>
      </c>
      <c r="K544" s="24" t="n">
        <f aca="false">A544*가정!$B$8*가정!$B$7</f>
        <v>2700</v>
      </c>
      <c r="L544" s="11" t="n">
        <f aca="false">C544+F544</f>
        <v>100</v>
      </c>
    </row>
    <row r="545" customFormat="false" ht="15" hidden="false" customHeight="false" outlineLevel="0" collapsed="false">
      <c r="A545" s="11" t="n">
        <v>541</v>
      </c>
      <c r="B545" s="11" t="n">
        <f aca="false">MATCH(A545,월별!$C$6:$C$41,1)</f>
        <v>18</v>
      </c>
      <c r="C545" s="11" t="n">
        <f aca="false">L544</f>
        <v>100</v>
      </c>
      <c r="D545" s="24" t="n">
        <f aca="false">C545*가정!$B$8</f>
        <v>500</v>
      </c>
      <c r="E545" s="24" t="n">
        <f aca="false">H544+D544</f>
        <v>128553.668341709</v>
      </c>
      <c r="F545" s="11" t="n">
        <f aca="false">IF(가정!$B$11=1,MAX(0,MIN(가정!$B$16-C545,INT(E545/가정!$B$17))),0)</f>
        <v>0</v>
      </c>
      <c r="G545" s="24" t="n">
        <f aca="false">F545*가정!$B$17</f>
        <v>0</v>
      </c>
      <c r="H545" s="24" t="n">
        <f aca="false">E545-G545</f>
        <v>128553.668341709</v>
      </c>
      <c r="I545" s="24" t="n">
        <f aca="false">I544+D545</f>
        <v>155520</v>
      </c>
      <c r="J545" s="16" t="n">
        <f aca="false">(H545+D545)*가정!$B$10</f>
        <v>129053.668341709</v>
      </c>
      <c r="K545" s="24" t="n">
        <f aca="false">A545*가정!$B$8*가정!$B$7</f>
        <v>2705</v>
      </c>
      <c r="L545" s="11" t="n">
        <f aca="false">C545+F545</f>
        <v>100</v>
      </c>
    </row>
    <row r="546" customFormat="false" ht="15" hidden="false" customHeight="false" outlineLevel="0" collapsed="false">
      <c r="A546" s="11" t="n">
        <v>542</v>
      </c>
      <c r="B546" s="11" t="n">
        <f aca="false">MATCH(A546,월별!$C$6:$C$41,1)</f>
        <v>18</v>
      </c>
      <c r="C546" s="11" t="n">
        <f aca="false">L545</f>
        <v>100</v>
      </c>
      <c r="D546" s="24" t="n">
        <f aca="false">C546*가정!$B$8</f>
        <v>500</v>
      </c>
      <c r="E546" s="24" t="n">
        <f aca="false">H545+D545</f>
        <v>129053.668341709</v>
      </c>
      <c r="F546" s="11" t="n">
        <f aca="false">IF(가정!$B$11=1,MAX(0,MIN(가정!$B$16-C546,INT(E546/가정!$B$17))),0)</f>
        <v>0</v>
      </c>
      <c r="G546" s="24" t="n">
        <f aca="false">F546*가정!$B$17</f>
        <v>0</v>
      </c>
      <c r="H546" s="24" t="n">
        <f aca="false">E546-G546</f>
        <v>129053.668341709</v>
      </c>
      <c r="I546" s="24" t="n">
        <f aca="false">I545+D546</f>
        <v>156020</v>
      </c>
      <c r="J546" s="16" t="n">
        <f aca="false">(H546+D546)*가정!$B$10</f>
        <v>129553.668341709</v>
      </c>
      <c r="K546" s="24" t="n">
        <f aca="false">A546*가정!$B$8*가정!$B$7</f>
        <v>2710</v>
      </c>
      <c r="L546" s="11" t="n">
        <f aca="false">C546+F546</f>
        <v>100</v>
      </c>
    </row>
    <row r="547" customFormat="false" ht="15" hidden="false" customHeight="false" outlineLevel="0" collapsed="false">
      <c r="A547" s="11" t="n">
        <v>543</v>
      </c>
      <c r="B547" s="11" t="n">
        <f aca="false">MATCH(A547,월별!$C$6:$C$41,1)</f>
        <v>18</v>
      </c>
      <c r="C547" s="11" t="n">
        <f aca="false">L546</f>
        <v>100</v>
      </c>
      <c r="D547" s="24" t="n">
        <f aca="false">C547*가정!$B$8</f>
        <v>500</v>
      </c>
      <c r="E547" s="24" t="n">
        <f aca="false">H546+D546</f>
        <v>129553.668341709</v>
      </c>
      <c r="F547" s="11" t="n">
        <f aca="false">IF(가정!$B$11=1,MAX(0,MIN(가정!$B$16-C547,INT(E547/가정!$B$17))),0)</f>
        <v>0</v>
      </c>
      <c r="G547" s="24" t="n">
        <f aca="false">F547*가정!$B$17</f>
        <v>0</v>
      </c>
      <c r="H547" s="24" t="n">
        <f aca="false">E547-G547</f>
        <v>129553.668341709</v>
      </c>
      <c r="I547" s="24" t="n">
        <f aca="false">I546+D547</f>
        <v>156520</v>
      </c>
      <c r="J547" s="16" t="n">
        <f aca="false">(H547+D547)*가정!$B$10</f>
        <v>130053.668341709</v>
      </c>
      <c r="K547" s="24" t="n">
        <f aca="false">A547*가정!$B$8*가정!$B$7</f>
        <v>2715</v>
      </c>
      <c r="L547" s="11" t="n">
        <f aca="false">C547+F547</f>
        <v>100</v>
      </c>
    </row>
    <row r="548" customFormat="false" ht="15" hidden="false" customHeight="false" outlineLevel="0" collapsed="false">
      <c r="A548" s="11" t="n">
        <v>544</v>
      </c>
      <c r="B548" s="11" t="n">
        <f aca="false">MATCH(A548,월별!$C$6:$C$41,1)</f>
        <v>18</v>
      </c>
      <c r="C548" s="11" t="n">
        <f aca="false">L547</f>
        <v>100</v>
      </c>
      <c r="D548" s="24" t="n">
        <f aca="false">C548*가정!$B$8</f>
        <v>500</v>
      </c>
      <c r="E548" s="24" t="n">
        <f aca="false">H547+D547</f>
        <v>130053.668341709</v>
      </c>
      <c r="F548" s="11" t="n">
        <f aca="false">IF(가정!$B$11=1,MAX(0,MIN(가정!$B$16-C548,INT(E548/가정!$B$17))),0)</f>
        <v>0</v>
      </c>
      <c r="G548" s="24" t="n">
        <f aca="false">F548*가정!$B$17</f>
        <v>0</v>
      </c>
      <c r="H548" s="24" t="n">
        <f aca="false">E548-G548</f>
        <v>130053.668341709</v>
      </c>
      <c r="I548" s="24" t="n">
        <f aca="false">I547+D548</f>
        <v>157020</v>
      </c>
      <c r="J548" s="16" t="n">
        <f aca="false">(H548+D548)*가정!$B$10</f>
        <v>130553.668341709</v>
      </c>
      <c r="K548" s="24" t="n">
        <f aca="false">A548*가정!$B$8*가정!$B$7</f>
        <v>2720</v>
      </c>
      <c r="L548" s="11" t="n">
        <f aca="false">C548+F548</f>
        <v>100</v>
      </c>
    </row>
    <row r="549" customFormat="false" ht="15" hidden="false" customHeight="false" outlineLevel="0" collapsed="false">
      <c r="A549" s="11" t="n">
        <v>545</v>
      </c>
      <c r="B549" s="11" t="n">
        <f aca="false">MATCH(A549,월별!$C$6:$C$41,1)</f>
        <v>18</v>
      </c>
      <c r="C549" s="11" t="n">
        <f aca="false">L548</f>
        <v>100</v>
      </c>
      <c r="D549" s="24" t="n">
        <f aca="false">C549*가정!$B$8</f>
        <v>500</v>
      </c>
      <c r="E549" s="24" t="n">
        <f aca="false">H548+D548</f>
        <v>130553.668341709</v>
      </c>
      <c r="F549" s="11" t="n">
        <f aca="false">IF(가정!$B$11=1,MAX(0,MIN(가정!$B$16-C549,INT(E549/가정!$B$17))),0)</f>
        <v>0</v>
      </c>
      <c r="G549" s="24" t="n">
        <f aca="false">F549*가정!$B$17</f>
        <v>0</v>
      </c>
      <c r="H549" s="24" t="n">
        <f aca="false">E549-G549</f>
        <v>130553.668341709</v>
      </c>
      <c r="I549" s="24" t="n">
        <f aca="false">I548+D549</f>
        <v>157520</v>
      </c>
      <c r="J549" s="16" t="n">
        <f aca="false">(H549+D549)*가정!$B$10</f>
        <v>131053.668341709</v>
      </c>
      <c r="K549" s="24" t="n">
        <f aca="false">A549*가정!$B$8*가정!$B$7</f>
        <v>2725</v>
      </c>
      <c r="L549" s="11" t="n">
        <f aca="false">C549+F549</f>
        <v>100</v>
      </c>
    </row>
    <row r="550" customFormat="false" ht="15" hidden="false" customHeight="false" outlineLevel="0" collapsed="false">
      <c r="A550" s="11" t="n">
        <v>546</v>
      </c>
      <c r="B550" s="11" t="n">
        <f aca="false">MATCH(A550,월별!$C$6:$C$41,1)</f>
        <v>18</v>
      </c>
      <c r="C550" s="11" t="n">
        <f aca="false">L549</f>
        <v>100</v>
      </c>
      <c r="D550" s="24" t="n">
        <f aca="false">C550*가정!$B$8</f>
        <v>500</v>
      </c>
      <c r="E550" s="24" t="n">
        <f aca="false">H549+D549</f>
        <v>131053.668341709</v>
      </c>
      <c r="F550" s="11" t="n">
        <f aca="false">IF(가정!$B$11=1,MAX(0,MIN(가정!$B$16-C550,INT(E550/가정!$B$17))),0)</f>
        <v>0</v>
      </c>
      <c r="G550" s="24" t="n">
        <f aca="false">F550*가정!$B$17</f>
        <v>0</v>
      </c>
      <c r="H550" s="24" t="n">
        <f aca="false">E550-G550</f>
        <v>131053.668341709</v>
      </c>
      <c r="I550" s="24" t="n">
        <f aca="false">I549+D550</f>
        <v>158020</v>
      </c>
      <c r="J550" s="16" t="n">
        <f aca="false">(H550+D550)*가정!$B$10</f>
        <v>131553.668341709</v>
      </c>
      <c r="K550" s="24" t="n">
        <f aca="false">A550*가정!$B$8*가정!$B$7</f>
        <v>2730</v>
      </c>
      <c r="L550" s="11" t="n">
        <f aca="false">C550+F550</f>
        <v>100</v>
      </c>
    </row>
    <row r="551" customFormat="false" ht="15" hidden="false" customHeight="false" outlineLevel="0" collapsed="false">
      <c r="A551" s="11" t="n">
        <v>547</v>
      </c>
      <c r="B551" s="11" t="n">
        <f aca="false">MATCH(A551,월별!$C$6:$C$41,1)</f>
        <v>18</v>
      </c>
      <c r="C551" s="11" t="n">
        <f aca="false">L550</f>
        <v>100</v>
      </c>
      <c r="D551" s="24" t="n">
        <f aca="false">C551*가정!$B$8</f>
        <v>500</v>
      </c>
      <c r="E551" s="24" t="n">
        <f aca="false">H550+D550</f>
        <v>131553.668341709</v>
      </c>
      <c r="F551" s="11" t="n">
        <f aca="false">IF(가정!$B$11=1,MAX(0,MIN(가정!$B$16-C551,INT(E551/가정!$B$17))),0)</f>
        <v>0</v>
      </c>
      <c r="G551" s="24" t="n">
        <f aca="false">F551*가정!$B$17</f>
        <v>0</v>
      </c>
      <c r="H551" s="24" t="n">
        <f aca="false">E551-G551</f>
        <v>131553.668341709</v>
      </c>
      <c r="I551" s="24" t="n">
        <f aca="false">I550+D551</f>
        <v>158520</v>
      </c>
      <c r="J551" s="16" t="n">
        <f aca="false">(H551+D551)*가정!$B$10</f>
        <v>132053.668341709</v>
      </c>
      <c r="K551" s="24" t="n">
        <f aca="false">A551*가정!$B$8*가정!$B$7</f>
        <v>2735</v>
      </c>
      <c r="L551" s="11" t="n">
        <f aca="false">C551+F551</f>
        <v>100</v>
      </c>
    </row>
    <row r="552" customFormat="false" ht="15" hidden="false" customHeight="false" outlineLevel="0" collapsed="false">
      <c r="A552" s="11" t="n">
        <v>548</v>
      </c>
      <c r="B552" s="11" t="n">
        <f aca="false">MATCH(A552,월별!$C$6:$C$41,1)</f>
        <v>18</v>
      </c>
      <c r="C552" s="11" t="n">
        <f aca="false">L551</f>
        <v>100</v>
      </c>
      <c r="D552" s="24" t="n">
        <f aca="false">C552*가정!$B$8</f>
        <v>500</v>
      </c>
      <c r="E552" s="24" t="n">
        <f aca="false">H551+D551</f>
        <v>132053.668341709</v>
      </c>
      <c r="F552" s="11" t="n">
        <f aca="false">IF(가정!$B$11=1,MAX(0,MIN(가정!$B$16-C552,INT(E552/가정!$B$17))),0)</f>
        <v>0</v>
      </c>
      <c r="G552" s="24" t="n">
        <f aca="false">F552*가정!$B$17</f>
        <v>0</v>
      </c>
      <c r="H552" s="24" t="n">
        <f aca="false">E552-G552</f>
        <v>132053.668341709</v>
      </c>
      <c r="I552" s="24" t="n">
        <f aca="false">I551+D552</f>
        <v>159020</v>
      </c>
      <c r="J552" s="16" t="n">
        <f aca="false">(H552+D552)*가정!$B$10</f>
        <v>132553.668341709</v>
      </c>
      <c r="K552" s="24" t="n">
        <f aca="false">A552*가정!$B$8*가정!$B$7</f>
        <v>2740</v>
      </c>
      <c r="L552" s="11" t="n">
        <f aca="false">C552+F552</f>
        <v>100</v>
      </c>
    </row>
    <row r="553" customFormat="false" ht="15" hidden="false" customHeight="false" outlineLevel="0" collapsed="false">
      <c r="A553" s="11" t="n">
        <v>549</v>
      </c>
      <c r="B553" s="11" t="n">
        <f aca="false">MATCH(A553,월별!$C$6:$C$41,1)</f>
        <v>19</v>
      </c>
      <c r="C553" s="11" t="n">
        <f aca="false">L552</f>
        <v>100</v>
      </c>
      <c r="D553" s="24" t="n">
        <f aca="false">C553*가정!$B$8</f>
        <v>500</v>
      </c>
      <c r="E553" s="24" t="n">
        <f aca="false">H552+D552</f>
        <v>132553.668341709</v>
      </c>
      <c r="F553" s="11" t="n">
        <f aca="false">IF(가정!$B$11=1,MAX(0,MIN(가정!$B$16-C553,INT(E553/가정!$B$17))),0)</f>
        <v>0</v>
      </c>
      <c r="G553" s="24" t="n">
        <f aca="false">F553*가정!$B$17</f>
        <v>0</v>
      </c>
      <c r="H553" s="24" t="n">
        <f aca="false">E553-G553</f>
        <v>132553.668341709</v>
      </c>
      <c r="I553" s="24" t="n">
        <f aca="false">I552+D553</f>
        <v>159520</v>
      </c>
      <c r="J553" s="16" t="n">
        <f aca="false">(H553+D553)*가정!$B$10</f>
        <v>133053.668341709</v>
      </c>
      <c r="K553" s="24" t="n">
        <f aca="false">A553*가정!$B$8*가정!$B$7</f>
        <v>2745</v>
      </c>
      <c r="L553" s="11" t="n">
        <f aca="false">C553+F553</f>
        <v>100</v>
      </c>
    </row>
    <row r="554" customFormat="false" ht="15" hidden="false" customHeight="false" outlineLevel="0" collapsed="false">
      <c r="A554" s="11" t="n">
        <v>550</v>
      </c>
      <c r="B554" s="11" t="n">
        <f aca="false">MATCH(A554,월별!$C$6:$C$41,1)</f>
        <v>19</v>
      </c>
      <c r="C554" s="11" t="n">
        <f aca="false">L553</f>
        <v>100</v>
      </c>
      <c r="D554" s="24" t="n">
        <f aca="false">C554*가정!$B$8</f>
        <v>500</v>
      </c>
      <c r="E554" s="24" t="n">
        <f aca="false">H553+D553</f>
        <v>133053.668341709</v>
      </c>
      <c r="F554" s="11" t="n">
        <f aca="false">IF(가정!$B$11=1,MAX(0,MIN(가정!$B$16-C554,INT(E554/가정!$B$17))),0)</f>
        <v>0</v>
      </c>
      <c r="G554" s="24" t="n">
        <f aca="false">F554*가정!$B$17</f>
        <v>0</v>
      </c>
      <c r="H554" s="24" t="n">
        <f aca="false">E554-G554</f>
        <v>133053.668341709</v>
      </c>
      <c r="I554" s="24" t="n">
        <f aca="false">I553+D554</f>
        <v>160020</v>
      </c>
      <c r="J554" s="16" t="n">
        <f aca="false">(H554+D554)*가정!$B$10</f>
        <v>133553.668341709</v>
      </c>
      <c r="K554" s="24" t="n">
        <f aca="false">A554*가정!$B$8*가정!$B$7</f>
        <v>2750</v>
      </c>
      <c r="L554" s="11" t="n">
        <f aca="false">C554+F554</f>
        <v>100</v>
      </c>
    </row>
    <row r="555" customFormat="false" ht="15" hidden="false" customHeight="false" outlineLevel="0" collapsed="false">
      <c r="A555" s="11" t="n">
        <v>551</v>
      </c>
      <c r="B555" s="11" t="n">
        <f aca="false">MATCH(A555,월별!$C$6:$C$41,1)</f>
        <v>19</v>
      </c>
      <c r="C555" s="11" t="n">
        <f aca="false">L554</f>
        <v>100</v>
      </c>
      <c r="D555" s="24" t="n">
        <f aca="false">C555*가정!$B$8</f>
        <v>500</v>
      </c>
      <c r="E555" s="24" t="n">
        <f aca="false">H554+D554</f>
        <v>133553.668341709</v>
      </c>
      <c r="F555" s="11" t="n">
        <f aca="false">IF(가정!$B$11=1,MAX(0,MIN(가정!$B$16-C555,INT(E555/가정!$B$17))),0)</f>
        <v>0</v>
      </c>
      <c r="G555" s="24" t="n">
        <f aca="false">F555*가정!$B$17</f>
        <v>0</v>
      </c>
      <c r="H555" s="24" t="n">
        <f aca="false">E555-G555</f>
        <v>133553.668341709</v>
      </c>
      <c r="I555" s="24" t="n">
        <f aca="false">I554+D555</f>
        <v>160520</v>
      </c>
      <c r="J555" s="16" t="n">
        <f aca="false">(H555+D555)*가정!$B$10</f>
        <v>134053.668341709</v>
      </c>
      <c r="K555" s="24" t="n">
        <f aca="false">A555*가정!$B$8*가정!$B$7</f>
        <v>2755</v>
      </c>
      <c r="L555" s="11" t="n">
        <f aca="false">C555+F555</f>
        <v>100</v>
      </c>
    </row>
    <row r="556" customFormat="false" ht="15" hidden="false" customHeight="false" outlineLevel="0" collapsed="false">
      <c r="A556" s="11" t="n">
        <v>552</v>
      </c>
      <c r="B556" s="11" t="n">
        <f aca="false">MATCH(A556,월별!$C$6:$C$41,1)</f>
        <v>19</v>
      </c>
      <c r="C556" s="11" t="n">
        <f aca="false">L555</f>
        <v>100</v>
      </c>
      <c r="D556" s="24" t="n">
        <f aca="false">C556*가정!$B$8</f>
        <v>500</v>
      </c>
      <c r="E556" s="24" t="n">
        <f aca="false">H555+D555</f>
        <v>134053.668341709</v>
      </c>
      <c r="F556" s="11" t="n">
        <f aca="false">IF(가정!$B$11=1,MAX(0,MIN(가정!$B$16-C556,INT(E556/가정!$B$17))),0)</f>
        <v>0</v>
      </c>
      <c r="G556" s="24" t="n">
        <f aca="false">F556*가정!$B$17</f>
        <v>0</v>
      </c>
      <c r="H556" s="24" t="n">
        <f aca="false">E556-G556</f>
        <v>134053.668341709</v>
      </c>
      <c r="I556" s="24" t="n">
        <f aca="false">I555+D556</f>
        <v>161020</v>
      </c>
      <c r="J556" s="16" t="n">
        <f aca="false">(H556+D556)*가정!$B$10</f>
        <v>134553.668341709</v>
      </c>
      <c r="K556" s="24" t="n">
        <f aca="false">A556*가정!$B$8*가정!$B$7</f>
        <v>2760</v>
      </c>
      <c r="L556" s="11" t="n">
        <f aca="false">C556+F556</f>
        <v>100</v>
      </c>
    </row>
    <row r="557" customFormat="false" ht="15" hidden="false" customHeight="false" outlineLevel="0" collapsed="false">
      <c r="A557" s="11" t="n">
        <v>553</v>
      </c>
      <c r="B557" s="11" t="n">
        <f aca="false">MATCH(A557,월별!$C$6:$C$41,1)</f>
        <v>19</v>
      </c>
      <c r="C557" s="11" t="n">
        <f aca="false">L556</f>
        <v>100</v>
      </c>
      <c r="D557" s="24" t="n">
        <f aca="false">C557*가정!$B$8</f>
        <v>500</v>
      </c>
      <c r="E557" s="24" t="n">
        <f aca="false">H556+D556</f>
        <v>134553.668341709</v>
      </c>
      <c r="F557" s="11" t="n">
        <f aca="false">IF(가정!$B$11=1,MAX(0,MIN(가정!$B$16-C557,INT(E557/가정!$B$17))),0)</f>
        <v>0</v>
      </c>
      <c r="G557" s="24" t="n">
        <f aca="false">F557*가정!$B$17</f>
        <v>0</v>
      </c>
      <c r="H557" s="24" t="n">
        <f aca="false">E557-G557</f>
        <v>134553.668341709</v>
      </c>
      <c r="I557" s="24" t="n">
        <f aca="false">I556+D557</f>
        <v>161520</v>
      </c>
      <c r="J557" s="16" t="n">
        <f aca="false">(H557+D557)*가정!$B$10</f>
        <v>135053.668341709</v>
      </c>
      <c r="K557" s="24" t="n">
        <f aca="false">A557*가정!$B$8*가정!$B$7</f>
        <v>2765</v>
      </c>
      <c r="L557" s="11" t="n">
        <f aca="false">C557+F557</f>
        <v>100</v>
      </c>
    </row>
    <row r="558" customFormat="false" ht="15" hidden="false" customHeight="false" outlineLevel="0" collapsed="false">
      <c r="A558" s="11" t="n">
        <v>554</v>
      </c>
      <c r="B558" s="11" t="n">
        <f aca="false">MATCH(A558,월별!$C$6:$C$41,1)</f>
        <v>19</v>
      </c>
      <c r="C558" s="11" t="n">
        <f aca="false">L557</f>
        <v>100</v>
      </c>
      <c r="D558" s="24" t="n">
        <f aca="false">C558*가정!$B$8</f>
        <v>500</v>
      </c>
      <c r="E558" s="24" t="n">
        <f aca="false">H557+D557</f>
        <v>135053.668341709</v>
      </c>
      <c r="F558" s="11" t="n">
        <f aca="false">IF(가정!$B$11=1,MAX(0,MIN(가정!$B$16-C558,INT(E558/가정!$B$17))),0)</f>
        <v>0</v>
      </c>
      <c r="G558" s="24" t="n">
        <f aca="false">F558*가정!$B$17</f>
        <v>0</v>
      </c>
      <c r="H558" s="24" t="n">
        <f aca="false">E558-G558</f>
        <v>135053.668341709</v>
      </c>
      <c r="I558" s="24" t="n">
        <f aca="false">I557+D558</f>
        <v>162020</v>
      </c>
      <c r="J558" s="16" t="n">
        <f aca="false">(H558+D558)*가정!$B$10</f>
        <v>135553.668341709</v>
      </c>
      <c r="K558" s="24" t="n">
        <f aca="false">A558*가정!$B$8*가정!$B$7</f>
        <v>2770</v>
      </c>
      <c r="L558" s="11" t="n">
        <f aca="false">C558+F558</f>
        <v>100</v>
      </c>
    </row>
    <row r="559" customFormat="false" ht="15" hidden="false" customHeight="false" outlineLevel="0" collapsed="false">
      <c r="A559" s="11" t="n">
        <v>555</v>
      </c>
      <c r="B559" s="11" t="n">
        <f aca="false">MATCH(A559,월별!$C$6:$C$41,1)</f>
        <v>19</v>
      </c>
      <c r="C559" s="11" t="n">
        <f aca="false">L558</f>
        <v>100</v>
      </c>
      <c r="D559" s="24" t="n">
        <f aca="false">C559*가정!$B$8</f>
        <v>500</v>
      </c>
      <c r="E559" s="24" t="n">
        <f aca="false">H558+D558</f>
        <v>135553.668341709</v>
      </c>
      <c r="F559" s="11" t="n">
        <f aca="false">IF(가정!$B$11=1,MAX(0,MIN(가정!$B$16-C559,INT(E559/가정!$B$17))),0)</f>
        <v>0</v>
      </c>
      <c r="G559" s="24" t="n">
        <f aca="false">F559*가정!$B$17</f>
        <v>0</v>
      </c>
      <c r="H559" s="24" t="n">
        <f aca="false">E559-G559</f>
        <v>135553.668341709</v>
      </c>
      <c r="I559" s="24" t="n">
        <f aca="false">I558+D559</f>
        <v>162520</v>
      </c>
      <c r="J559" s="16" t="n">
        <f aca="false">(H559+D559)*가정!$B$10</f>
        <v>136053.668341709</v>
      </c>
      <c r="K559" s="24" t="n">
        <f aca="false">A559*가정!$B$8*가정!$B$7</f>
        <v>2775</v>
      </c>
      <c r="L559" s="11" t="n">
        <f aca="false">C559+F559</f>
        <v>100</v>
      </c>
    </row>
    <row r="560" customFormat="false" ht="15" hidden="false" customHeight="false" outlineLevel="0" collapsed="false">
      <c r="A560" s="11" t="n">
        <v>556</v>
      </c>
      <c r="B560" s="11" t="n">
        <f aca="false">MATCH(A560,월별!$C$6:$C$41,1)</f>
        <v>19</v>
      </c>
      <c r="C560" s="11" t="n">
        <f aca="false">L559</f>
        <v>100</v>
      </c>
      <c r="D560" s="24" t="n">
        <f aca="false">C560*가정!$B$8</f>
        <v>500</v>
      </c>
      <c r="E560" s="24" t="n">
        <f aca="false">H559+D559</f>
        <v>136053.668341709</v>
      </c>
      <c r="F560" s="11" t="n">
        <f aca="false">IF(가정!$B$11=1,MAX(0,MIN(가정!$B$16-C560,INT(E560/가정!$B$17))),0)</f>
        <v>0</v>
      </c>
      <c r="G560" s="24" t="n">
        <f aca="false">F560*가정!$B$17</f>
        <v>0</v>
      </c>
      <c r="H560" s="24" t="n">
        <f aca="false">E560-G560</f>
        <v>136053.668341709</v>
      </c>
      <c r="I560" s="24" t="n">
        <f aca="false">I559+D560</f>
        <v>163020</v>
      </c>
      <c r="J560" s="16" t="n">
        <f aca="false">(H560+D560)*가정!$B$10</f>
        <v>136553.668341709</v>
      </c>
      <c r="K560" s="24" t="n">
        <f aca="false">A560*가정!$B$8*가정!$B$7</f>
        <v>2780</v>
      </c>
      <c r="L560" s="11" t="n">
        <f aca="false">C560+F560</f>
        <v>100</v>
      </c>
    </row>
    <row r="561" customFormat="false" ht="15" hidden="false" customHeight="false" outlineLevel="0" collapsed="false">
      <c r="A561" s="11" t="n">
        <v>557</v>
      </c>
      <c r="B561" s="11" t="n">
        <f aca="false">MATCH(A561,월별!$C$6:$C$41,1)</f>
        <v>19</v>
      </c>
      <c r="C561" s="11" t="n">
        <f aca="false">L560</f>
        <v>100</v>
      </c>
      <c r="D561" s="24" t="n">
        <f aca="false">C561*가정!$B$8</f>
        <v>500</v>
      </c>
      <c r="E561" s="24" t="n">
        <f aca="false">H560+D560</f>
        <v>136553.668341709</v>
      </c>
      <c r="F561" s="11" t="n">
        <f aca="false">IF(가정!$B$11=1,MAX(0,MIN(가정!$B$16-C561,INT(E561/가정!$B$17))),0)</f>
        <v>0</v>
      </c>
      <c r="G561" s="24" t="n">
        <f aca="false">F561*가정!$B$17</f>
        <v>0</v>
      </c>
      <c r="H561" s="24" t="n">
        <f aca="false">E561-G561</f>
        <v>136553.668341709</v>
      </c>
      <c r="I561" s="24" t="n">
        <f aca="false">I560+D561</f>
        <v>163520</v>
      </c>
      <c r="J561" s="16" t="n">
        <f aca="false">(H561+D561)*가정!$B$10</f>
        <v>137053.668341709</v>
      </c>
      <c r="K561" s="24" t="n">
        <f aca="false">A561*가정!$B$8*가정!$B$7</f>
        <v>2785</v>
      </c>
      <c r="L561" s="11" t="n">
        <f aca="false">C561+F561</f>
        <v>100</v>
      </c>
    </row>
    <row r="562" customFormat="false" ht="15" hidden="false" customHeight="false" outlineLevel="0" collapsed="false">
      <c r="A562" s="11" t="n">
        <v>558</v>
      </c>
      <c r="B562" s="11" t="n">
        <f aca="false">MATCH(A562,월별!$C$6:$C$41,1)</f>
        <v>19</v>
      </c>
      <c r="C562" s="11" t="n">
        <f aca="false">L561</f>
        <v>100</v>
      </c>
      <c r="D562" s="24" t="n">
        <f aca="false">C562*가정!$B$8</f>
        <v>500</v>
      </c>
      <c r="E562" s="24" t="n">
        <f aca="false">H561+D561</f>
        <v>137053.668341709</v>
      </c>
      <c r="F562" s="11" t="n">
        <f aca="false">IF(가정!$B$11=1,MAX(0,MIN(가정!$B$16-C562,INT(E562/가정!$B$17))),0)</f>
        <v>0</v>
      </c>
      <c r="G562" s="24" t="n">
        <f aca="false">F562*가정!$B$17</f>
        <v>0</v>
      </c>
      <c r="H562" s="24" t="n">
        <f aca="false">E562-G562</f>
        <v>137053.668341709</v>
      </c>
      <c r="I562" s="24" t="n">
        <f aca="false">I561+D562</f>
        <v>164020</v>
      </c>
      <c r="J562" s="16" t="n">
        <f aca="false">(H562+D562)*가정!$B$10</f>
        <v>137553.668341709</v>
      </c>
      <c r="K562" s="24" t="n">
        <f aca="false">A562*가정!$B$8*가정!$B$7</f>
        <v>2790</v>
      </c>
      <c r="L562" s="11" t="n">
        <f aca="false">C562+F562</f>
        <v>100</v>
      </c>
    </row>
    <row r="563" customFormat="false" ht="15" hidden="false" customHeight="false" outlineLevel="0" collapsed="false">
      <c r="A563" s="11" t="n">
        <v>559</v>
      </c>
      <c r="B563" s="11" t="n">
        <f aca="false">MATCH(A563,월별!$C$6:$C$41,1)</f>
        <v>19</v>
      </c>
      <c r="C563" s="11" t="n">
        <f aca="false">L562</f>
        <v>100</v>
      </c>
      <c r="D563" s="24" t="n">
        <f aca="false">C563*가정!$B$8</f>
        <v>500</v>
      </c>
      <c r="E563" s="24" t="n">
        <f aca="false">H562+D562</f>
        <v>137553.668341709</v>
      </c>
      <c r="F563" s="11" t="n">
        <f aca="false">IF(가정!$B$11=1,MAX(0,MIN(가정!$B$16-C563,INT(E563/가정!$B$17))),0)</f>
        <v>0</v>
      </c>
      <c r="G563" s="24" t="n">
        <f aca="false">F563*가정!$B$17</f>
        <v>0</v>
      </c>
      <c r="H563" s="24" t="n">
        <f aca="false">E563-G563</f>
        <v>137553.668341709</v>
      </c>
      <c r="I563" s="24" t="n">
        <f aca="false">I562+D563</f>
        <v>164520</v>
      </c>
      <c r="J563" s="16" t="n">
        <f aca="false">(H563+D563)*가정!$B$10</f>
        <v>138053.668341709</v>
      </c>
      <c r="K563" s="24" t="n">
        <f aca="false">A563*가정!$B$8*가정!$B$7</f>
        <v>2795</v>
      </c>
      <c r="L563" s="11" t="n">
        <f aca="false">C563+F563</f>
        <v>100</v>
      </c>
    </row>
    <row r="564" customFormat="false" ht="15" hidden="false" customHeight="false" outlineLevel="0" collapsed="false">
      <c r="A564" s="11" t="n">
        <v>560</v>
      </c>
      <c r="B564" s="11" t="n">
        <f aca="false">MATCH(A564,월별!$C$6:$C$41,1)</f>
        <v>19</v>
      </c>
      <c r="C564" s="11" t="n">
        <f aca="false">L563</f>
        <v>100</v>
      </c>
      <c r="D564" s="24" t="n">
        <f aca="false">C564*가정!$B$8</f>
        <v>500</v>
      </c>
      <c r="E564" s="24" t="n">
        <f aca="false">H563+D563</f>
        <v>138053.668341709</v>
      </c>
      <c r="F564" s="11" t="n">
        <f aca="false">IF(가정!$B$11=1,MAX(0,MIN(가정!$B$16-C564,INT(E564/가정!$B$17))),0)</f>
        <v>0</v>
      </c>
      <c r="G564" s="24" t="n">
        <f aca="false">F564*가정!$B$17</f>
        <v>0</v>
      </c>
      <c r="H564" s="24" t="n">
        <f aca="false">E564-G564</f>
        <v>138053.668341709</v>
      </c>
      <c r="I564" s="24" t="n">
        <f aca="false">I563+D564</f>
        <v>165020</v>
      </c>
      <c r="J564" s="16" t="n">
        <f aca="false">(H564+D564)*가정!$B$10</f>
        <v>138553.668341709</v>
      </c>
      <c r="K564" s="24" t="n">
        <f aca="false">A564*가정!$B$8*가정!$B$7</f>
        <v>2800</v>
      </c>
      <c r="L564" s="11" t="n">
        <f aca="false">C564+F564</f>
        <v>100</v>
      </c>
    </row>
    <row r="565" customFormat="false" ht="15" hidden="false" customHeight="false" outlineLevel="0" collapsed="false">
      <c r="A565" s="11" t="n">
        <v>561</v>
      </c>
      <c r="B565" s="11" t="n">
        <f aca="false">MATCH(A565,월별!$C$6:$C$41,1)</f>
        <v>19</v>
      </c>
      <c r="C565" s="11" t="n">
        <f aca="false">L564</f>
        <v>100</v>
      </c>
      <c r="D565" s="24" t="n">
        <f aca="false">C565*가정!$B$8</f>
        <v>500</v>
      </c>
      <c r="E565" s="24" t="n">
        <f aca="false">H564+D564</f>
        <v>138553.668341709</v>
      </c>
      <c r="F565" s="11" t="n">
        <f aca="false">IF(가정!$B$11=1,MAX(0,MIN(가정!$B$16-C565,INT(E565/가정!$B$17))),0)</f>
        <v>0</v>
      </c>
      <c r="G565" s="24" t="n">
        <f aca="false">F565*가정!$B$17</f>
        <v>0</v>
      </c>
      <c r="H565" s="24" t="n">
        <f aca="false">E565-G565</f>
        <v>138553.668341709</v>
      </c>
      <c r="I565" s="24" t="n">
        <f aca="false">I564+D565</f>
        <v>165520</v>
      </c>
      <c r="J565" s="16" t="n">
        <f aca="false">(H565+D565)*가정!$B$10</f>
        <v>139053.668341709</v>
      </c>
      <c r="K565" s="24" t="n">
        <f aca="false">A565*가정!$B$8*가정!$B$7</f>
        <v>2805</v>
      </c>
      <c r="L565" s="11" t="n">
        <f aca="false">C565+F565</f>
        <v>100</v>
      </c>
    </row>
    <row r="566" customFormat="false" ht="15" hidden="false" customHeight="false" outlineLevel="0" collapsed="false">
      <c r="A566" s="11" t="n">
        <v>562</v>
      </c>
      <c r="B566" s="11" t="n">
        <f aca="false">MATCH(A566,월별!$C$6:$C$41,1)</f>
        <v>19</v>
      </c>
      <c r="C566" s="11" t="n">
        <f aca="false">L565</f>
        <v>100</v>
      </c>
      <c r="D566" s="24" t="n">
        <f aca="false">C566*가정!$B$8</f>
        <v>500</v>
      </c>
      <c r="E566" s="24" t="n">
        <f aca="false">H565+D565</f>
        <v>139053.668341709</v>
      </c>
      <c r="F566" s="11" t="n">
        <f aca="false">IF(가정!$B$11=1,MAX(0,MIN(가정!$B$16-C566,INT(E566/가정!$B$17))),0)</f>
        <v>0</v>
      </c>
      <c r="G566" s="24" t="n">
        <f aca="false">F566*가정!$B$17</f>
        <v>0</v>
      </c>
      <c r="H566" s="24" t="n">
        <f aca="false">E566-G566</f>
        <v>139053.668341709</v>
      </c>
      <c r="I566" s="24" t="n">
        <f aca="false">I565+D566</f>
        <v>166020</v>
      </c>
      <c r="J566" s="16" t="n">
        <f aca="false">(H566+D566)*가정!$B$10</f>
        <v>139553.668341709</v>
      </c>
      <c r="K566" s="24" t="n">
        <f aca="false">A566*가정!$B$8*가정!$B$7</f>
        <v>2810</v>
      </c>
      <c r="L566" s="11" t="n">
        <f aca="false">C566+F566</f>
        <v>100</v>
      </c>
    </row>
    <row r="567" customFormat="false" ht="15" hidden="false" customHeight="false" outlineLevel="0" collapsed="false">
      <c r="A567" s="11" t="n">
        <v>563</v>
      </c>
      <c r="B567" s="11" t="n">
        <f aca="false">MATCH(A567,월별!$C$6:$C$41,1)</f>
        <v>19</v>
      </c>
      <c r="C567" s="11" t="n">
        <f aca="false">L566</f>
        <v>100</v>
      </c>
      <c r="D567" s="24" t="n">
        <f aca="false">C567*가정!$B$8</f>
        <v>500</v>
      </c>
      <c r="E567" s="24" t="n">
        <f aca="false">H566+D566</f>
        <v>139553.668341709</v>
      </c>
      <c r="F567" s="11" t="n">
        <f aca="false">IF(가정!$B$11=1,MAX(0,MIN(가정!$B$16-C567,INT(E567/가정!$B$17))),0)</f>
        <v>0</v>
      </c>
      <c r="G567" s="24" t="n">
        <f aca="false">F567*가정!$B$17</f>
        <v>0</v>
      </c>
      <c r="H567" s="24" t="n">
        <f aca="false">E567-G567</f>
        <v>139553.668341709</v>
      </c>
      <c r="I567" s="24" t="n">
        <f aca="false">I566+D567</f>
        <v>166520</v>
      </c>
      <c r="J567" s="16" t="n">
        <f aca="false">(H567+D567)*가정!$B$10</f>
        <v>140053.668341709</v>
      </c>
      <c r="K567" s="24" t="n">
        <f aca="false">A567*가정!$B$8*가정!$B$7</f>
        <v>2815</v>
      </c>
      <c r="L567" s="11" t="n">
        <f aca="false">C567+F567</f>
        <v>100</v>
      </c>
    </row>
    <row r="568" customFormat="false" ht="15" hidden="false" customHeight="false" outlineLevel="0" collapsed="false">
      <c r="A568" s="11" t="n">
        <v>564</v>
      </c>
      <c r="B568" s="11" t="n">
        <f aca="false">MATCH(A568,월별!$C$6:$C$41,1)</f>
        <v>19</v>
      </c>
      <c r="C568" s="11" t="n">
        <f aca="false">L567</f>
        <v>100</v>
      </c>
      <c r="D568" s="24" t="n">
        <f aca="false">C568*가정!$B$8</f>
        <v>500</v>
      </c>
      <c r="E568" s="24" t="n">
        <f aca="false">H567+D567</f>
        <v>140053.668341709</v>
      </c>
      <c r="F568" s="11" t="n">
        <f aca="false">IF(가정!$B$11=1,MAX(0,MIN(가정!$B$16-C568,INT(E568/가정!$B$17))),0)</f>
        <v>0</v>
      </c>
      <c r="G568" s="24" t="n">
        <f aca="false">F568*가정!$B$17</f>
        <v>0</v>
      </c>
      <c r="H568" s="24" t="n">
        <f aca="false">E568-G568</f>
        <v>140053.668341709</v>
      </c>
      <c r="I568" s="24" t="n">
        <f aca="false">I567+D568</f>
        <v>167020</v>
      </c>
      <c r="J568" s="16" t="n">
        <f aca="false">(H568+D568)*가정!$B$10</f>
        <v>140553.668341709</v>
      </c>
      <c r="K568" s="24" t="n">
        <f aca="false">A568*가정!$B$8*가정!$B$7</f>
        <v>2820</v>
      </c>
      <c r="L568" s="11" t="n">
        <f aca="false">C568+F568</f>
        <v>100</v>
      </c>
    </row>
    <row r="569" customFormat="false" ht="15" hidden="false" customHeight="false" outlineLevel="0" collapsed="false">
      <c r="A569" s="11" t="n">
        <v>565</v>
      </c>
      <c r="B569" s="11" t="n">
        <f aca="false">MATCH(A569,월별!$C$6:$C$41,1)</f>
        <v>19</v>
      </c>
      <c r="C569" s="11" t="n">
        <f aca="false">L568</f>
        <v>100</v>
      </c>
      <c r="D569" s="24" t="n">
        <f aca="false">C569*가정!$B$8</f>
        <v>500</v>
      </c>
      <c r="E569" s="24" t="n">
        <f aca="false">H568+D568</f>
        <v>140553.668341709</v>
      </c>
      <c r="F569" s="11" t="n">
        <f aca="false">IF(가정!$B$11=1,MAX(0,MIN(가정!$B$16-C569,INT(E569/가정!$B$17))),0)</f>
        <v>0</v>
      </c>
      <c r="G569" s="24" t="n">
        <f aca="false">F569*가정!$B$17</f>
        <v>0</v>
      </c>
      <c r="H569" s="24" t="n">
        <f aca="false">E569-G569</f>
        <v>140553.668341709</v>
      </c>
      <c r="I569" s="24" t="n">
        <f aca="false">I568+D569</f>
        <v>167520</v>
      </c>
      <c r="J569" s="16" t="n">
        <f aca="false">(H569+D569)*가정!$B$10</f>
        <v>141053.668341709</v>
      </c>
      <c r="K569" s="24" t="n">
        <f aca="false">A569*가정!$B$8*가정!$B$7</f>
        <v>2825</v>
      </c>
      <c r="L569" s="11" t="n">
        <f aca="false">C569+F569</f>
        <v>100</v>
      </c>
    </row>
    <row r="570" customFormat="false" ht="15" hidden="false" customHeight="false" outlineLevel="0" collapsed="false">
      <c r="A570" s="11" t="n">
        <v>566</v>
      </c>
      <c r="B570" s="11" t="n">
        <f aca="false">MATCH(A570,월별!$C$6:$C$41,1)</f>
        <v>19</v>
      </c>
      <c r="C570" s="11" t="n">
        <f aca="false">L569</f>
        <v>100</v>
      </c>
      <c r="D570" s="24" t="n">
        <f aca="false">C570*가정!$B$8</f>
        <v>500</v>
      </c>
      <c r="E570" s="24" t="n">
        <f aca="false">H569+D569</f>
        <v>141053.668341709</v>
      </c>
      <c r="F570" s="11" t="n">
        <f aca="false">IF(가정!$B$11=1,MAX(0,MIN(가정!$B$16-C570,INT(E570/가정!$B$17))),0)</f>
        <v>0</v>
      </c>
      <c r="G570" s="24" t="n">
        <f aca="false">F570*가정!$B$17</f>
        <v>0</v>
      </c>
      <c r="H570" s="24" t="n">
        <f aca="false">E570-G570</f>
        <v>141053.668341709</v>
      </c>
      <c r="I570" s="24" t="n">
        <f aca="false">I569+D570</f>
        <v>168020</v>
      </c>
      <c r="J570" s="16" t="n">
        <f aca="false">(H570+D570)*가정!$B$10</f>
        <v>141553.668341709</v>
      </c>
      <c r="K570" s="24" t="n">
        <f aca="false">A570*가정!$B$8*가정!$B$7</f>
        <v>2830</v>
      </c>
      <c r="L570" s="11" t="n">
        <f aca="false">C570+F570</f>
        <v>100</v>
      </c>
    </row>
    <row r="571" customFormat="false" ht="15" hidden="false" customHeight="false" outlineLevel="0" collapsed="false">
      <c r="A571" s="11" t="n">
        <v>567</v>
      </c>
      <c r="B571" s="11" t="n">
        <f aca="false">MATCH(A571,월별!$C$6:$C$41,1)</f>
        <v>19</v>
      </c>
      <c r="C571" s="11" t="n">
        <f aca="false">L570</f>
        <v>100</v>
      </c>
      <c r="D571" s="24" t="n">
        <f aca="false">C571*가정!$B$8</f>
        <v>500</v>
      </c>
      <c r="E571" s="24" t="n">
        <f aca="false">H570+D570</f>
        <v>141553.668341709</v>
      </c>
      <c r="F571" s="11" t="n">
        <f aca="false">IF(가정!$B$11=1,MAX(0,MIN(가정!$B$16-C571,INT(E571/가정!$B$17))),0)</f>
        <v>0</v>
      </c>
      <c r="G571" s="24" t="n">
        <f aca="false">F571*가정!$B$17</f>
        <v>0</v>
      </c>
      <c r="H571" s="24" t="n">
        <f aca="false">E571-G571</f>
        <v>141553.668341709</v>
      </c>
      <c r="I571" s="24" t="n">
        <f aca="false">I570+D571</f>
        <v>168520</v>
      </c>
      <c r="J571" s="16" t="n">
        <f aca="false">(H571+D571)*가정!$B$10</f>
        <v>142053.668341709</v>
      </c>
      <c r="K571" s="24" t="n">
        <f aca="false">A571*가정!$B$8*가정!$B$7</f>
        <v>2835</v>
      </c>
      <c r="L571" s="11" t="n">
        <f aca="false">C571+F571</f>
        <v>100</v>
      </c>
    </row>
    <row r="572" customFormat="false" ht="15" hidden="false" customHeight="false" outlineLevel="0" collapsed="false">
      <c r="A572" s="11" t="n">
        <v>568</v>
      </c>
      <c r="B572" s="11" t="n">
        <f aca="false">MATCH(A572,월별!$C$6:$C$41,1)</f>
        <v>19</v>
      </c>
      <c r="C572" s="11" t="n">
        <f aca="false">L571</f>
        <v>100</v>
      </c>
      <c r="D572" s="24" t="n">
        <f aca="false">C572*가정!$B$8</f>
        <v>500</v>
      </c>
      <c r="E572" s="24" t="n">
        <f aca="false">H571+D571</f>
        <v>142053.668341709</v>
      </c>
      <c r="F572" s="11" t="n">
        <f aca="false">IF(가정!$B$11=1,MAX(0,MIN(가정!$B$16-C572,INT(E572/가정!$B$17))),0)</f>
        <v>0</v>
      </c>
      <c r="G572" s="24" t="n">
        <f aca="false">F572*가정!$B$17</f>
        <v>0</v>
      </c>
      <c r="H572" s="24" t="n">
        <f aca="false">E572-G572</f>
        <v>142053.668341709</v>
      </c>
      <c r="I572" s="24" t="n">
        <f aca="false">I571+D572</f>
        <v>169020</v>
      </c>
      <c r="J572" s="16" t="n">
        <f aca="false">(H572+D572)*가정!$B$10</f>
        <v>142553.668341709</v>
      </c>
      <c r="K572" s="24" t="n">
        <f aca="false">A572*가정!$B$8*가정!$B$7</f>
        <v>2840</v>
      </c>
      <c r="L572" s="11" t="n">
        <f aca="false">C572+F572</f>
        <v>100</v>
      </c>
    </row>
    <row r="573" customFormat="false" ht="15" hidden="false" customHeight="false" outlineLevel="0" collapsed="false">
      <c r="A573" s="11" t="n">
        <v>569</v>
      </c>
      <c r="B573" s="11" t="n">
        <f aca="false">MATCH(A573,월별!$C$6:$C$41,1)</f>
        <v>19</v>
      </c>
      <c r="C573" s="11" t="n">
        <f aca="false">L572</f>
        <v>100</v>
      </c>
      <c r="D573" s="24" t="n">
        <f aca="false">C573*가정!$B$8</f>
        <v>500</v>
      </c>
      <c r="E573" s="24" t="n">
        <f aca="false">H572+D572</f>
        <v>142553.668341709</v>
      </c>
      <c r="F573" s="11" t="n">
        <f aca="false">IF(가정!$B$11=1,MAX(0,MIN(가정!$B$16-C573,INT(E573/가정!$B$17))),0)</f>
        <v>0</v>
      </c>
      <c r="G573" s="24" t="n">
        <f aca="false">F573*가정!$B$17</f>
        <v>0</v>
      </c>
      <c r="H573" s="24" t="n">
        <f aca="false">E573-G573</f>
        <v>142553.668341709</v>
      </c>
      <c r="I573" s="24" t="n">
        <f aca="false">I572+D573</f>
        <v>169520</v>
      </c>
      <c r="J573" s="16" t="n">
        <f aca="false">(H573+D573)*가정!$B$10</f>
        <v>143053.668341709</v>
      </c>
      <c r="K573" s="24" t="n">
        <f aca="false">A573*가정!$B$8*가정!$B$7</f>
        <v>2845</v>
      </c>
      <c r="L573" s="11" t="n">
        <f aca="false">C573+F573</f>
        <v>100</v>
      </c>
    </row>
    <row r="574" customFormat="false" ht="15" hidden="false" customHeight="false" outlineLevel="0" collapsed="false">
      <c r="A574" s="11" t="n">
        <v>570</v>
      </c>
      <c r="B574" s="11" t="n">
        <f aca="false">MATCH(A574,월별!$C$6:$C$41,1)</f>
        <v>19</v>
      </c>
      <c r="C574" s="11" t="n">
        <f aca="false">L573</f>
        <v>100</v>
      </c>
      <c r="D574" s="24" t="n">
        <f aca="false">C574*가정!$B$8</f>
        <v>500</v>
      </c>
      <c r="E574" s="24" t="n">
        <f aca="false">H573+D573</f>
        <v>143053.668341709</v>
      </c>
      <c r="F574" s="11" t="n">
        <f aca="false">IF(가정!$B$11=1,MAX(0,MIN(가정!$B$16-C574,INT(E574/가정!$B$17))),0)</f>
        <v>0</v>
      </c>
      <c r="G574" s="24" t="n">
        <f aca="false">F574*가정!$B$17</f>
        <v>0</v>
      </c>
      <c r="H574" s="24" t="n">
        <f aca="false">E574-G574</f>
        <v>143053.668341709</v>
      </c>
      <c r="I574" s="24" t="n">
        <f aca="false">I573+D574</f>
        <v>170020</v>
      </c>
      <c r="J574" s="16" t="n">
        <f aca="false">(H574+D574)*가정!$B$10</f>
        <v>143553.668341709</v>
      </c>
      <c r="K574" s="24" t="n">
        <f aca="false">A574*가정!$B$8*가정!$B$7</f>
        <v>2850</v>
      </c>
      <c r="L574" s="11" t="n">
        <f aca="false">C574+F574</f>
        <v>100</v>
      </c>
    </row>
    <row r="575" customFormat="false" ht="15" hidden="false" customHeight="false" outlineLevel="0" collapsed="false">
      <c r="A575" s="11" t="n">
        <v>571</v>
      </c>
      <c r="B575" s="11" t="n">
        <f aca="false">MATCH(A575,월별!$C$6:$C$41,1)</f>
        <v>19</v>
      </c>
      <c r="C575" s="11" t="n">
        <f aca="false">L574</f>
        <v>100</v>
      </c>
      <c r="D575" s="24" t="n">
        <f aca="false">C575*가정!$B$8</f>
        <v>500</v>
      </c>
      <c r="E575" s="24" t="n">
        <f aca="false">H574+D574</f>
        <v>143553.668341709</v>
      </c>
      <c r="F575" s="11" t="n">
        <f aca="false">IF(가정!$B$11=1,MAX(0,MIN(가정!$B$16-C575,INT(E575/가정!$B$17))),0)</f>
        <v>0</v>
      </c>
      <c r="G575" s="24" t="n">
        <f aca="false">F575*가정!$B$17</f>
        <v>0</v>
      </c>
      <c r="H575" s="24" t="n">
        <f aca="false">E575-G575</f>
        <v>143553.668341709</v>
      </c>
      <c r="I575" s="24" t="n">
        <f aca="false">I574+D575</f>
        <v>170520</v>
      </c>
      <c r="J575" s="16" t="n">
        <f aca="false">(H575+D575)*가정!$B$10</f>
        <v>144053.668341709</v>
      </c>
      <c r="K575" s="24" t="n">
        <f aca="false">A575*가정!$B$8*가정!$B$7</f>
        <v>2855</v>
      </c>
      <c r="L575" s="11" t="n">
        <f aca="false">C575+F575</f>
        <v>100</v>
      </c>
    </row>
    <row r="576" customFormat="false" ht="15" hidden="false" customHeight="false" outlineLevel="0" collapsed="false">
      <c r="A576" s="11" t="n">
        <v>572</v>
      </c>
      <c r="B576" s="11" t="n">
        <f aca="false">MATCH(A576,월별!$C$6:$C$41,1)</f>
        <v>19</v>
      </c>
      <c r="C576" s="11" t="n">
        <f aca="false">L575</f>
        <v>100</v>
      </c>
      <c r="D576" s="24" t="n">
        <f aca="false">C576*가정!$B$8</f>
        <v>500</v>
      </c>
      <c r="E576" s="24" t="n">
        <f aca="false">H575+D575</f>
        <v>144053.668341709</v>
      </c>
      <c r="F576" s="11" t="n">
        <f aca="false">IF(가정!$B$11=1,MAX(0,MIN(가정!$B$16-C576,INT(E576/가정!$B$17))),0)</f>
        <v>0</v>
      </c>
      <c r="G576" s="24" t="n">
        <f aca="false">F576*가정!$B$17</f>
        <v>0</v>
      </c>
      <c r="H576" s="24" t="n">
        <f aca="false">E576-G576</f>
        <v>144053.668341709</v>
      </c>
      <c r="I576" s="24" t="n">
        <f aca="false">I575+D576</f>
        <v>171020</v>
      </c>
      <c r="J576" s="16" t="n">
        <f aca="false">(H576+D576)*가정!$B$10</f>
        <v>144553.668341709</v>
      </c>
      <c r="K576" s="24" t="n">
        <f aca="false">A576*가정!$B$8*가정!$B$7</f>
        <v>2860</v>
      </c>
      <c r="L576" s="11" t="n">
        <f aca="false">C576+F576</f>
        <v>100</v>
      </c>
    </row>
    <row r="577" customFormat="false" ht="15" hidden="false" customHeight="false" outlineLevel="0" collapsed="false">
      <c r="A577" s="11" t="n">
        <v>573</v>
      </c>
      <c r="B577" s="11" t="n">
        <f aca="false">MATCH(A577,월별!$C$6:$C$41,1)</f>
        <v>19</v>
      </c>
      <c r="C577" s="11" t="n">
        <f aca="false">L576</f>
        <v>100</v>
      </c>
      <c r="D577" s="24" t="n">
        <f aca="false">C577*가정!$B$8</f>
        <v>500</v>
      </c>
      <c r="E577" s="24" t="n">
        <f aca="false">H576+D576</f>
        <v>144553.668341709</v>
      </c>
      <c r="F577" s="11" t="n">
        <f aca="false">IF(가정!$B$11=1,MAX(0,MIN(가정!$B$16-C577,INT(E577/가정!$B$17))),0)</f>
        <v>0</v>
      </c>
      <c r="G577" s="24" t="n">
        <f aca="false">F577*가정!$B$17</f>
        <v>0</v>
      </c>
      <c r="H577" s="24" t="n">
        <f aca="false">E577-G577</f>
        <v>144553.668341709</v>
      </c>
      <c r="I577" s="24" t="n">
        <f aca="false">I576+D577</f>
        <v>171520</v>
      </c>
      <c r="J577" s="16" t="n">
        <f aca="false">(H577+D577)*가정!$B$10</f>
        <v>145053.668341709</v>
      </c>
      <c r="K577" s="24" t="n">
        <f aca="false">A577*가정!$B$8*가정!$B$7</f>
        <v>2865</v>
      </c>
      <c r="L577" s="11" t="n">
        <f aca="false">C577+F577</f>
        <v>100</v>
      </c>
    </row>
    <row r="578" customFormat="false" ht="15" hidden="false" customHeight="false" outlineLevel="0" collapsed="false">
      <c r="A578" s="11" t="n">
        <v>574</v>
      </c>
      <c r="B578" s="11" t="n">
        <f aca="false">MATCH(A578,월별!$C$6:$C$41,1)</f>
        <v>19</v>
      </c>
      <c r="C578" s="11" t="n">
        <f aca="false">L577</f>
        <v>100</v>
      </c>
      <c r="D578" s="24" t="n">
        <f aca="false">C578*가정!$B$8</f>
        <v>500</v>
      </c>
      <c r="E578" s="24" t="n">
        <f aca="false">H577+D577</f>
        <v>145053.668341709</v>
      </c>
      <c r="F578" s="11" t="n">
        <f aca="false">IF(가정!$B$11=1,MAX(0,MIN(가정!$B$16-C578,INT(E578/가정!$B$17))),0)</f>
        <v>0</v>
      </c>
      <c r="G578" s="24" t="n">
        <f aca="false">F578*가정!$B$17</f>
        <v>0</v>
      </c>
      <c r="H578" s="24" t="n">
        <f aca="false">E578-G578</f>
        <v>145053.668341709</v>
      </c>
      <c r="I578" s="24" t="n">
        <f aca="false">I577+D578</f>
        <v>172020</v>
      </c>
      <c r="J578" s="16" t="n">
        <f aca="false">(H578+D578)*가정!$B$10</f>
        <v>145553.668341709</v>
      </c>
      <c r="K578" s="24" t="n">
        <f aca="false">A578*가정!$B$8*가정!$B$7</f>
        <v>2870</v>
      </c>
      <c r="L578" s="11" t="n">
        <f aca="false">C578+F578</f>
        <v>100</v>
      </c>
    </row>
    <row r="579" customFormat="false" ht="15" hidden="false" customHeight="false" outlineLevel="0" collapsed="false">
      <c r="A579" s="11" t="n">
        <v>575</v>
      </c>
      <c r="B579" s="11" t="n">
        <f aca="false">MATCH(A579,월별!$C$6:$C$41,1)</f>
        <v>19</v>
      </c>
      <c r="C579" s="11" t="n">
        <f aca="false">L578</f>
        <v>100</v>
      </c>
      <c r="D579" s="24" t="n">
        <f aca="false">C579*가정!$B$8</f>
        <v>500</v>
      </c>
      <c r="E579" s="24" t="n">
        <f aca="false">H578+D578</f>
        <v>145553.668341709</v>
      </c>
      <c r="F579" s="11" t="n">
        <f aca="false">IF(가정!$B$11=1,MAX(0,MIN(가정!$B$16-C579,INT(E579/가정!$B$17))),0)</f>
        <v>0</v>
      </c>
      <c r="G579" s="24" t="n">
        <f aca="false">F579*가정!$B$17</f>
        <v>0</v>
      </c>
      <c r="H579" s="24" t="n">
        <f aca="false">E579-G579</f>
        <v>145553.668341709</v>
      </c>
      <c r="I579" s="24" t="n">
        <f aca="false">I578+D579</f>
        <v>172520</v>
      </c>
      <c r="J579" s="16" t="n">
        <f aca="false">(H579+D579)*가정!$B$10</f>
        <v>146053.668341709</v>
      </c>
      <c r="K579" s="24" t="n">
        <f aca="false">A579*가정!$B$8*가정!$B$7</f>
        <v>2875</v>
      </c>
      <c r="L579" s="11" t="n">
        <f aca="false">C579+F579</f>
        <v>100</v>
      </c>
    </row>
    <row r="580" customFormat="false" ht="15" hidden="false" customHeight="false" outlineLevel="0" collapsed="false">
      <c r="A580" s="11" t="n">
        <v>576</v>
      </c>
      <c r="B580" s="11" t="n">
        <f aca="false">MATCH(A580,월별!$C$6:$C$41,1)</f>
        <v>19</v>
      </c>
      <c r="C580" s="11" t="n">
        <f aca="false">L579</f>
        <v>100</v>
      </c>
      <c r="D580" s="24" t="n">
        <f aca="false">C580*가정!$B$8</f>
        <v>500</v>
      </c>
      <c r="E580" s="24" t="n">
        <f aca="false">H579+D579</f>
        <v>146053.668341709</v>
      </c>
      <c r="F580" s="11" t="n">
        <f aca="false">IF(가정!$B$11=1,MAX(0,MIN(가정!$B$16-C580,INT(E580/가정!$B$17))),0)</f>
        <v>0</v>
      </c>
      <c r="G580" s="24" t="n">
        <f aca="false">F580*가정!$B$17</f>
        <v>0</v>
      </c>
      <c r="H580" s="24" t="n">
        <f aca="false">E580-G580</f>
        <v>146053.668341709</v>
      </c>
      <c r="I580" s="24" t="n">
        <f aca="false">I579+D580</f>
        <v>173020</v>
      </c>
      <c r="J580" s="16" t="n">
        <f aca="false">(H580+D580)*가정!$B$10</f>
        <v>146553.668341709</v>
      </c>
      <c r="K580" s="24" t="n">
        <f aca="false">A580*가정!$B$8*가정!$B$7</f>
        <v>2880</v>
      </c>
      <c r="L580" s="11" t="n">
        <f aca="false">C580+F580</f>
        <v>100</v>
      </c>
    </row>
    <row r="581" customFormat="false" ht="15" hidden="false" customHeight="false" outlineLevel="0" collapsed="false">
      <c r="A581" s="11" t="n">
        <v>577</v>
      </c>
      <c r="B581" s="11" t="n">
        <f aca="false">MATCH(A581,월별!$C$6:$C$41,1)</f>
        <v>19</v>
      </c>
      <c r="C581" s="11" t="n">
        <f aca="false">L580</f>
        <v>100</v>
      </c>
      <c r="D581" s="24" t="n">
        <f aca="false">C581*가정!$B$8</f>
        <v>500</v>
      </c>
      <c r="E581" s="24" t="n">
        <f aca="false">H580+D580</f>
        <v>146553.668341709</v>
      </c>
      <c r="F581" s="11" t="n">
        <f aca="false">IF(가정!$B$11=1,MAX(0,MIN(가정!$B$16-C581,INT(E581/가정!$B$17))),0)</f>
        <v>0</v>
      </c>
      <c r="G581" s="24" t="n">
        <f aca="false">F581*가정!$B$17</f>
        <v>0</v>
      </c>
      <c r="H581" s="24" t="n">
        <f aca="false">E581-G581</f>
        <v>146553.668341709</v>
      </c>
      <c r="I581" s="24" t="n">
        <f aca="false">I580+D581</f>
        <v>173520</v>
      </c>
      <c r="J581" s="16" t="n">
        <f aca="false">(H581+D581)*가정!$B$10</f>
        <v>147053.668341709</v>
      </c>
      <c r="K581" s="24" t="n">
        <f aca="false">A581*가정!$B$8*가정!$B$7</f>
        <v>2885</v>
      </c>
      <c r="L581" s="11" t="n">
        <f aca="false">C581+F581</f>
        <v>100</v>
      </c>
    </row>
    <row r="582" customFormat="false" ht="15" hidden="false" customHeight="false" outlineLevel="0" collapsed="false">
      <c r="A582" s="11" t="n">
        <v>578</v>
      </c>
      <c r="B582" s="11" t="n">
        <f aca="false">MATCH(A582,월별!$C$6:$C$41,1)</f>
        <v>19</v>
      </c>
      <c r="C582" s="11" t="n">
        <f aca="false">L581</f>
        <v>100</v>
      </c>
      <c r="D582" s="24" t="n">
        <f aca="false">C582*가정!$B$8</f>
        <v>500</v>
      </c>
      <c r="E582" s="24" t="n">
        <f aca="false">H581+D581</f>
        <v>147053.668341709</v>
      </c>
      <c r="F582" s="11" t="n">
        <f aca="false">IF(가정!$B$11=1,MAX(0,MIN(가정!$B$16-C582,INT(E582/가정!$B$17))),0)</f>
        <v>0</v>
      </c>
      <c r="G582" s="24" t="n">
        <f aca="false">F582*가정!$B$17</f>
        <v>0</v>
      </c>
      <c r="H582" s="24" t="n">
        <f aca="false">E582-G582</f>
        <v>147053.668341709</v>
      </c>
      <c r="I582" s="24" t="n">
        <f aca="false">I581+D582</f>
        <v>174020</v>
      </c>
      <c r="J582" s="16" t="n">
        <f aca="false">(H582+D582)*가정!$B$10</f>
        <v>147553.668341709</v>
      </c>
      <c r="K582" s="24" t="n">
        <f aca="false">A582*가정!$B$8*가정!$B$7</f>
        <v>2890</v>
      </c>
      <c r="L582" s="11" t="n">
        <f aca="false">C582+F582</f>
        <v>100</v>
      </c>
    </row>
    <row r="583" customFormat="false" ht="15" hidden="false" customHeight="false" outlineLevel="0" collapsed="false">
      <c r="A583" s="11" t="n">
        <v>579</v>
      </c>
      <c r="B583" s="11" t="n">
        <f aca="false">MATCH(A583,월별!$C$6:$C$41,1)</f>
        <v>20</v>
      </c>
      <c r="C583" s="11" t="n">
        <f aca="false">L582</f>
        <v>100</v>
      </c>
      <c r="D583" s="24" t="n">
        <f aca="false">C583*가정!$B$8</f>
        <v>500</v>
      </c>
      <c r="E583" s="24" t="n">
        <f aca="false">H582+D582</f>
        <v>147553.668341709</v>
      </c>
      <c r="F583" s="11" t="n">
        <f aca="false">IF(가정!$B$11=1,MAX(0,MIN(가정!$B$16-C583,INT(E583/가정!$B$17))),0)</f>
        <v>0</v>
      </c>
      <c r="G583" s="24" t="n">
        <f aca="false">F583*가정!$B$17</f>
        <v>0</v>
      </c>
      <c r="H583" s="24" t="n">
        <f aca="false">E583-G583</f>
        <v>147553.668341709</v>
      </c>
      <c r="I583" s="24" t="n">
        <f aca="false">I582+D583</f>
        <v>174520</v>
      </c>
      <c r="J583" s="16" t="n">
        <f aca="false">(H583+D583)*가정!$B$10</f>
        <v>148053.668341709</v>
      </c>
      <c r="K583" s="24" t="n">
        <f aca="false">A583*가정!$B$8*가정!$B$7</f>
        <v>2895</v>
      </c>
      <c r="L583" s="11" t="n">
        <f aca="false">C583+F583</f>
        <v>100</v>
      </c>
    </row>
    <row r="584" customFormat="false" ht="15" hidden="false" customHeight="false" outlineLevel="0" collapsed="false">
      <c r="A584" s="11" t="n">
        <v>580</v>
      </c>
      <c r="B584" s="11" t="n">
        <f aca="false">MATCH(A584,월별!$C$6:$C$41,1)</f>
        <v>20</v>
      </c>
      <c r="C584" s="11" t="n">
        <f aca="false">L583</f>
        <v>100</v>
      </c>
      <c r="D584" s="24" t="n">
        <f aca="false">C584*가정!$B$8</f>
        <v>500</v>
      </c>
      <c r="E584" s="24" t="n">
        <f aca="false">H583+D583</f>
        <v>148053.668341709</v>
      </c>
      <c r="F584" s="11" t="n">
        <f aca="false">IF(가정!$B$11=1,MAX(0,MIN(가정!$B$16-C584,INT(E584/가정!$B$17))),0)</f>
        <v>0</v>
      </c>
      <c r="G584" s="24" t="n">
        <f aca="false">F584*가정!$B$17</f>
        <v>0</v>
      </c>
      <c r="H584" s="24" t="n">
        <f aca="false">E584-G584</f>
        <v>148053.668341709</v>
      </c>
      <c r="I584" s="24" t="n">
        <f aca="false">I583+D584</f>
        <v>175020</v>
      </c>
      <c r="J584" s="16" t="n">
        <f aca="false">(H584+D584)*가정!$B$10</f>
        <v>148553.668341709</v>
      </c>
      <c r="K584" s="24" t="n">
        <f aca="false">A584*가정!$B$8*가정!$B$7</f>
        <v>2900</v>
      </c>
      <c r="L584" s="11" t="n">
        <f aca="false">C584+F584</f>
        <v>100</v>
      </c>
    </row>
    <row r="585" customFormat="false" ht="15" hidden="false" customHeight="false" outlineLevel="0" collapsed="false">
      <c r="A585" s="11" t="n">
        <v>581</v>
      </c>
      <c r="B585" s="11" t="n">
        <f aca="false">MATCH(A585,월별!$C$6:$C$41,1)</f>
        <v>20</v>
      </c>
      <c r="C585" s="11" t="n">
        <f aca="false">L584</f>
        <v>100</v>
      </c>
      <c r="D585" s="24" t="n">
        <f aca="false">C585*가정!$B$8</f>
        <v>500</v>
      </c>
      <c r="E585" s="24" t="n">
        <f aca="false">H584+D584</f>
        <v>148553.668341709</v>
      </c>
      <c r="F585" s="11" t="n">
        <f aca="false">IF(가정!$B$11=1,MAX(0,MIN(가정!$B$16-C585,INT(E585/가정!$B$17))),0)</f>
        <v>0</v>
      </c>
      <c r="G585" s="24" t="n">
        <f aca="false">F585*가정!$B$17</f>
        <v>0</v>
      </c>
      <c r="H585" s="24" t="n">
        <f aca="false">E585-G585</f>
        <v>148553.668341709</v>
      </c>
      <c r="I585" s="24" t="n">
        <f aca="false">I584+D585</f>
        <v>175520</v>
      </c>
      <c r="J585" s="16" t="n">
        <f aca="false">(H585+D585)*가정!$B$10</f>
        <v>149053.668341709</v>
      </c>
      <c r="K585" s="24" t="n">
        <f aca="false">A585*가정!$B$8*가정!$B$7</f>
        <v>2905</v>
      </c>
      <c r="L585" s="11" t="n">
        <f aca="false">C585+F585</f>
        <v>100</v>
      </c>
    </row>
    <row r="586" customFormat="false" ht="15" hidden="false" customHeight="false" outlineLevel="0" collapsed="false">
      <c r="A586" s="11" t="n">
        <v>582</v>
      </c>
      <c r="B586" s="11" t="n">
        <f aca="false">MATCH(A586,월별!$C$6:$C$41,1)</f>
        <v>20</v>
      </c>
      <c r="C586" s="11" t="n">
        <f aca="false">L585</f>
        <v>100</v>
      </c>
      <c r="D586" s="24" t="n">
        <f aca="false">C586*가정!$B$8</f>
        <v>500</v>
      </c>
      <c r="E586" s="24" t="n">
        <f aca="false">H585+D585</f>
        <v>149053.668341709</v>
      </c>
      <c r="F586" s="11" t="n">
        <f aca="false">IF(가정!$B$11=1,MAX(0,MIN(가정!$B$16-C586,INT(E586/가정!$B$17))),0)</f>
        <v>0</v>
      </c>
      <c r="G586" s="24" t="n">
        <f aca="false">F586*가정!$B$17</f>
        <v>0</v>
      </c>
      <c r="H586" s="24" t="n">
        <f aca="false">E586-G586</f>
        <v>149053.668341709</v>
      </c>
      <c r="I586" s="24" t="n">
        <f aca="false">I585+D586</f>
        <v>176020</v>
      </c>
      <c r="J586" s="16" t="n">
        <f aca="false">(H586+D586)*가정!$B$10</f>
        <v>149553.668341709</v>
      </c>
      <c r="K586" s="24" t="n">
        <f aca="false">A586*가정!$B$8*가정!$B$7</f>
        <v>2910</v>
      </c>
      <c r="L586" s="11" t="n">
        <f aca="false">C586+F586</f>
        <v>100</v>
      </c>
    </row>
    <row r="587" customFormat="false" ht="15" hidden="false" customHeight="false" outlineLevel="0" collapsed="false">
      <c r="A587" s="11" t="n">
        <v>583</v>
      </c>
      <c r="B587" s="11" t="n">
        <f aca="false">MATCH(A587,월별!$C$6:$C$41,1)</f>
        <v>20</v>
      </c>
      <c r="C587" s="11" t="n">
        <f aca="false">L586</f>
        <v>100</v>
      </c>
      <c r="D587" s="24" t="n">
        <f aca="false">C587*가정!$B$8</f>
        <v>500</v>
      </c>
      <c r="E587" s="24" t="n">
        <f aca="false">H586+D586</f>
        <v>149553.668341709</v>
      </c>
      <c r="F587" s="11" t="n">
        <f aca="false">IF(가정!$B$11=1,MAX(0,MIN(가정!$B$16-C587,INT(E587/가정!$B$17))),0)</f>
        <v>0</v>
      </c>
      <c r="G587" s="24" t="n">
        <f aca="false">F587*가정!$B$17</f>
        <v>0</v>
      </c>
      <c r="H587" s="24" t="n">
        <f aca="false">E587-G587</f>
        <v>149553.668341709</v>
      </c>
      <c r="I587" s="24" t="n">
        <f aca="false">I586+D587</f>
        <v>176520</v>
      </c>
      <c r="J587" s="16" t="n">
        <f aca="false">(H587+D587)*가정!$B$10</f>
        <v>150053.668341709</v>
      </c>
      <c r="K587" s="24" t="n">
        <f aca="false">A587*가정!$B$8*가정!$B$7</f>
        <v>2915</v>
      </c>
      <c r="L587" s="11" t="n">
        <f aca="false">C587+F587</f>
        <v>100</v>
      </c>
    </row>
    <row r="588" customFormat="false" ht="15" hidden="false" customHeight="false" outlineLevel="0" collapsed="false">
      <c r="A588" s="11" t="n">
        <v>584</v>
      </c>
      <c r="B588" s="11" t="n">
        <f aca="false">MATCH(A588,월별!$C$6:$C$41,1)</f>
        <v>20</v>
      </c>
      <c r="C588" s="11" t="n">
        <f aca="false">L587</f>
        <v>100</v>
      </c>
      <c r="D588" s="24" t="n">
        <f aca="false">C588*가정!$B$8</f>
        <v>500</v>
      </c>
      <c r="E588" s="24" t="n">
        <f aca="false">H587+D587</f>
        <v>150053.668341709</v>
      </c>
      <c r="F588" s="11" t="n">
        <f aca="false">IF(가정!$B$11=1,MAX(0,MIN(가정!$B$16-C588,INT(E588/가정!$B$17))),0)</f>
        <v>0</v>
      </c>
      <c r="G588" s="24" t="n">
        <f aca="false">F588*가정!$B$17</f>
        <v>0</v>
      </c>
      <c r="H588" s="24" t="n">
        <f aca="false">E588-G588</f>
        <v>150053.668341709</v>
      </c>
      <c r="I588" s="24" t="n">
        <f aca="false">I587+D588</f>
        <v>177020</v>
      </c>
      <c r="J588" s="16" t="n">
        <f aca="false">(H588+D588)*가정!$B$10</f>
        <v>150553.668341709</v>
      </c>
      <c r="K588" s="24" t="n">
        <f aca="false">A588*가정!$B$8*가정!$B$7</f>
        <v>2920</v>
      </c>
      <c r="L588" s="11" t="n">
        <f aca="false">C588+F588</f>
        <v>100</v>
      </c>
    </row>
    <row r="589" customFormat="false" ht="15" hidden="false" customHeight="false" outlineLevel="0" collapsed="false">
      <c r="A589" s="11" t="n">
        <v>585</v>
      </c>
      <c r="B589" s="11" t="n">
        <f aca="false">MATCH(A589,월별!$C$6:$C$41,1)</f>
        <v>20</v>
      </c>
      <c r="C589" s="11" t="n">
        <f aca="false">L588</f>
        <v>100</v>
      </c>
      <c r="D589" s="24" t="n">
        <f aca="false">C589*가정!$B$8</f>
        <v>500</v>
      </c>
      <c r="E589" s="24" t="n">
        <f aca="false">H588+D588</f>
        <v>150553.668341709</v>
      </c>
      <c r="F589" s="11" t="n">
        <f aca="false">IF(가정!$B$11=1,MAX(0,MIN(가정!$B$16-C589,INT(E589/가정!$B$17))),0)</f>
        <v>0</v>
      </c>
      <c r="G589" s="24" t="n">
        <f aca="false">F589*가정!$B$17</f>
        <v>0</v>
      </c>
      <c r="H589" s="24" t="n">
        <f aca="false">E589-G589</f>
        <v>150553.668341709</v>
      </c>
      <c r="I589" s="24" t="n">
        <f aca="false">I588+D589</f>
        <v>177520</v>
      </c>
      <c r="J589" s="16" t="n">
        <f aca="false">(H589+D589)*가정!$B$10</f>
        <v>151053.668341709</v>
      </c>
      <c r="K589" s="24" t="n">
        <f aca="false">A589*가정!$B$8*가정!$B$7</f>
        <v>2925</v>
      </c>
      <c r="L589" s="11" t="n">
        <f aca="false">C589+F589</f>
        <v>100</v>
      </c>
    </row>
    <row r="590" customFormat="false" ht="15" hidden="false" customHeight="false" outlineLevel="0" collapsed="false">
      <c r="A590" s="11" t="n">
        <v>586</v>
      </c>
      <c r="B590" s="11" t="n">
        <f aca="false">MATCH(A590,월별!$C$6:$C$41,1)</f>
        <v>20</v>
      </c>
      <c r="C590" s="11" t="n">
        <f aca="false">L589</f>
        <v>100</v>
      </c>
      <c r="D590" s="24" t="n">
        <f aca="false">C590*가정!$B$8</f>
        <v>500</v>
      </c>
      <c r="E590" s="24" t="n">
        <f aca="false">H589+D589</f>
        <v>151053.668341709</v>
      </c>
      <c r="F590" s="11" t="n">
        <f aca="false">IF(가정!$B$11=1,MAX(0,MIN(가정!$B$16-C590,INT(E590/가정!$B$17))),0)</f>
        <v>0</v>
      </c>
      <c r="G590" s="24" t="n">
        <f aca="false">F590*가정!$B$17</f>
        <v>0</v>
      </c>
      <c r="H590" s="24" t="n">
        <f aca="false">E590-G590</f>
        <v>151053.668341709</v>
      </c>
      <c r="I590" s="24" t="n">
        <f aca="false">I589+D590</f>
        <v>178020</v>
      </c>
      <c r="J590" s="16" t="n">
        <f aca="false">(H590+D590)*가정!$B$10</f>
        <v>151553.668341709</v>
      </c>
      <c r="K590" s="24" t="n">
        <f aca="false">A590*가정!$B$8*가정!$B$7</f>
        <v>2930</v>
      </c>
      <c r="L590" s="11" t="n">
        <f aca="false">C590+F590</f>
        <v>100</v>
      </c>
    </row>
    <row r="591" customFormat="false" ht="15" hidden="false" customHeight="false" outlineLevel="0" collapsed="false">
      <c r="A591" s="11" t="n">
        <v>587</v>
      </c>
      <c r="B591" s="11" t="n">
        <f aca="false">MATCH(A591,월별!$C$6:$C$41,1)</f>
        <v>20</v>
      </c>
      <c r="C591" s="11" t="n">
        <f aca="false">L590</f>
        <v>100</v>
      </c>
      <c r="D591" s="24" t="n">
        <f aca="false">C591*가정!$B$8</f>
        <v>500</v>
      </c>
      <c r="E591" s="24" t="n">
        <f aca="false">H590+D590</f>
        <v>151553.668341709</v>
      </c>
      <c r="F591" s="11" t="n">
        <f aca="false">IF(가정!$B$11=1,MAX(0,MIN(가정!$B$16-C591,INT(E591/가정!$B$17))),0)</f>
        <v>0</v>
      </c>
      <c r="G591" s="24" t="n">
        <f aca="false">F591*가정!$B$17</f>
        <v>0</v>
      </c>
      <c r="H591" s="24" t="n">
        <f aca="false">E591-G591</f>
        <v>151553.668341709</v>
      </c>
      <c r="I591" s="24" t="n">
        <f aca="false">I590+D591</f>
        <v>178520</v>
      </c>
      <c r="J591" s="16" t="n">
        <f aca="false">(H591+D591)*가정!$B$10</f>
        <v>152053.668341709</v>
      </c>
      <c r="K591" s="24" t="n">
        <f aca="false">A591*가정!$B$8*가정!$B$7</f>
        <v>2935</v>
      </c>
      <c r="L591" s="11" t="n">
        <f aca="false">C591+F591</f>
        <v>100</v>
      </c>
    </row>
    <row r="592" customFormat="false" ht="15" hidden="false" customHeight="false" outlineLevel="0" collapsed="false">
      <c r="A592" s="11" t="n">
        <v>588</v>
      </c>
      <c r="B592" s="11" t="n">
        <f aca="false">MATCH(A592,월별!$C$6:$C$41,1)</f>
        <v>20</v>
      </c>
      <c r="C592" s="11" t="n">
        <f aca="false">L591</f>
        <v>100</v>
      </c>
      <c r="D592" s="24" t="n">
        <f aca="false">C592*가정!$B$8</f>
        <v>500</v>
      </c>
      <c r="E592" s="24" t="n">
        <f aca="false">H591+D591</f>
        <v>152053.668341709</v>
      </c>
      <c r="F592" s="11" t="n">
        <f aca="false">IF(가정!$B$11=1,MAX(0,MIN(가정!$B$16-C592,INT(E592/가정!$B$17))),0)</f>
        <v>0</v>
      </c>
      <c r="G592" s="24" t="n">
        <f aca="false">F592*가정!$B$17</f>
        <v>0</v>
      </c>
      <c r="H592" s="24" t="n">
        <f aca="false">E592-G592</f>
        <v>152053.668341709</v>
      </c>
      <c r="I592" s="24" t="n">
        <f aca="false">I591+D592</f>
        <v>179020</v>
      </c>
      <c r="J592" s="16" t="n">
        <f aca="false">(H592+D592)*가정!$B$10</f>
        <v>152553.668341709</v>
      </c>
      <c r="K592" s="24" t="n">
        <f aca="false">A592*가정!$B$8*가정!$B$7</f>
        <v>2940</v>
      </c>
      <c r="L592" s="11" t="n">
        <f aca="false">C592+F592</f>
        <v>100</v>
      </c>
    </row>
    <row r="593" customFormat="false" ht="15" hidden="false" customHeight="false" outlineLevel="0" collapsed="false">
      <c r="A593" s="11" t="n">
        <v>589</v>
      </c>
      <c r="B593" s="11" t="n">
        <f aca="false">MATCH(A593,월별!$C$6:$C$41,1)</f>
        <v>20</v>
      </c>
      <c r="C593" s="11" t="n">
        <f aca="false">L592</f>
        <v>100</v>
      </c>
      <c r="D593" s="24" t="n">
        <f aca="false">C593*가정!$B$8</f>
        <v>500</v>
      </c>
      <c r="E593" s="24" t="n">
        <f aca="false">H592+D592</f>
        <v>152553.668341709</v>
      </c>
      <c r="F593" s="11" t="n">
        <f aca="false">IF(가정!$B$11=1,MAX(0,MIN(가정!$B$16-C593,INT(E593/가정!$B$17))),0)</f>
        <v>0</v>
      </c>
      <c r="G593" s="24" t="n">
        <f aca="false">F593*가정!$B$17</f>
        <v>0</v>
      </c>
      <c r="H593" s="24" t="n">
        <f aca="false">E593-G593</f>
        <v>152553.668341709</v>
      </c>
      <c r="I593" s="24" t="n">
        <f aca="false">I592+D593</f>
        <v>179520</v>
      </c>
      <c r="J593" s="16" t="n">
        <f aca="false">(H593+D593)*가정!$B$10</f>
        <v>153053.668341709</v>
      </c>
      <c r="K593" s="24" t="n">
        <f aca="false">A593*가정!$B$8*가정!$B$7</f>
        <v>2945</v>
      </c>
      <c r="L593" s="11" t="n">
        <f aca="false">C593+F593</f>
        <v>100</v>
      </c>
    </row>
    <row r="594" customFormat="false" ht="15" hidden="false" customHeight="false" outlineLevel="0" collapsed="false">
      <c r="A594" s="11" t="n">
        <v>590</v>
      </c>
      <c r="B594" s="11" t="n">
        <f aca="false">MATCH(A594,월별!$C$6:$C$41,1)</f>
        <v>20</v>
      </c>
      <c r="C594" s="11" t="n">
        <f aca="false">L593</f>
        <v>100</v>
      </c>
      <c r="D594" s="24" t="n">
        <f aca="false">C594*가정!$B$8</f>
        <v>500</v>
      </c>
      <c r="E594" s="24" t="n">
        <f aca="false">H593+D593</f>
        <v>153053.668341709</v>
      </c>
      <c r="F594" s="11" t="n">
        <f aca="false">IF(가정!$B$11=1,MAX(0,MIN(가정!$B$16-C594,INT(E594/가정!$B$17))),0)</f>
        <v>0</v>
      </c>
      <c r="G594" s="24" t="n">
        <f aca="false">F594*가정!$B$17</f>
        <v>0</v>
      </c>
      <c r="H594" s="24" t="n">
        <f aca="false">E594-G594</f>
        <v>153053.668341709</v>
      </c>
      <c r="I594" s="24" t="n">
        <f aca="false">I593+D594</f>
        <v>180020</v>
      </c>
      <c r="J594" s="16" t="n">
        <f aca="false">(H594+D594)*가정!$B$10</f>
        <v>153553.668341709</v>
      </c>
      <c r="K594" s="24" t="n">
        <f aca="false">A594*가정!$B$8*가정!$B$7</f>
        <v>2950</v>
      </c>
      <c r="L594" s="11" t="n">
        <f aca="false">C594+F594</f>
        <v>100</v>
      </c>
    </row>
    <row r="595" customFormat="false" ht="15" hidden="false" customHeight="false" outlineLevel="0" collapsed="false">
      <c r="A595" s="11" t="n">
        <v>591</v>
      </c>
      <c r="B595" s="11" t="n">
        <f aca="false">MATCH(A595,월별!$C$6:$C$41,1)</f>
        <v>20</v>
      </c>
      <c r="C595" s="11" t="n">
        <f aca="false">L594</f>
        <v>100</v>
      </c>
      <c r="D595" s="24" t="n">
        <f aca="false">C595*가정!$B$8</f>
        <v>500</v>
      </c>
      <c r="E595" s="24" t="n">
        <f aca="false">H594+D594</f>
        <v>153553.668341709</v>
      </c>
      <c r="F595" s="11" t="n">
        <f aca="false">IF(가정!$B$11=1,MAX(0,MIN(가정!$B$16-C595,INT(E595/가정!$B$17))),0)</f>
        <v>0</v>
      </c>
      <c r="G595" s="24" t="n">
        <f aca="false">F595*가정!$B$17</f>
        <v>0</v>
      </c>
      <c r="H595" s="24" t="n">
        <f aca="false">E595-G595</f>
        <v>153553.668341709</v>
      </c>
      <c r="I595" s="24" t="n">
        <f aca="false">I594+D595</f>
        <v>180520</v>
      </c>
      <c r="J595" s="16" t="n">
        <f aca="false">(H595+D595)*가정!$B$10</f>
        <v>154053.668341709</v>
      </c>
      <c r="K595" s="24" t="n">
        <f aca="false">A595*가정!$B$8*가정!$B$7</f>
        <v>2955</v>
      </c>
      <c r="L595" s="11" t="n">
        <f aca="false">C595+F595</f>
        <v>100</v>
      </c>
    </row>
    <row r="596" customFormat="false" ht="15" hidden="false" customHeight="false" outlineLevel="0" collapsed="false">
      <c r="A596" s="11" t="n">
        <v>592</v>
      </c>
      <c r="B596" s="11" t="n">
        <f aca="false">MATCH(A596,월별!$C$6:$C$41,1)</f>
        <v>20</v>
      </c>
      <c r="C596" s="11" t="n">
        <f aca="false">L595</f>
        <v>100</v>
      </c>
      <c r="D596" s="24" t="n">
        <f aca="false">C596*가정!$B$8</f>
        <v>500</v>
      </c>
      <c r="E596" s="24" t="n">
        <f aca="false">H595+D595</f>
        <v>154053.668341709</v>
      </c>
      <c r="F596" s="11" t="n">
        <f aca="false">IF(가정!$B$11=1,MAX(0,MIN(가정!$B$16-C596,INT(E596/가정!$B$17))),0)</f>
        <v>0</v>
      </c>
      <c r="G596" s="24" t="n">
        <f aca="false">F596*가정!$B$17</f>
        <v>0</v>
      </c>
      <c r="H596" s="24" t="n">
        <f aca="false">E596-G596</f>
        <v>154053.668341709</v>
      </c>
      <c r="I596" s="24" t="n">
        <f aca="false">I595+D596</f>
        <v>181020</v>
      </c>
      <c r="J596" s="16" t="n">
        <f aca="false">(H596+D596)*가정!$B$10</f>
        <v>154553.668341709</v>
      </c>
      <c r="K596" s="24" t="n">
        <f aca="false">A596*가정!$B$8*가정!$B$7</f>
        <v>2960</v>
      </c>
      <c r="L596" s="11" t="n">
        <f aca="false">C596+F596</f>
        <v>100</v>
      </c>
    </row>
    <row r="597" customFormat="false" ht="15" hidden="false" customHeight="false" outlineLevel="0" collapsed="false">
      <c r="A597" s="11" t="n">
        <v>593</v>
      </c>
      <c r="B597" s="11" t="n">
        <f aca="false">MATCH(A597,월별!$C$6:$C$41,1)</f>
        <v>20</v>
      </c>
      <c r="C597" s="11" t="n">
        <f aca="false">L596</f>
        <v>100</v>
      </c>
      <c r="D597" s="24" t="n">
        <f aca="false">C597*가정!$B$8</f>
        <v>500</v>
      </c>
      <c r="E597" s="24" t="n">
        <f aca="false">H596+D596</f>
        <v>154553.668341709</v>
      </c>
      <c r="F597" s="11" t="n">
        <f aca="false">IF(가정!$B$11=1,MAX(0,MIN(가정!$B$16-C597,INT(E597/가정!$B$17))),0)</f>
        <v>0</v>
      </c>
      <c r="G597" s="24" t="n">
        <f aca="false">F597*가정!$B$17</f>
        <v>0</v>
      </c>
      <c r="H597" s="24" t="n">
        <f aca="false">E597-G597</f>
        <v>154553.668341709</v>
      </c>
      <c r="I597" s="24" t="n">
        <f aca="false">I596+D597</f>
        <v>181520</v>
      </c>
      <c r="J597" s="16" t="n">
        <f aca="false">(H597+D597)*가정!$B$10</f>
        <v>155053.668341709</v>
      </c>
      <c r="K597" s="24" t="n">
        <f aca="false">A597*가정!$B$8*가정!$B$7</f>
        <v>2965</v>
      </c>
      <c r="L597" s="11" t="n">
        <f aca="false">C597+F597</f>
        <v>100</v>
      </c>
    </row>
    <row r="598" customFormat="false" ht="15" hidden="false" customHeight="false" outlineLevel="0" collapsed="false">
      <c r="A598" s="11" t="n">
        <v>594</v>
      </c>
      <c r="B598" s="11" t="n">
        <f aca="false">MATCH(A598,월별!$C$6:$C$41,1)</f>
        <v>20</v>
      </c>
      <c r="C598" s="11" t="n">
        <f aca="false">L597</f>
        <v>100</v>
      </c>
      <c r="D598" s="24" t="n">
        <f aca="false">C598*가정!$B$8</f>
        <v>500</v>
      </c>
      <c r="E598" s="24" t="n">
        <f aca="false">H597+D597</f>
        <v>155053.668341709</v>
      </c>
      <c r="F598" s="11" t="n">
        <f aca="false">IF(가정!$B$11=1,MAX(0,MIN(가정!$B$16-C598,INT(E598/가정!$B$17))),0)</f>
        <v>0</v>
      </c>
      <c r="G598" s="24" t="n">
        <f aca="false">F598*가정!$B$17</f>
        <v>0</v>
      </c>
      <c r="H598" s="24" t="n">
        <f aca="false">E598-G598</f>
        <v>155053.668341709</v>
      </c>
      <c r="I598" s="24" t="n">
        <f aca="false">I597+D598</f>
        <v>182020</v>
      </c>
      <c r="J598" s="16" t="n">
        <f aca="false">(H598+D598)*가정!$B$10</f>
        <v>155553.668341709</v>
      </c>
      <c r="K598" s="24" t="n">
        <f aca="false">A598*가정!$B$8*가정!$B$7</f>
        <v>2970</v>
      </c>
      <c r="L598" s="11" t="n">
        <f aca="false">C598+F598</f>
        <v>100</v>
      </c>
    </row>
    <row r="599" customFormat="false" ht="15" hidden="false" customHeight="false" outlineLevel="0" collapsed="false">
      <c r="A599" s="11" t="n">
        <v>595</v>
      </c>
      <c r="B599" s="11" t="n">
        <f aca="false">MATCH(A599,월별!$C$6:$C$41,1)</f>
        <v>20</v>
      </c>
      <c r="C599" s="11" t="n">
        <f aca="false">L598</f>
        <v>100</v>
      </c>
      <c r="D599" s="24" t="n">
        <f aca="false">C599*가정!$B$8</f>
        <v>500</v>
      </c>
      <c r="E599" s="24" t="n">
        <f aca="false">H598+D598</f>
        <v>155553.668341709</v>
      </c>
      <c r="F599" s="11" t="n">
        <f aca="false">IF(가정!$B$11=1,MAX(0,MIN(가정!$B$16-C599,INT(E599/가정!$B$17))),0)</f>
        <v>0</v>
      </c>
      <c r="G599" s="24" t="n">
        <f aca="false">F599*가정!$B$17</f>
        <v>0</v>
      </c>
      <c r="H599" s="24" t="n">
        <f aca="false">E599-G599</f>
        <v>155553.668341709</v>
      </c>
      <c r="I599" s="24" t="n">
        <f aca="false">I598+D599</f>
        <v>182520</v>
      </c>
      <c r="J599" s="16" t="n">
        <f aca="false">(H599+D599)*가정!$B$10</f>
        <v>156053.668341709</v>
      </c>
      <c r="K599" s="24" t="n">
        <f aca="false">A599*가정!$B$8*가정!$B$7</f>
        <v>2975</v>
      </c>
      <c r="L599" s="11" t="n">
        <f aca="false">C599+F599</f>
        <v>100</v>
      </c>
    </row>
    <row r="600" customFormat="false" ht="15" hidden="false" customHeight="false" outlineLevel="0" collapsed="false">
      <c r="A600" s="11" t="n">
        <v>596</v>
      </c>
      <c r="B600" s="11" t="n">
        <f aca="false">MATCH(A600,월별!$C$6:$C$41,1)</f>
        <v>20</v>
      </c>
      <c r="C600" s="11" t="n">
        <f aca="false">L599</f>
        <v>100</v>
      </c>
      <c r="D600" s="24" t="n">
        <f aca="false">C600*가정!$B$8</f>
        <v>500</v>
      </c>
      <c r="E600" s="24" t="n">
        <f aca="false">H599+D599</f>
        <v>156053.668341709</v>
      </c>
      <c r="F600" s="11" t="n">
        <f aca="false">IF(가정!$B$11=1,MAX(0,MIN(가정!$B$16-C600,INT(E600/가정!$B$17))),0)</f>
        <v>0</v>
      </c>
      <c r="G600" s="24" t="n">
        <f aca="false">F600*가정!$B$17</f>
        <v>0</v>
      </c>
      <c r="H600" s="24" t="n">
        <f aca="false">E600-G600</f>
        <v>156053.668341709</v>
      </c>
      <c r="I600" s="24" t="n">
        <f aca="false">I599+D600</f>
        <v>183020</v>
      </c>
      <c r="J600" s="16" t="n">
        <f aca="false">(H600+D600)*가정!$B$10</f>
        <v>156553.668341709</v>
      </c>
      <c r="K600" s="24" t="n">
        <f aca="false">A600*가정!$B$8*가정!$B$7</f>
        <v>2980</v>
      </c>
      <c r="L600" s="11" t="n">
        <f aca="false">C600+F600</f>
        <v>100</v>
      </c>
    </row>
    <row r="601" customFormat="false" ht="15" hidden="false" customHeight="false" outlineLevel="0" collapsed="false">
      <c r="A601" s="11" t="n">
        <v>597</v>
      </c>
      <c r="B601" s="11" t="n">
        <f aca="false">MATCH(A601,월별!$C$6:$C$41,1)</f>
        <v>20</v>
      </c>
      <c r="C601" s="11" t="n">
        <f aca="false">L600</f>
        <v>100</v>
      </c>
      <c r="D601" s="24" t="n">
        <f aca="false">C601*가정!$B$8</f>
        <v>500</v>
      </c>
      <c r="E601" s="24" t="n">
        <f aca="false">H600+D600</f>
        <v>156553.668341709</v>
      </c>
      <c r="F601" s="11" t="n">
        <f aca="false">IF(가정!$B$11=1,MAX(0,MIN(가정!$B$16-C601,INT(E601/가정!$B$17))),0)</f>
        <v>0</v>
      </c>
      <c r="G601" s="24" t="n">
        <f aca="false">F601*가정!$B$17</f>
        <v>0</v>
      </c>
      <c r="H601" s="24" t="n">
        <f aca="false">E601-G601</f>
        <v>156553.668341709</v>
      </c>
      <c r="I601" s="24" t="n">
        <f aca="false">I600+D601</f>
        <v>183520</v>
      </c>
      <c r="J601" s="16" t="n">
        <f aca="false">(H601+D601)*가정!$B$10</f>
        <v>157053.668341709</v>
      </c>
      <c r="K601" s="24" t="n">
        <f aca="false">A601*가정!$B$8*가정!$B$7</f>
        <v>2985</v>
      </c>
      <c r="L601" s="11" t="n">
        <f aca="false">C601+F601</f>
        <v>100</v>
      </c>
    </row>
    <row r="602" customFormat="false" ht="15" hidden="false" customHeight="false" outlineLevel="0" collapsed="false">
      <c r="A602" s="11" t="n">
        <v>598</v>
      </c>
      <c r="B602" s="11" t="n">
        <f aca="false">MATCH(A602,월별!$C$6:$C$41,1)</f>
        <v>20</v>
      </c>
      <c r="C602" s="11" t="n">
        <f aca="false">L601</f>
        <v>100</v>
      </c>
      <c r="D602" s="24" t="n">
        <f aca="false">C602*가정!$B$8</f>
        <v>500</v>
      </c>
      <c r="E602" s="24" t="n">
        <f aca="false">H601+D601</f>
        <v>157053.668341709</v>
      </c>
      <c r="F602" s="11" t="n">
        <f aca="false">IF(가정!$B$11=1,MAX(0,MIN(가정!$B$16-C602,INT(E602/가정!$B$17))),0)</f>
        <v>0</v>
      </c>
      <c r="G602" s="24" t="n">
        <f aca="false">F602*가정!$B$17</f>
        <v>0</v>
      </c>
      <c r="H602" s="24" t="n">
        <f aca="false">E602-G602</f>
        <v>157053.668341709</v>
      </c>
      <c r="I602" s="24" t="n">
        <f aca="false">I601+D602</f>
        <v>184020</v>
      </c>
      <c r="J602" s="16" t="n">
        <f aca="false">(H602+D602)*가정!$B$10</f>
        <v>157553.668341709</v>
      </c>
      <c r="K602" s="24" t="n">
        <f aca="false">A602*가정!$B$8*가정!$B$7</f>
        <v>2990</v>
      </c>
      <c r="L602" s="11" t="n">
        <f aca="false">C602+F602</f>
        <v>100</v>
      </c>
    </row>
    <row r="603" customFormat="false" ht="15" hidden="false" customHeight="false" outlineLevel="0" collapsed="false">
      <c r="A603" s="11" t="n">
        <v>599</v>
      </c>
      <c r="B603" s="11" t="n">
        <f aca="false">MATCH(A603,월별!$C$6:$C$41,1)</f>
        <v>20</v>
      </c>
      <c r="C603" s="11" t="n">
        <f aca="false">L602</f>
        <v>100</v>
      </c>
      <c r="D603" s="24" t="n">
        <f aca="false">C603*가정!$B$8</f>
        <v>500</v>
      </c>
      <c r="E603" s="24" t="n">
        <f aca="false">H602+D602</f>
        <v>157553.668341709</v>
      </c>
      <c r="F603" s="11" t="n">
        <f aca="false">IF(가정!$B$11=1,MAX(0,MIN(가정!$B$16-C603,INT(E603/가정!$B$17))),0)</f>
        <v>0</v>
      </c>
      <c r="G603" s="24" t="n">
        <f aca="false">F603*가정!$B$17</f>
        <v>0</v>
      </c>
      <c r="H603" s="24" t="n">
        <f aca="false">E603-G603</f>
        <v>157553.668341709</v>
      </c>
      <c r="I603" s="24" t="n">
        <f aca="false">I602+D603</f>
        <v>184520</v>
      </c>
      <c r="J603" s="16" t="n">
        <f aca="false">(H603+D603)*가정!$B$10</f>
        <v>158053.668341709</v>
      </c>
      <c r="K603" s="24" t="n">
        <f aca="false">A603*가정!$B$8*가정!$B$7</f>
        <v>2995</v>
      </c>
      <c r="L603" s="11" t="n">
        <f aca="false">C603+F603</f>
        <v>100</v>
      </c>
    </row>
    <row r="604" customFormat="false" ht="15" hidden="false" customHeight="false" outlineLevel="0" collapsed="false">
      <c r="A604" s="11" t="n">
        <v>600</v>
      </c>
      <c r="B604" s="11" t="n">
        <f aca="false">MATCH(A604,월별!$C$6:$C$41,1)</f>
        <v>20</v>
      </c>
      <c r="C604" s="11" t="n">
        <f aca="false">L603</f>
        <v>100</v>
      </c>
      <c r="D604" s="24" t="n">
        <f aca="false">C604*가정!$B$8</f>
        <v>500</v>
      </c>
      <c r="E604" s="24" t="n">
        <f aca="false">H603+D603</f>
        <v>158053.668341709</v>
      </c>
      <c r="F604" s="11" t="n">
        <f aca="false">IF(가정!$B$11=1,MAX(0,MIN(가정!$B$16-C604,INT(E604/가정!$B$17))),0)</f>
        <v>0</v>
      </c>
      <c r="G604" s="24" t="n">
        <f aca="false">F604*가정!$B$17</f>
        <v>0</v>
      </c>
      <c r="H604" s="24" t="n">
        <f aca="false">E604-G604</f>
        <v>158053.668341709</v>
      </c>
      <c r="I604" s="24" t="n">
        <f aca="false">I603+D604</f>
        <v>185020</v>
      </c>
      <c r="J604" s="16" t="n">
        <f aca="false">(H604+D604)*가정!$B$10</f>
        <v>158553.668341709</v>
      </c>
      <c r="K604" s="24" t="n">
        <f aca="false">A604*가정!$B$8*가정!$B$7</f>
        <v>3000</v>
      </c>
      <c r="L604" s="11" t="n">
        <f aca="false">C604+F604</f>
        <v>100</v>
      </c>
    </row>
    <row r="605" customFormat="false" ht="15" hidden="false" customHeight="false" outlineLevel="0" collapsed="false">
      <c r="A605" s="11" t="n">
        <v>601</v>
      </c>
      <c r="B605" s="11" t="n">
        <f aca="false">MATCH(A605,월별!$C$6:$C$41,1)</f>
        <v>20</v>
      </c>
      <c r="C605" s="11" t="n">
        <f aca="false">L604</f>
        <v>100</v>
      </c>
      <c r="D605" s="24" t="n">
        <f aca="false">C605*가정!$B$8</f>
        <v>500</v>
      </c>
      <c r="E605" s="24" t="n">
        <f aca="false">H604+D604</f>
        <v>158553.668341709</v>
      </c>
      <c r="F605" s="11" t="n">
        <f aca="false">IF(가정!$B$11=1,MAX(0,MIN(가정!$B$16-C605,INT(E605/가정!$B$17))),0)</f>
        <v>0</v>
      </c>
      <c r="G605" s="24" t="n">
        <f aca="false">F605*가정!$B$17</f>
        <v>0</v>
      </c>
      <c r="H605" s="24" t="n">
        <f aca="false">E605-G605</f>
        <v>158553.668341709</v>
      </c>
      <c r="I605" s="24" t="n">
        <f aca="false">I604+D605</f>
        <v>185520</v>
      </c>
      <c r="J605" s="16" t="n">
        <f aca="false">(H605+D605)*가정!$B$10</f>
        <v>159053.668341709</v>
      </c>
      <c r="K605" s="24" t="n">
        <f aca="false">A605*가정!$B$8*가정!$B$7</f>
        <v>3005</v>
      </c>
      <c r="L605" s="11" t="n">
        <f aca="false">C605+F605</f>
        <v>100</v>
      </c>
    </row>
    <row r="606" customFormat="false" ht="15" hidden="false" customHeight="false" outlineLevel="0" collapsed="false">
      <c r="A606" s="11" t="n">
        <v>602</v>
      </c>
      <c r="B606" s="11" t="n">
        <f aca="false">MATCH(A606,월별!$C$6:$C$41,1)</f>
        <v>20</v>
      </c>
      <c r="C606" s="11" t="n">
        <f aca="false">L605</f>
        <v>100</v>
      </c>
      <c r="D606" s="24" t="n">
        <f aca="false">C606*가정!$B$8</f>
        <v>500</v>
      </c>
      <c r="E606" s="24" t="n">
        <f aca="false">H605+D605</f>
        <v>159053.668341709</v>
      </c>
      <c r="F606" s="11" t="n">
        <f aca="false">IF(가정!$B$11=1,MAX(0,MIN(가정!$B$16-C606,INT(E606/가정!$B$17))),0)</f>
        <v>0</v>
      </c>
      <c r="G606" s="24" t="n">
        <f aca="false">F606*가정!$B$17</f>
        <v>0</v>
      </c>
      <c r="H606" s="24" t="n">
        <f aca="false">E606-G606</f>
        <v>159053.668341709</v>
      </c>
      <c r="I606" s="24" t="n">
        <f aca="false">I605+D606</f>
        <v>186020</v>
      </c>
      <c r="J606" s="16" t="n">
        <f aca="false">(H606+D606)*가정!$B$10</f>
        <v>159553.668341709</v>
      </c>
      <c r="K606" s="24" t="n">
        <f aca="false">A606*가정!$B$8*가정!$B$7</f>
        <v>3010</v>
      </c>
      <c r="L606" s="11" t="n">
        <f aca="false">C606+F606</f>
        <v>100</v>
      </c>
    </row>
    <row r="607" customFormat="false" ht="15" hidden="false" customHeight="false" outlineLevel="0" collapsed="false">
      <c r="A607" s="11" t="n">
        <v>603</v>
      </c>
      <c r="B607" s="11" t="n">
        <f aca="false">MATCH(A607,월별!$C$6:$C$41,1)</f>
        <v>20</v>
      </c>
      <c r="C607" s="11" t="n">
        <f aca="false">L606</f>
        <v>100</v>
      </c>
      <c r="D607" s="24" t="n">
        <f aca="false">C607*가정!$B$8</f>
        <v>500</v>
      </c>
      <c r="E607" s="24" t="n">
        <f aca="false">H606+D606</f>
        <v>159553.668341709</v>
      </c>
      <c r="F607" s="11" t="n">
        <f aca="false">IF(가정!$B$11=1,MAX(0,MIN(가정!$B$16-C607,INT(E607/가정!$B$17))),0)</f>
        <v>0</v>
      </c>
      <c r="G607" s="24" t="n">
        <f aca="false">F607*가정!$B$17</f>
        <v>0</v>
      </c>
      <c r="H607" s="24" t="n">
        <f aca="false">E607-G607</f>
        <v>159553.668341709</v>
      </c>
      <c r="I607" s="24" t="n">
        <f aca="false">I606+D607</f>
        <v>186520</v>
      </c>
      <c r="J607" s="16" t="n">
        <f aca="false">(H607+D607)*가정!$B$10</f>
        <v>160053.668341709</v>
      </c>
      <c r="K607" s="24" t="n">
        <f aca="false">A607*가정!$B$8*가정!$B$7</f>
        <v>3015</v>
      </c>
      <c r="L607" s="11" t="n">
        <f aca="false">C607+F607</f>
        <v>100</v>
      </c>
    </row>
    <row r="608" customFormat="false" ht="15" hidden="false" customHeight="false" outlineLevel="0" collapsed="false">
      <c r="A608" s="11" t="n">
        <v>604</v>
      </c>
      <c r="B608" s="11" t="n">
        <f aca="false">MATCH(A608,월별!$C$6:$C$41,1)</f>
        <v>20</v>
      </c>
      <c r="C608" s="11" t="n">
        <f aca="false">L607</f>
        <v>100</v>
      </c>
      <c r="D608" s="24" t="n">
        <f aca="false">C608*가정!$B$8</f>
        <v>500</v>
      </c>
      <c r="E608" s="24" t="n">
        <f aca="false">H607+D607</f>
        <v>160053.668341709</v>
      </c>
      <c r="F608" s="11" t="n">
        <f aca="false">IF(가정!$B$11=1,MAX(0,MIN(가정!$B$16-C608,INT(E608/가정!$B$17))),0)</f>
        <v>0</v>
      </c>
      <c r="G608" s="24" t="n">
        <f aca="false">F608*가정!$B$17</f>
        <v>0</v>
      </c>
      <c r="H608" s="24" t="n">
        <f aca="false">E608-G608</f>
        <v>160053.668341709</v>
      </c>
      <c r="I608" s="24" t="n">
        <f aca="false">I607+D608</f>
        <v>187020</v>
      </c>
      <c r="J608" s="16" t="n">
        <f aca="false">(H608+D608)*가정!$B$10</f>
        <v>160553.668341709</v>
      </c>
      <c r="K608" s="24" t="n">
        <f aca="false">A608*가정!$B$8*가정!$B$7</f>
        <v>3020</v>
      </c>
      <c r="L608" s="11" t="n">
        <f aca="false">C608+F608</f>
        <v>100</v>
      </c>
    </row>
    <row r="609" customFormat="false" ht="15" hidden="false" customHeight="false" outlineLevel="0" collapsed="false">
      <c r="A609" s="11" t="n">
        <v>605</v>
      </c>
      <c r="B609" s="11" t="n">
        <f aca="false">MATCH(A609,월별!$C$6:$C$41,1)</f>
        <v>20</v>
      </c>
      <c r="C609" s="11" t="n">
        <f aca="false">L608</f>
        <v>100</v>
      </c>
      <c r="D609" s="24" t="n">
        <f aca="false">C609*가정!$B$8</f>
        <v>500</v>
      </c>
      <c r="E609" s="24" t="n">
        <f aca="false">H608+D608</f>
        <v>160553.668341709</v>
      </c>
      <c r="F609" s="11" t="n">
        <f aca="false">IF(가정!$B$11=1,MAX(0,MIN(가정!$B$16-C609,INT(E609/가정!$B$17))),0)</f>
        <v>0</v>
      </c>
      <c r="G609" s="24" t="n">
        <f aca="false">F609*가정!$B$17</f>
        <v>0</v>
      </c>
      <c r="H609" s="24" t="n">
        <f aca="false">E609-G609</f>
        <v>160553.668341709</v>
      </c>
      <c r="I609" s="24" t="n">
        <f aca="false">I608+D609</f>
        <v>187520</v>
      </c>
      <c r="J609" s="16" t="n">
        <f aca="false">(H609+D609)*가정!$B$10</f>
        <v>161053.668341709</v>
      </c>
      <c r="K609" s="24" t="n">
        <f aca="false">A609*가정!$B$8*가정!$B$7</f>
        <v>3025</v>
      </c>
      <c r="L609" s="11" t="n">
        <f aca="false">C609+F609</f>
        <v>100</v>
      </c>
    </row>
    <row r="610" customFormat="false" ht="15" hidden="false" customHeight="false" outlineLevel="0" collapsed="false">
      <c r="A610" s="11" t="n">
        <v>606</v>
      </c>
      <c r="B610" s="11" t="n">
        <f aca="false">MATCH(A610,월별!$C$6:$C$41,1)</f>
        <v>20</v>
      </c>
      <c r="C610" s="11" t="n">
        <f aca="false">L609</f>
        <v>100</v>
      </c>
      <c r="D610" s="24" t="n">
        <f aca="false">C610*가정!$B$8</f>
        <v>500</v>
      </c>
      <c r="E610" s="24" t="n">
        <f aca="false">H609+D609</f>
        <v>161053.668341709</v>
      </c>
      <c r="F610" s="11" t="n">
        <f aca="false">IF(가정!$B$11=1,MAX(0,MIN(가정!$B$16-C610,INT(E610/가정!$B$17))),0)</f>
        <v>0</v>
      </c>
      <c r="G610" s="24" t="n">
        <f aca="false">F610*가정!$B$17</f>
        <v>0</v>
      </c>
      <c r="H610" s="24" t="n">
        <f aca="false">E610-G610</f>
        <v>161053.668341709</v>
      </c>
      <c r="I610" s="24" t="n">
        <f aca="false">I609+D610</f>
        <v>188020</v>
      </c>
      <c r="J610" s="16" t="n">
        <f aca="false">(H610+D610)*가정!$B$10</f>
        <v>161553.668341709</v>
      </c>
      <c r="K610" s="24" t="n">
        <f aca="false">A610*가정!$B$8*가정!$B$7</f>
        <v>3030</v>
      </c>
      <c r="L610" s="11" t="n">
        <f aca="false">C610+F610</f>
        <v>100</v>
      </c>
    </row>
    <row r="611" customFormat="false" ht="15" hidden="false" customHeight="false" outlineLevel="0" collapsed="false">
      <c r="A611" s="11" t="n">
        <v>607</v>
      </c>
      <c r="B611" s="11" t="n">
        <f aca="false">MATCH(A611,월별!$C$6:$C$41,1)</f>
        <v>20</v>
      </c>
      <c r="C611" s="11" t="n">
        <f aca="false">L610</f>
        <v>100</v>
      </c>
      <c r="D611" s="24" t="n">
        <f aca="false">C611*가정!$B$8</f>
        <v>500</v>
      </c>
      <c r="E611" s="24" t="n">
        <f aca="false">H610+D610</f>
        <v>161553.668341709</v>
      </c>
      <c r="F611" s="11" t="n">
        <f aca="false">IF(가정!$B$11=1,MAX(0,MIN(가정!$B$16-C611,INT(E611/가정!$B$17))),0)</f>
        <v>0</v>
      </c>
      <c r="G611" s="24" t="n">
        <f aca="false">F611*가정!$B$17</f>
        <v>0</v>
      </c>
      <c r="H611" s="24" t="n">
        <f aca="false">E611-G611</f>
        <v>161553.668341709</v>
      </c>
      <c r="I611" s="24" t="n">
        <f aca="false">I610+D611</f>
        <v>188520</v>
      </c>
      <c r="J611" s="16" t="n">
        <f aca="false">(H611+D611)*가정!$B$10</f>
        <v>162053.668341709</v>
      </c>
      <c r="K611" s="24" t="n">
        <f aca="false">A611*가정!$B$8*가정!$B$7</f>
        <v>3035</v>
      </c>
      <c r="L611" s="11" t="n">
        <f aca="false">C611+F611</f>
        <v>100</v>
      </c>
    </row>
    <row r="612" customFormat="false" ht="15" hidden="false" customHeight="false" outlineLevel="0" collapsed="false">
      <c r="A612" s="11" t="n">
        <v>608</v>
      </c>
      <c r="B612" s="11" t="n">
        <f aca="false">MATCH(A612,월별!$C$6:$C$41,1)</f>
        <v>20</v>
      </c>
      <c r="C612" s="11" t="n">
        <f aca="false">L611</f>
        <v>100</v>
      </c>
      <c r="D612" s="24" t="n">
        <f aca="false">C612*가정!$B$8</f>
        <v>500</v>
      </c>
      <c r="E612" s="24" t="n">
        <f aca="false">H611+D611</f>
        <v>162053.668341709</v>
      </c>
      <c r="F612" s="11" t="n">
        <f aca="false">IF(가정!$B$11=1,MAX(0,MIN(가정!$B$16-C612,INT(E612/가정!$B$17))),0)</f>
        <v>0</v>
      </c>
      <c r="G612" s="24" t="n">
        <f aca="false">F612*가정!$B$17</f>
        <v>0</v>
      </c>
      <c r="H612" s="24" t="n">
        <f aca="false">E612-G612</f>
        <v>162053.668341709</v>
      </c>
      <c r="I612" s="24" t="n">
        <f aca="false">I611+D612</f>
        <v>189020</v>
      </c>
      <c r="J612" s="16" t="n">
        <f aca="false">(H612+D612)*가정!$B$10</f>
        <v>162553.668341709</v>
      </c>
      <c r="K612" s="24" t="n">
        <f aca="false">A612*가정!$B$8*가정!$B$7</f>
        <v>3040</v>
      </c>
      <c r="L612" s="11" t="n">
        <f aca="false">C612+F612</f>
        <v>100</v>
      </c>
    </row>
    <row r="613" customFormat="false" ht="15" hidden="false" customHeight="false" outlineLevel="0" collapsed="false">
      <c r="A613" s="11" t="n">
        <v>609</v>
      </c>
      <c r="B613" s="11" t="n">
        <f aca="false">MATCH(A613,월별!$C$6:$C$41,1)</f>
        <v>21</v>
      </c>
      <c r="C613" s="11" t="n">
        <f aca="false">L612</f>
        <v>100</v>
      </c>
      <c r="D613" s="24" t="n">
        <f aca="false">C613*가정!$B$8</f>
        <v>500</v>
      </c>
      <c r="E613" s="24" t="n">
        <f aca="false">H612+D612</f>
        <v>162553.668341709</v>
      </c>
      <c r="F613" s="11" t="n">
        <f aca="false">IF(가정!$B$11=1,MAX(0,MIN(가정!$B$16-C613,INT(E613/가정!$B$17))),0)</f>
        <v>0</v>
      </c>
      <c r="G613" s="24" t="n">
        <f aca="false">F613*가정!$B$17</f>
        <v>0</v>
      </c>
      <c r="H613" s="24" t="n">
        <f aca="false">E613-G613</f>
        <v>162553.668341709</v>
      </c>
      <c r="I613" s="24" t="n">
        <f aca="false">I612+D613</f>
        <v>189520</v>
      </c>
      <c r="J613" s="16" t="n">
        <f aca="false">(H613+D613)*가정!$B$10</f>
        <v>163053.668341709</v>
      </c>
      <c r="K613" s="24" t="n">
        <f aca="false">A613*가정!$B$8*가정!$B$7</f>
        <v>3045</v>
      </c>
      <c r="L613" s="11" t="n">
        <f aca="false">C613+F613</f>
        <v>100</v>
      </c>
    </row>
    <row r="614" customFormat="false" ht="15" hidden="false" customHeight="false" outlineLevel="0" collapsed="false">
      <c r="A614" s="11" t="n">
        <v>610</v>
      </c>
      <c r="B614" s="11" t="n">
        <f aca="false">MATCH(A614,월별!$C$6:$C$41,1)</f>
        <v>21</v>
      </c>
      <c r="C614" s="11" t="n">
        <f aca="false">L613</f>
        <v>100</v>
      </c>
      <c r="D614" s="24" t="n">
        <f aca="false">C614*가정!$B$8</f>
        <v>500</v>
      </c>
      <c r="E614" s="24" t="n">
        <f aca="false">H613+D613</f>
        <v>163053.668341709</v>
      </c>
      <c r="F614" s="11" t="n">
        <f aca="false">IF(가정!$B$11=1,MAX(0,MIN(가정!$B$16-C614,INT(E614/가정!$B$17))),0)</f>
        <v>0</v>
      </c>
      <c r="G614" s="24" t="n">
        <f aca="false">F614*가정!$B$17</f>
        <v>0</v>
      </c>
      <c r="H614" s="24" t="n">
        <f aca="false">E614-G614</f>
        <v>163053.668341709</v>
      </c>
      <c r="I614" s="24" t="n">
        <f aca="false">I613+D614</f>
        <v>190020</v>
      </c>
      <c r="J614" s="16" t="n">
        <f aca="false">(H614+D614)*가정!$B$10</f>
        <v>163553.668341709</v>
      </c>
      <c r="K614" s="24" t="n">
        <f aca="false">A614*가정!$B$8*가정!$B$7</f>
        <v>3050</v>
      </c>
      <c r="L614" s="11" t="n">
        <f aca="false">C614+F614</f>
        <v>100</v>
      </c>
    </row>
    <row r="615" customFormat="false" ht="15" hidden="false" customHeight="false" outlineLevel="0" collapsed="false">
      <c r="A615" s="11" t="n">
        <v>611</v>
      </c>
      <c r="B615" s="11" t="n">
        <f aca="false">MATCH(A615,월별!$C$6:$C$41,1)</f>
        <v>21</v>
      </c>
      <c r="C615" s="11" t="n">
        <f aca="false">L614</f>
        <v>100</v>
      </c>
      <c r="D615" s="24" t="n">
        <f aca="false">C615*가정!$B$8</f>
        <v>500</v>
      </c>
      <c r="E615" s="24" t="n">
        <f aca="false">H614+D614</f>
        <v>163553.668341709</v>
      </c>
      <c r="F615" s="11" t="n">
        <f aca="false">IF(가정!$B$11=1,MAX(0,MIN(가정!$B$16-C615,INT(E615/가정!$B$17))),0)</f>
        <v>0</v>
      </c>
      <c r="G615" s="24" t="n">
        <f aca="false">F615*가정!$B$17</f>
        <v>0</v>
      </c>
      <c r="H615" s="24" t="n">
        <f aca="false">E615-G615</f>
        <v>163553.668341709</v>
      </c>
      <c r="I615" s="24" t="n">
        <f aca="false">I614+D615</f>
        <v>190520</v>
      </c>
      <c r="J615" s="16" t="n">
        <f aca="false">(H615+D615)*가정!$B$10</f>
        <v>164053.668341709</v>
      </c>
      <c r="K615" s="24" t="n">
        <f aca="false">A615*가정!$B$8*가정!$B$7</f>
        <v>3055</v>
      </c>
      <c r="L615" s="11" t="n">
        <f aca="false">C615+F615</f>
        <v>100</v>
      </c>
    </row>
    <row r="616" customFormat="false" ht="15" hidden="false" customHeight="false" outlineLevel="0" collapsed="false">
      <c r="A616" s="11" t="n">
        <v>612</v>
      </c>
      <c r="B616" s="11" t="n">
        <f aca="false">MATCH(A616,월별!$C$6:$C$41,1)</f>
        <v>21</v>
      </c>
      <c r="C616" s="11" t="n">
        <f aca="false">L615</f>
        <v>100</v>
      </c>
      <c r="D616" s="24" t="n">
        <f aca="false">C616*가정!$B$8</f>
        <v>500</v>
      </c>
      <c r="E616" s="24" t="n">
        <f aca="false">H615+D615</f>
        <v>164053.668341709</v>
      </c>
      <c r="F616" s="11" t="n">
        <f aca="false">IF(가정!$B$11=1,MAX(0,MIN(가정!$B$16-C616,INT(E616/가정!$B$17))),0)</f>
        <v>0</v>
      </c>
      <c r="G616" s="24" t="n">
        <f aca="false">F616*가정!$B$17</f>
        <v>0</v>
      </c>
      <c r="H616" s="24" t="n">
        <f aca="false">E616-G616</f>
        <v>164053.668341709</v>
      </c>
      <c r="I616" s="24" t="n">
        <f aca="false">I615+D616</f>
        <v>191020</v>
      </c>
      <c r="J616" s="16" t="n">
        <f aca="false">(H616+D616)*가정!$B$10</f>
        <v>164553.668341709</v>
      </c>
      <c r="K616" s="24" t="n">
        <f aca="false">A616*가정!$B$8*가정!$B$7</f>
        <v>3060</v>
      </c>
      <c r="L616" s="11" t="n">
        <f aca="false">C616+F616</f>
        <v>100</v>
      </c>
    </row>
    <row r="617" customFormat="false" ht="15" hidden="false" customHeight="false" outlineLevel="0" collapsed="false">
      <c r="A617" s="11" t="n">
        <v>613</v>
      </c>
      <c r="B617" s="11" t="n">
        <f aca="false">MATCH(A617,월별!$C$6:$C$41,1)</f>
        <v>21</v>
      </c>
      <c r="C617" s="11" t="n">
        <f aca="false">L616</f>
        <v>100</v>
      </c>
      <c r="D617" s="24" t="n">
        <f aca="false">C617*가정!$B$8</f>
        <v>500</v>
      </c>
      <c r="E617" s="24" t="n">
        <f aca="false">H616+D616</f>
        <v>164553.668341709</v>
      </c>
      <c r="F617" s="11" t="n">
        <f aca="false">IF(가정!$B$11=1,MAX(0,MIN(가정!$B$16-C617,INT(E617/가정!$B$17))),0)</f>
        <v>0</v>
      </c>
      <c r="G617" s="24" t="n">
        <f aca="false">F617*가정!$B$17</f>
        <v>0</v>
      </c>
      <c r="H617" s="24" t="n">
        <f aca="false">E617-G617</f>
        <v>164553.668341709</v>
      </c>
      <c r="I617" s="24" t="n">
        <f aca="false">I616+D617</f>
        <v>191520</v>
      </c>
      <c r="J617" s="16" t="n">
        <f aca="false">(H617+D617)*가정!$B$10</f>
        <v>165053.668341709</v>
      </c>
      <c r="K617" s="24" t="n">
        <f aca="false">A617*가정!$B$8*가정!$B$7</f>
        <v>3065</v>
      </c>
      <c r="L617" s="11" t="n">
        <f aca="false">C617+F617</f>
        <v>100</v>
      </c>
    </row>
    <row r="618" customFormat="false" ht="15" hidden="false" customHeight="false" outlineLevel="0" collapsed="false">
      <c r="A618" s="11" t="n">
        <v>614</v>
      </c>
      <c r="B618" s="11" t="n">
        <f aca="false">MATCH(A618,월별!$C$6:$C$41,1)</f>
        <v>21</v>
      </c>
      <c r="C618" s="11" t="n">
        <f aca="false">L617</f>
        <v>100</v>
      </c>
      <c r="D618" s="24" t="n">
        <f aca="false">C618*가정!$B$8</f>
        <v>500</v>
      </c>
      <c r="E618" s="24" t="n">
        <f aca="false">H617+D617</f>
        <v>165053.668341709</v>
      </c>
      <c r="F618" s="11" t="n">
        <f aca="false">IF(가정!$B$11=1,MAX(0,MIN(가정!$B$16-C618,INT(E618/가정!$B$17))),0)</f>
        <v>0</v>
      </c>
      <c r="G618" s="24" t="n">
        <f aca="false">F618*가정!$B$17</f>
        <v>0</v>
      </c>
      <c r="H618" s="24" t="n">
        <f aca="false">E618-G618</f>
        <v>165053.668341709</v>
      </c>
      <c r="I618" s="24" t="n">
        <f aca="false">I617+D618</f>
        <v>192020</v>
      </c>
      <c r="J618" s="16" t="n">
        <f aca="false">(H618+D618)*가정!$B$10</f>
        <v>165553.668341709</v>
      </c>
      <c r="K618" s="24" t="n">
        <f aca="false">A618*가정!$B$8*가정!$B$7</f>
        <v>3070</v>
      </c>
      <c r="L618" s="11" t="n">
        <f aca="false">C618+F618</f>
        <v>100</v>
      </c>
    </row>
    <row r="619" customFormat="false" ht="15" hidden="false" customHeight="false" outlineLevel="0" collapsed="false">
      <c r="A619" s="11" t="n">
        <v>615</v>
      </c>
      <c r="B619" s="11" t="n">
        <f aca="false">MATCH(A619,월별!$C$6:$C$41,1)</f>
        <v>21</v>
      </c>
      <c r="C619" s="11" t="n">
        <f aca="false">L618</f>
        <v>100</v>
      </c>
      <c r="D619" s="24" t="n">
        <f aca="false">C619*가정!$B$8</f>
        <v>500</v>
      </c>
      <c r="E619" s="24" t="n">
        <f aca="false">H618+D618</f>
        <v>165553.668341709</v>
      </c>
      <c r="F619" s="11" t="n">
        <f aca="false">IF(가정!$B$11=1,MAX(0,MIN(가정!$B$16-C619,INT(E619/가정!$B$17))),0)</f>
        <v>0</v>
      </c>
      <c r="G619" s="24" t="n">
        <f aca="false">F619*가정!$B$17</f>
        <v>0</v>
      </c>
      <c r="H619" s="24" t="n">
        <f aca="false">E619-G619</f>
        <v>165553.668341709</v>
      </c>
      <c r="I619" s="24" t="n">
        <f aca="false">I618+D619</f>
        <v>192520</v>
      </c>
      <c r="J619" s="16" t="n">
        <f aca="false">(H619+D619)*가정!$B$10</f>
        <v>166053.668341709</v>
      </c>
      <c r="K619" s="24" t="n">
        <f aca="false">A619*가정!$B$8*가정!$B$7</f>
        <v>3075</v>
      </c>
      <c r="L619" s="11" t="n">
        <f aca="false">C619+F619</f>
        <v>100</v>
      </c>
    </row>
    <row r="620" customFormat="false" ht="15" hidden="false" customHeight="false" outlineLevel="0" collapsed="false">
      <c r="A620" s="11" t="n">
        <v>616</v>
      </c>
      <c r="B620" s="11" t="n">
        <f aca="false">MATCH(A620,월별!$C$6:$C$41,1)</f>
        <v>21</v>
      </c>
      <c r="C620" s="11" t="n">
        <f aca="false">L619</f>
        <v>100</v>
      </c>
      <c r="D620" s="24" t="n">
        <f aca="false">C620*가정!$B$8</f>
        <v>500</v>
      </c>
      <c r="E620" s="24" t="n">
        <f aca="false">H619+D619</f>
        <v>166053.668341709</v>
      </c>
      <c r="F620" s="11" t="n">
        <f aca="false">IF(가정!$B$11=1,MAX(0,MIN(가정!$B$16-C620,INT(E620/가정!$B$17))),0)</f>
        <v>0</v>
      </c>
      <c r="G620" s="24" t="n">
        <f aca="false">F620*가정!$B$17</f>
        <v>0</v>
      </c>
      <c r="H620" s="24" t="n">
        <f aca="false">E620-G620</f>
        <v>166053.668341709</v>
      </c>
      <c r="I620" s="24" t="n">
        <f aca="false">I619+D620</f>
        <v>193020</v>
      </c>
      <c r="J620" s="16" t="n">
        <f aca="false">(H620+D620)*가정!$B$10</f>
        <v>166553.668341709</v>
      </c>
      <c r="K620" s="24" t="n">
        <f aca="false">A620*가정!$B$8*가정!$B$7</f>
        <v>3080</v>
      </c>
      <c r="L620" s="11" t="n">
        <f aca="false">C620+F620</f>
        <v>100</v>
      </c>
    </row>
    <row r="621" customFormat="false" ht="15" hidden="false" customHeight="false" outlineLevel="0" collapsed="false">
      <c r="A621" s="11" t="n">
        <v>617</v>
      </c>
      <c r="B621" s="11" t="n">
        <f aca="false">MATCH(A621,월별!$C$6:$C$41,1)</f>
        <v>21</v>
      </c>
      <c r="C621" s="11" t="n">
        <f aca="false">L620</f>
        <v>100</v>
      </c>
      <c r="D621" s="24" t="n">
        <f aca="false">C621*가정!$B$8</f>
        <v>500</v>
      </c>
      <c r="E621" s="24" t="n">
        <f aca="false">H620+D620</f>
        <v>166553.668341709</v>
      </c>
      <c r="F621" s="11" t="n">
        <f aca="false">IF(가정!$B$11=1,MAX(0,MIN(가정!$B$16-C621,INT(E621/가정!$B$17))),0)</f>
        <v>0</v>
      </c>
      <c r="G621" s="24" t="n">
        <f aca="false">F621*가정!$B$17</f>
        <v>0</v>
      </c>
      <c r="H621" s="24" t="n">
        <f aca="false">E621-G621</f>
        <v>166553.668341709</v>
      </c>
      <c r="I621" s="24" t="n">
        <f aca="false">I620+D621</f>
        <v>193520</v>
      </c>
      <c r="J621" s="16" t="n">
        <f aca="false">(H621+D621)*가정!$B$10</f>
        <v>167053.668341709</v>
      </c>
      <c r="K621" s="24" t="n">
        <f aca="false">A621*가정!$B$8*가정!$B$7</f>
        <v>3085</v>
      </c>
      <c r="L621" s="11" t="n">
        <f aca="false">C621+F621</f>
        <v>100</v>
      </c>
    </row>
    <row r="622" customFormat="false" ht="15" hidden="false" customHeight="false" outlineLevel="0" collapsed="false">
      <c r="A622" s="11" t="n">
        <v>618</v>
      </c>
      <c r="B622" s="11" t="n">
        <f aca="false">MATCH(A622,월별!$C$6:$C$41,1)</f>
        <v>21</v>
      </c>
      <c r="C622" s="11" t="n">
        <f aca="false">L621</f>
        <v>100</v>
      </c>
      <c r="D622" s="24" t="n">
        <f aca="false">C622*가정!$B$8</f>
        <v>500</v>
      </c>
      <c r="E622" s="24" t="n">
        <f aca="false">H621+D621</f>
        <v>167053.668341709</v>
      </c>
      <c r="F622" s="11" t="n">
        <f aca="false">IF(가정!$B$11=1,MAX(0,MIN(가정!$B$16-C622,INT(E622/가정!$B$17))),0)</f>
        <v>0</v>
      </c>
      <c r="G622" s="24" t="n">
        <f aca="false">F622*가정!$B$17</f>
        <v>0</v>
      </c>
      <c r="H622" s="24" t="n">
        <f aca="false">E622-G622</f>
        <v>167053.668341709</v>
      </c>
      <c r="I622" s="24" t="n">
        <f aca="false">I621+D622</f>
        <v>194020</v>
      </c>
      <c r="J622" s="16" t="n">
        <f aca="false">(H622+D622)*가정!$B$10</f>
        <v>167553.668341709</v>
      </c>
      <c r="K622" s="24" t="n">
        <f aca="false">A622*가정!$B$8*가정!$B$7</f>
        <v>3090</v>
      </c>
      <c r="L622" s="11" t="n">
        <f aca="false">C622+F622</f>
        <v>100</v>
      </c>
    </row>
    <row r="623" customFormat="false" ht="15" hidden="false" customHeight="false" outlineLevel="0" collapsed="false">
      <c r="A623" s="11" t="n">
        <v>619</v>
      </c>
      <c r="B623" s="11" t="n">
        <f aca="false">MATCH(A623,월별!$C$6:$C$41,1)</f>
        <v>21</v>
      </c>
      <c r="C623" s="11" t="n">
        <f aca="false">L622</f>
        <v>100</v>
      </c>
      <c r="D623" s="24" t="n">
        <f aca="false">C623*가정!$B$8</f>
        <v>500</v>
      </c>
      <c r="E623" s="24" t="n">
        <f aca="false">H622+D622</f>
        <v>167553.668341709</v>
      </c>
      <c r="F623" s="11" t="n">
        <f aca="false">IF(가정!$B$11=1,MAX(0,MIN(가정!$B$16-C623,INT(E623/가정!$B$17))),0)</f>
        <v>0</v>
      </c>
      <c r="G623" s="24" t="n">
        <f aca="false">F623*가정!$B$17</f>
        <v>0</v>
      </c>
      <c r="H623" s="24" t="n">
        <f aca="false">E623-G623</f>
        <v>167553.668341709</v>
      </c>
      <c r="I623" s="24" t="n">
        <f aca="false">I622+D623</f>
        <v>194520</v>
      </c>
      <c r="J623" s="16" t="n">
        <f aca="false">(H623+D623)*가정!$B$10</f>
        <v>168053.668341709</v>
      </c>
      <c r="K623" s="24" t="n">
        <f aca="false">A623*가정!$B$8*가정!$B$7</f>
        <v>3095</v>
      </c>
      <c r="L623" s="11" t="n">
        <f aca="false">C623+F623</f>
        <v>100</v>
      </c>
    </row>
    <row r="624" customFormat="false" ht="15" hidden="false" customHeight="false" outlineLevel="0" collapsed="false">
      <c r="A624" s="11" t="n">
        <v>620</v>
      </c>
      <c r="B624" s="11" t="n">
        <f aca="false">MATCH(A624,월별!$C$6:$C$41,1)</f>
        <v>21</v>
      </c>
      <c r="C624" s="11" t="n">
        <f aca="false">L623</f>
        <v>100</v>
      </c>
      <c r="D624" s="24" t="n">
        <f aca="false">C624*가정!$B$8</f>
        <v>500</v>
      </c>
      <c r="E624" s="24" t="n">
        <f aca="false">H623+D623</f>
        <v>168053.668341709</v>
      </c>
      <c r="F624" s="11" t="n">
        <f aca="false">IF(가정!$B$11=1,MAX(0,MIN(가정!$B$16-C624,INT(E624/가정!$B$17))),0)</f>
        <v>0</v>
      </c>
      <c r="G624" s="24" t="n">
        <f aca="false">F624*가정!$B$17</f>
        <v>0</v>
      </c>
      <c r="H624" s="24" t="n">
        <f aca="false">E624-G624</f>
        <v>168053.668341709</v>
      </c>
      <c r="I624" s="24" t="n">
        <f aca="false">I623+D624</f>
        <v>195020</v>
      </c>
      <c r="J624" s="16" t="n">
        <f aca="false">(H624+D624)*가정!$B$10</f>
        <v>168553.668341709</v>
      </c>
      <c r="K624" s="24" t="n">
        <f aca="false">A624*가정!$B$8*가정!$B$7</f>
        <v>3100</v>
      </c>
      <c r="L624" s="11" t="n">
        <f aca="false">C624+F624</f>
        <v>100</v>
      </c>
    </row>
    <row r="625" customFormat="false" ht="15" hidden="false" customHeight="false" outlineLevel="0" collapsed="false">
      <c r="A625" s="11" t="n">
        <v>621</v>
      </c>
      <c r="B625" s="11" t="n">
        <f aca="false">MATCH(A625,월별!$C$6:$C$41,1)</f>
        <v>21</v>
      </c>
      <c r="C625" s="11" t="n">
        <f aca="false">L624</f>
        <v>100</v>
      </c>
      <c r="D625" s="24" t="n">
        <f aca="false">C625*가정!$B$8</f>
        <v>500</v>
      </c>
      <c r="E625" s="24" t="n">
        <f aca="false">H624+D624</f>
        <v>168553.668341709</v>
      </c>
      <c r="F625" s="11" t="n">
        <f aca="false">IF(가정!$B$11=1,MAX(0,MIN(가정!$B$16-C625,INT(E625/가정!$B$17))),0)</f>
        <v>0</v>
      </c>
      <c r="G625" s="24" t="n">
        <f aca="false">F625*가정!$B$17</f>
        <v>0</v>
      </c>
      <c r="H625" s="24" t="n">
        <f aca="false">E625-G625</f>
        <v>168553.668341709</v>
      </c>
      <c r="I625" s="24" t="n">
        <f aca="false">I624+D625</f>
        <v>195520</v>
      </c>
      <c r="J625" s="16" t="n">
        <f aca="false">(H625+D625)*가정!$B$10</f>
        <v>169053.668341709</v>
      </c>
      <c r="K625" s="24" t="n">
        <f aca="false">A625*가정!$B$8*가정!$B$7</f>
        <v>3105</v>
      </c>
      <c r="L625" s="11" t="n">
        <f aca="false">C625+F625</f>
        <v>100</v>
      </c>
    </row>
    <row r="626" customFormat="false" ht="15" hidden="false" customHeight="false" outlineLevel="0" collapsed="false">
      <c r="A626" s="11" t="n">
        <v>622</v>
      </c>
      <c r="B626" s="11" t="n">
        <f aca="false">MATCH(A626,월별!$C$6:$C$41,1)</f>
        <v>21</v>
      </c>
      <c r="C626" s="11" t="n">
        <f aca="false">L625</f>
        <v>100</v>
      </c>
      <c r="D626" s="24" t="n">
        <f aca="false">C626*가정!$B$8</f>
        <v>500</v>
      </c>
      <c r="E626" s="24" t="n">
        <f aca="false">H625+D625</f>
        <v>169053.668341709</v>
      </c>
      <c r="F626" s="11" t="n">
        <f aca="false">IF(가정!$B$11=1,MAX(0,MIN(가정!$B$16-C626,INT(E626/가정!$B$17))),0)</f>
        <v>0</v>
      </c>
      <c r="G626" s="24" t="n">
        <f aca="false">F626*가정!$B$17</f>
        <v>0</v>
      </c>
      <c r="H626" s="24" t="n">
        <f aca="false">E626-G626</f>
        <v>169053.668341709</v>
      </c>
      <c r="I626" s="24" t="n">
        <f aca="false">I625+D626</f>
        <v>196020</v>
      </c>
      <c r="J626" s="16" t="n">
        <f aca="false">(H626+D626)*가정!$B$10</f>
        <v>169553.668341709</v>
      </c>
      <c r="K626" s="24" t="n">
        <f aca="false">A626*가정!$B$8*가정!$B$7</f>
        <v>3110</v>
      </c>
      <c r="L626" s="11" t="n">
        <f aca="false">C626+F626</f>
        <v>100</v>
      </c>
    </row>
    <row r="627" customFormat="false" ht="15" hidden="false" customHeight="false" outlineLevel="0" collapsed="false">
      <c r="A627" s="11" t="n">
        <v>623</v>
      </c>
      <c r="B627" s="11" t="n">
        <f aca="false">MATCH(A627,월별!$C$6:$C$41,1)</f>
        <v>21</v>
      </c>
      <c r="C627" s="11" t="n">
        <f aca="false">L626</f>
        <v>100</v>
      </c>
      <c r="D627" s="24" t="n">
        <f aca="false">C627*가정!$B$8</f>
        <v>500</v>
      </c>
      <c r="E627" s="24" t="n">
        <f aca="false">H626+D626</f>
        <v>169553.668341709</v>
      </c>
      <c r="F627" s="11" t="n">
        <f aca="false">IF(가정!$B$11=1,MAX(0,MIN(가정!$B$16-C627,INT(E627/가정!$B$17))),0)</f>
        <v>0</v>
      </c>
      <c r="G627" s="24" t="n">
        <f aca="false">F627*가정!$B$17</f>
        <v>0</v>
      </c>
      <c r="H627" s="24" t="n">
        <f aca="false">E627-G627</f>
        <v>169553.668341709</v>
      </c>
      <c r="I627" s="24" t="n">
        <f aca="false">I626+D627</f>
        <v>196520</v>
      </c>
      <c r="J627" s="16" t="n">
        <f aca="false">(H627+D627)*가정!$B$10</f>
        <v>170053.668341709</v>
      </c>
      <c r="K627" s="24" t="n">
        <f aca="false">A627*가정!$B$8*가정!$B$7</f>
        <v>3115</v>
      </c>
      <c r="L627" s="11" t="n">
        <f aca="false">C627+F627</f>
        <v>100</v>
      </c>
    </row>
    <row r="628" customFormat="false" ht="15" hidden="false" customHeight="false" outlineLevel="0" collapsed="false">
      <c r="A628" s="11" t="n">
        <v>624</v>
      </c>
      <c r="B628" s="11" t="n">
        <f aca="false">MATCH(A628,월별!$C$6:$C$41,1)</f>
        <v>21</v>
      </c>
      <c r="C628" s="11" t="n">
        <f aca="false">L627</f>
        <v>100</v>
      </c>
      <c r="D628" s="24" t="n">
        <f aca="false">C628*가정!$B$8</f>
        <v>500</v>
      </c>
      <c r="E628" s="24" t="n">
        <f aca="false">H627+D627</f>
        <v>170053.668341709</v>
      </c>
      <c r="F628" s="11" t="n">
        <f aca="false">IF(가정!$B$11=1,MAX(0,MIN(가정!$B$16-C628,INT(E628/가정!$B$17))),0)</f>
        <v>0</v>
      </c>
      <c r="G628" s="24" t="n">
        <f aca="false">F628*가정!$B$17</f>
        <v>0</v>
      </c>
      <c r="H628" s="24" t="n">
        <f aca="false">E628-G628</f>
        <v>170053.668341709</v>
      </c>
      <c r="I628" s="24" t="n">
        <f aca="false">I627+D628</f>
        <v>197020</v>
      </c>
      <c r="J628" s="16" t="n">
        <f aca="false">(H628+D628)*가정!$B$10</f>
        <v>170553.668341709</v>
      </c>
      <c r="K628" s="24" t="n">
        <f aca="false">A628*가정!$B$8*가정!$B$7</f>
        <v>3120</v>
      </c>
      <c r="L628" s="11" t="n">
        <f aca="false">C628+F628</f>
        <v>100</v>
      </c>
    </row>
    <row r="629" customFormat="false" ht="15" hidden="false" customHeight="false" outlineLevel="0" collapsed="false">
      <c r="A629" s="11" t="n">
        <v>625</v>
      </c>
      <c r="B629" s="11" t="n">
        <f aca="false">MATCH(A629,월별!$C$6:$C$41,1)</f>
        <v>21</v>
      </c>
      <c r="C629" s="11" t="n">
        <f aca="false">L628</f>
        <v>100</v>
      </c>
      <c r="D629" s="24" t="n">
        <f aca="false">C629*가정!$B$8</f>
        <v>500</v>
      </c>
      <c r="E629" s="24" t="n">
        <f aca="false">H628+D628</f>
        <v>170553.668341709</v>
      </c>
      <c r="F629" s="11" t="n">
        <f aca="false">IF(가정!$B$11=1,MAX(0,MIN(가정!$B$16-C629,INT(E629/가정!$B$17))),0)</f>
        <v>0</v>
      </c>
      <c r="G629" s="24" t="n">
        <f aca="false">F629*가정!$B$17</f>
        <v>0</v>
      </c>
      <c r="H629" s="24" t="n">
        <f aca="false">E629-G629</f>
        <v>170553.668341709</v>
      </c>
      <c r="I629" s="24" t="n">
        <f aca="false">I628+D629</f>
        <v>197520</v>
      </c>
      <c r="J629" s="16" t="n">
        <f aca="false">(H629+D629)*가정!$B$10</f>
        <v>171053.668341709</v>
      </c>
      <c r="K629" s="24" t="n">
        <f aca="false">A629*가정!$B$8*가정!$B$7</f>
        <v>3125</v>
      </c>
      <c r="L629" s="11" t="n">
        <f aca="false">C629+F629</f>
        <v>100</v>
      </c>
    </row>
    <row r="630" customFormat="false" ht="15" hidden="false" customHeight="false" outlineLevel="0" collapsed="false">
      <c r="A630" s="11" t="n">
        <v>626</v>
      </c>
      <c r="B630" s="11" t="n">
        <f aca="false">MATCH(A630,월별!$C$6:$C$41,1)</f>
        <v>21</v>
      </c>
      <c r="C630" s="11" t="n">
        <f aca="false">L629</f>
        <v>100</v>
      </c>
      <c r="D630" s="24" t="n">
        <f aca="false">C630*가정!$B$8</f>
        <v>500</v>
      </c>
      <c r="E630" s="24" t="n">
        <f aca="false">H629+D629</f>
        <v>171053.668341709</v>
      </c>
      <c r="F630" s="11" t="n">
        <f aca="false">IF(가정!$B$11=1,MAX(0,MIN(가정!$B$16-C630,INT(E630/가정!$B$17))),0)</f>
        <v>0</v>
      </c>
      <c r="G630" s="24" t="n">
        <f aca="false">F630*가정!$B$17</f>
        <v>0</v>
      </c>
      <c r="H630" s="24" t="n">
        <f aca="false">E630-G630</f>
        <v>171053.668341709</v>
      </c>
      <c r="I630" s="24" t="n">
        <f aca="false">I629+D630</f>
        <v>198020</v>
      </c>
      <c r="J630" s="16" t="n">
        <f aca="false">(H630+D630)*가정!$B$10</f>
        <v>171553.668341709</v>
      </c>
      <c r="K630" s="24" t="n">
        <f aca="false">A630*가정!$B$8*가정!$B$7</f>
        <v>3130</v>
      </c>
      <c r="L630" s="11" t="n">
        <f aca="false">C630+F630</f>
        <v>100</v>
      </c>
    </row>
    <row r="631" customFormat="false" ht="15" hidden="false" customHeight="false" outlineLevel="0" collapsed="false">
      <c r="A631" s="11" t="n">
        <v>627</v>
      </c>
      <c r="B631" s="11" t="n">
        <f aca="false">MATCH(A631,월별!$C$6:$C$41,1)</f>
        <v>21</v>
      </c>
      <c r="C631" s="11" t="n">
        <f aca="false">L630</f>
        <v>100</v>
      </c>
      <c r="D631" s="24" t="n">
        <f aca="false">C631*가정!$B$8</f>
        <v>500</v>
      </c>
      <c r="E631" s="24" t="n">
        <f aca="false">H630+D630</f>
        <v>171553.668341709</v>
      </c>
      <c r="F631" s="11" t="n">
        <f aca="false">IF(가정!$B$11=1,MAX(0,MIN(가정!$B$16-C631,INT(E631/가정!$B$17))),0)</f>
        <v>0</v>
      </c>
      <c r="G631" s="24" t="n">
        <f aca="false">F631*가정!$B$17</f>
        <v>0</v>
      </c>
      <c r="H631" s="24" t="n">
        <f aca="false">E631-G631</f>
        <v>171553.668341709</v>
      </c>
      <c r="I631" s="24" t="n">
        <f aca="false">I630+D631</f>
        <v>198520</v>
      </c>
      <c r="J631" s="16" t="n">
        <f aca="false">(H631+D631)*가정!$B$10</f>
        <v>172053.668341709</v>
      </c>
      <c r="K631" s="24" t="n">
        <f aca="false">A631*가정!$B$8*가정!$B$7</f>
        <v>3135</v>
      </c>
      <c r="L631" s="11" t="n">
        <f aca="false">C631+F631</f>
        <v>100</v>
      </c>
    </row>
    <row r="632" customFormat="false" ht="15" hidden="false" customHeight="false" outlineLevel="0" collapsed="false">
      <c r="A632" s="11" t="n">
        <v>628</v>
      </c>
      <c r="B632" s="11" t="n">
        <f aca="false">MATCH(A632,월별!$C$6:$C$41,1)</f>
        <v>21</v>
      </c>
      <c r="C632" s="11" t="n">
        <f aca="false">L631</f>
        <v>100</v>
      </c>
      <c r="D632" s="24" t="n">
        <f aca="false">C632*가정!$B$8</f>
        <v>500</v>
      </c>
      <c r="E632" s="24" t="n">
        <f aca="false">H631+D631</f>
        <v>172053.668341709</v>
      </c>
      <c r="F632" s="11" t="n">
        <f aca="false">IF(가정!$B$11=1,MAX(0,MIN(가정!$B$16-C632,INT(E632/가정!$B$17))),0)</f>
        <v>0</v>
      </c>
      <c r="G632" s="24" t="n">
        <f aca="false">F632*가정!$B$17</f>
        <v>0</v>
      </c>
      <c r="H632" s="24" t="n">
        <f aca="false">E632-G632</f>
        <v>172053.668341709</v>
      </c>
      <c r="I632" s="24" t="n">
        <f aca="false">I631+D632</f>
        <v>199020</v>
      </c>
      <c r="J632" s="16" t="n">
        <f aca="false">(H632+D632)*가정!$B$10</f>
        <v>172553.668341709</v>
      </c>
      <c r="K632" s="24" t="n">
        <f aca="false">A632*가정!$B$8*가정!$B$7</f>
        <v>3140</v>
      </c>
      <c r="L632" s="11" t="n">
        <f aca="false">C632+F632</f>
        <v>100</v>
      </c>
    </row>
    <row r="633" customFormat="false" ht="15" hidden="false" customHeight="false" outlineLevel="0" collapsed="false">
      <c r="A633" s="11" t="n">
        <v>629</v>
      </c>
      <c r="B633" s="11" t="n">
        <f aca="false">MATCH(A633,월별!$C$6:$C$41,1)</f>
        <v>21</v>
      </c>
      <c r="C633" s="11" t="n">
        <f aca="false">L632</f>
        <v>100</v>
      </c>
      <c r="D633" s="24" t="n">
        <f aca="false">C633*가정!$B$8</f>
        <v>500</v>
      </c>
      <c r="E633" s="24" t="n">
        <f aca="false">H632+D632</f>
        <v>172553.668341709</v>
      </c>
      <c r="F633" s="11" t="n">
        <f aca="false">IF(가정!$B$11=1,MAX(0,MIN(가정!$B$16-C633,INT(E633/가정!$B$17))),0)</f>
        <v>0</v>
      </c>
      <c r="G633" s="24" t="n">
        <f aca="false">F633*가정!$B$17</f>
        <v>0</v>
      </c>
      <c r="H633" s="24" t="n">
        <f aca="false">E633-G633</f>
        <v>172553.668341709</v>
      </c>
      <c r="I633" s="24" t="n">
        <f aca="false">I632+D633</f>
        <v>199520</v>
      </c>
      <c r="J633" s="16" t="n">
        <f aca="false">(H633+D633)*가정!$B$10</f>
        <v>173053.668341709</v>
      </c>
      <c r="K633" s="24" t="n">
        <f aca="false">A633*가정!$B$8*가정!$B$7</f>
        <v>3145</v>
      </c>
      <c r="L633" s="11" t="n">
        <f aca="false">C633+F633</f>
        <v>100</v>
      </c>
    </row>
    <row r="634" customFormat="false" ht="15" hidden="false" customHeight="false" outlineLevel="0" collapsed="false">
      <c r="A634" s="11" t="n">
        <v>630</v>
      </c>
      <c r="B634" s="11" t="n">
        <f aca="false">MATCH(A634,월별!$C$6:$C$41,1)</f>
        <v>21</v>
      </c>
      <c r="C634" s="11" t="n">
        <f aca="false">L633</f>
        <v>100</v>
      </c>
      <c r="D634" s="24" t="n">
        <f aca="false">C634*가정!$B$8</f>
        <v>500</v>
      </c>
      <c r="E634" s="24" t="n">
        <f aca="false">H633+D633</f>
        <v>173053.668341709</v>
      </c>
      <c r="F634" s="11" t="n">
        <f aca="false">IF(가정!$B$11=1,MAX(0,MIN(가정!$B$16-C634,INT(E634/가정!$B$17))),0)</f>
        <v>0</v>
      </c>
      <c r="G634" s="24" t="n">
        <f aca="false">F634*가정!$B$17</f>
        <v>0</v>
      </c>
      <c r="H634" s="24" t="n">
        <f aca="false">E634-G634</f>
        <v>173053.668341709</v>
      </c>
      <c r="I634" s="24" t="n">
        <f aca="false">I633+D634</f>
        <v>200020</v>
      </c>
      <c r="J634" s="16" t="n">
        <f aca="false">(H634+D634)*가정!$B$10</f>
        <v>173553.668341709</v>
      </c>
      <c r="K634" s="24" t="n">
        <f aca="false">A634*가정!$B$8*가정!$B$7</f>
        <v>3150</v>
      </c>
      <c r="L634" s="11" t="n">
        <f aca="false">C634+F634</f>
        <v>100</v>
      </c>
    </row>
    <row r="635" customFormat="false" ht="15" hidden="false" customHeight="false" outlineLevel="0" collapsed="false">
      <c r="A635" s="11" t="n">
        <v>631</v>
      </c>
      <c r="B635" s="11" t="n">
        <f aca="false">MATCH(A635,월별!$C$6:$C$41,1)</f>
        <v>21</v>
      </c>
      <c r="C635" s="11" t="n">
        <f aca="false">L634</f>
        <v>100</v>
      </c>
      <c r="D635" s="24" t="n">
        <f aca="false">C635*가정!$B$8</f>
        <v>500</v>
      </c>
      <c r="E635" s="24" t="n">
        <f aca="false">H634+D634</f>
        <v>173553.668341709</v>
      </c>
      <c r="F635" s="11" t="n">
        <f aca="false">IF(가정!$B$11=1,MAX(0,MIN(가정!$B$16-C635,INT(E635/가정!$B$17))),0)</f>
        <v>0</v>
      </c>
      <c r="G635" s="24" t="n">
        <f aca="false">F635*가정!$B$17</f>
        <v>0</v>
      </c>
      <c r="H635" s="24" t="n">
        <f aca="false">E635-G635</f>
        <v>173553.668341709</v>
      </c>
      <c r="I635" s="24" t="n">
        <f aca="false">I634+D635</f>
        <v>200520</v>
      </c>
      <c r="J635" s="16" t="n">
        <f aca="false">(H635+D635)*가정!$B$10</f>
        <v>174053.668341709</v>
      </c>
      <c r="K635" s="24" t="n">
        <f aca="false">A635*가정!$B$8*가정!$B$7</f>
        <v>3155</v>
      </c>
      <c r="L635" s="11" t="n">
        <f aca="false">C635+F635</f>
        <v>100</v>
      </c>
    </row>
    <row r="636" customFormat="false" ht="15" hidden="false" customHeight="false" outlineLevel="0" collapsed="false">
      <c r="A636" s="11" t="n">
        <v>632</v>
      </c>
      <c r="B636" s="11" t="n">
        <f aca="false">MATCH(A636,월별!$C$6:$C$41,1)</f>
        <v>21</v>
      </c>
      <c r="C636" s="11" t="n">
        <f aca="false">L635</f>
        <v>100</v>
      </c>
      <c r="D636" s="24" t="n">
        <f aca="false">C636*가정!$B$8</f>
        <v>500</v>
      </c>
      <c r="E636" s="24" t="n">
        <f aca="false">H635+D635</f>
        <v>174053.668341709</v>
      </c>
      <c r="F636" s="11" t="n">
        <f aca="false">IF(가정!$B$11=1,MAX(0,MIN(가정!$B$16-C636,INT(E636/가정!$B$17))),0)</f>
        <v>0</v>
      </c>
      <c r="G636" s="24" t="n">
        <f aca="false">F636*가정!$B$17</f>
        <v>0</v>
      </c>
      <c r="H636" s="24" t="n">
        <f aca="false">E636-G636</f>
        <v>174053.668341709</v>
      </c>
      <c r="I636" s="24" t="n">
        <f aca="false">I635+D636</f>
        <v>201020</v>
      </c>
      <c r="J636" s="16" t="n">
        <f aca="false">(H636+D636)*가정!$B$10</f>
        <v>174553.668341709</v>
      </c>
      <c r="K636" s="24" t="n">
        <f aca="false">A636*가정!$B$8*가정!$B$7</f>
        <v>3160</v>
      </c>
      <c r="L636" s="11" t="n">
        <f aca="false">C636+F636</f>
        <v>100</v>
      </c>
    </row>
    <row r="637" customFormat="false" ht="15" hidden="false" customHeight="false" outlineLevel="0" collapsed="false">
      <c r="A637" s="11" t="n">
        <v>633</v>
      </c>
      <c r="B637" s="11" t="n">
        <f aca="false">MATCH(A637,월별!$C$6:$C$41,1)</f>
        <v>21</v>
      </c>
      <c r="C637" s="11" t="n">
        <f aca="false">L636</f>
        <v>100</v>
      </c>
      <c r="D637" s="24" t="n">
        <f aca="false">C637*가정!$B$8</f>
        <v>500</v>
      </c>
      <c r="E637" s="24" t="n">
        <f aca="false">H636+D636</f>
        <v>174553.668341709</v>
      </c>
      <c r="F637" s="11" t="n">
        <f aca="false">IF(가정!$B$11=1,MAX(0,MIN(가정!$B$16-C637,INT(E637/가정!$B$17))),0)</f>
        <v>0</v>
      </c>
      <c r="G637" s="24" t="n">
        <f aca="false">F637*가정!$B$17</f>
        <v>0</v>
      </c>
      <c r="H637" s="24" t="n">
        <f aca="false">E637-G637</f>
        <v>174553.668341709</v>
      </c>
      <c r="I637" s="24" t="n">
        <f aca="false">I636+D637</f>
        <v>201520</v>
      </c>
      <c r="J637" s="16" t="n">
        <f aca="false">(H637+D637)*가정!$B$10</f>
        <v>175053.668341709</v>
      </c>
      <c r="K637" s="24" t="n">
        <f aca="false">A637*가정!$B$8*가정!$B$7</f>
        <v>3165</v>
      </c>
      <c r="L637" s="11" t="n">
        <f aca="false">C637+F637</f>
        <v>100</v>
      </c>
    </row>
    <row r="638" customFormat="false" ht="15" hidden="false" customHeight="false" outlineLevel="0" collapsed="false">
      <c r="A638" s="11" t="n">
        <v>634</v>
      </c>
      <c r="B638" s="11" t="n">
        <f aca="false">MATCH(A638,월별!$C$6:$C$41,1)</f>
        <v>21</v>
      </c>
      <c r="C638" s="11" t="n">
        <f aca="false">L637</f>
        <v>100</v>
      </c>
      <c r="D638" s="24" t="n">
        <f aca="false">C638*가정!$B$8</f>
        <v>500</v>
      </c>
      <c r="E638" s="24" t="n">
        <f aca="false">H637+D637</f>
        <v>175053.668341709</v>
      </c>
      <c r="F638" s="11" t="n">
        <f aca="false">IF(가정!$B$11=1,MAX(0,MIN(가정!$B$16-C638,INT(E638/가정!$B$17))),0)</f>
        <v>0</v>
      </c>
      <c r="G638" s="24" t="n">
        <f aca="false">F638*가정!$B$17</f>
        <v>0</v>
      </c>
      <c r="H638" s="24" t="n">
        <f aca="false">E638-G638</f>
        <v>175053.668341709</v>
      </c>
      <c r="I638" s="24" t="n">
        <f aca="false">I637+D638</f>
        <v>202020</v>
      </c>
      <c r="J638" s="16" t="n">
        <f aca="false">(H638+D638)*가정!$B$10</f>
        <v>175553.668341709</v>
      </c>
      <c r="K638" s="24" t="n">
        <f aca="false">A638*가정!$B$8*가정!$B$7</f>
        <v>3170</v>
      </c>
      <c r="L638" s="11" t="n">
        <f aca="false">C638+F638</f>
        <v>100</v>
      </c>
    </row>
    <row r="639" customFormat="false" ht="15" hidden="false" customHeight="false" outlineLevel="0" collapsed="false">
      <c r="A639" s="11" t="n">
        <v>635</v>
      </c>
      <c r="B639" s="11" t="n">
        <f aca="false">MATCH(A639,월별!$C$6:$C$41,1)</f>
        <v>21</v>
      </c>
      <c r="C639" s="11" t="n">
        <f aca="false">L638</f>
        <v>100</v>
      </c>
      <c r="D639" s="24" t="n">
        <f aca="false">C639*가정!$B$8</f>
        <v>500</v>
      </c>
      <c r="E639" s="24" t="n">
        <f aca="false">H638+D638</f>
        <v>175553.668341709</v>
      </c>
      <c r="F639" s="11" t="n">
        <f aca="false">IF(가정!$B$11=1,MAX(0,MIN(가정!$B$16-C639,INT(E639/가정!$B$17))),0)</f>
        <v>0</v>
      </c>
      <c r="G639" s="24" t="n">
        <f aca="false">F639*가정!$B$17</f>
        <v>0</v>
      </c>
      <c r="H639" s="24" t="n">
        <f aca="false">E639-G639</f>
        <v>175553.668341709</v>
      </c>
      <c r="I639" s="24" t="n">
        <f aca="false">I638+D639</f>
        <v>202520</v>
      </c>
      <c r="J639" s="16" t="n">
        <f aca="false">(H639+D639)*가정!$B$10</f>
        <v>176053.668341709</v>
      </c>
      <c r="K639" s="24" t="n">
        <f aca="false">A639*가정!$B$8*가정!$B$7</f>
        <v>3175</v>
      </c>
      <c r="L639" s="11" t="n">
        <f aca="false">C639+F639</f>
        <v>100</v>
      </c>
    </row>
    <row r="640" customFormat="false" ht="15" hidden="false" customHeight="false" outlineLevel="0" collapsed="false">
      <c r="A640" s="11" t="n">
        <v>636</v>
      </c>
      <c r="B640" s="11" t="n">
        <f aca="false">MATCH(A640,월별!$C$6:$C$41,1)</f>
        <v>21</v>
      </c>
      <c r="C640" s="11" t="n">
        <f aca="false">L639</f>
        <v>100</v>
      </c>
      <c r="D640" s="24" t="n">
        <f aca="false">C640*가정!$B$8</f>
        <v>500</v>
      </c>
      <c r="E640" s="24" t="n">
        <f aca="false">H639+D639</f>
        <v>176053.668341709</v>
      </c>
      <c r="F640" s="11" t="n">
        <f aca="false">IF(가정!$B$11=1,MAX(0,MIN(가정!$B$16-C640,INT(E640/가정!$B$17))),0)</f>
        <v>0</v>
      </c>
      <c r="G640" s="24" t="n">
        <f aca="false">F640*가정!$B$17</f>
        <v>0</v>
      </c>
      <c r="H640" s="24" t="n">
        <f aca="false">E640-G640</f>
        <v>176053.668341709</v>
      </c>
      <c r="I640" s="24" t="n">
        <f aca="false">I639+D640</f>
        <v>203020</v>
      </c>
      <c r="J640" s="16" t="n">
        <f aca="false">(H640+D640)*가정!$B$10</f>
        <v>176553.668341709</v>
      </c>
      <c r="K640" s="24" t="n">
        <f aca="false">A640*가정!$B$8*가정!$B$7</f>
        <v>3180</v>
      </c>
      <c r="L640" s="11" t="n">
        <f aca="false">C640+F640</f>
        <v>100</v>
      </c>
    </row>
    <row r="641" customFormat="false" ht="15" hidden="false" customHeight="false" outlineLevel="0" collapsed="false">
      <c r="A641" s="11" t="n">
        <v>637</v>
      </c>
      <c r="B641" s="11" t="n">
        <f aca="false">MATCH(A641,월별!$C$6:$C$41,1)</f>
        <v>21</v>
      </c>
      <c r="C641" s="11" t="n">
        <f aca="false">L640</f>
        <v>100</v>
      </c>
      <c r="D641" s="24" t="n">
        <f aca="false">C641*가정!$B$8</f>
        <v>500</v>
      </c>
      <c r="E641" s="24" t="n">
        <f aca="false">H640+D640</f>
        <v>176553.668341709</v>
      </c>
      <c r="F641" s="11" t="n">
        <f aca="false">IF(가정!$B$11=1,MAX(0,MIN(가정!$B$16-C641,INT(E641/가정!$B$17))),0)</f>
        <v>0</v>
      </c>
      <c r="G641" s="24" t="n">
        <f aca="false">F641*가정!$B$17</f>
        <v>0</v>
      </c>
      <c r="H641" s="24" t="n">
        <f aca="false">E641-G641</f>
        <v>176553.668341709</v>
      </c>
      <c r="I641" s="24" t="n">
        <f aca="false">I640+D641</f>
        <v>203520</v>
      </c>
      <c r="J641" s="16" t="n">
        <f aca="false">(H641+D641)*가정!$B$10</f>
        <v>177053.668341709</v>
      </c>
      <c r="K641" s="24" t="n">
        <f aca="false">A641*가정!$B$8*가정!$B$7</f>
        <v>3185</v>
      </c>
      <c r="L641" s="11" t="n">
        <f aca="false">C641+F641</f>
        <v>100</v>
      </c>
    </row>
    <row r="642" customFormat="false" ht="15" hidden="false" customHeight="false" outlineLevel="0" collapsed="false">
      <c r="A642" s="11" t="n">
        <v>638</v>
      </c>
      <c r="B642" s="11" t="n">
        <f aca="false">MATCH(A642,월별!$C$6:$C$41,1)</f>
        <v>21</v>
      </c>
      <c r="C642" s="11" t="n">
        <f aca="false">L641</f>
        <v>100</v>
      </c>
      <c r="D642" s="24" t="n">
        <f aca="false">C642*가정!$B$8</f>
        <v>500</v>
      </c>
      <c r="E642" s="24" t="n">
        <f aca="false">H641+D641</f>
        <v>177053.668341709</v>
      </c>
      <c r="F642" s="11" t="n">
        <f aca="false">IF(가정!$B$11=1,MAX(0,MIN(가정!$B$16-C642,INT(E642/가정!$B$17))),0)</f>
        <v>0</v>
      </c>
      <c r="G642" s="24" t="n">
        <f aca="false">F642*가정!$B$17</f>
        <v>0</v>
      </c>
      <c r="H642" s="24" t="n">
        <f aca="false">E642-G642</f>
        <v>177053.668341709</v>
      </c>
      <c r="I642" s="24" t="n">
        <f aca="false">I641+D642</f>
        <v>204020</v>
      </c>
      <c r="J642" s="16" t="n">
        <f aca="false">(H642+D642)*가정!$B$10</f>
        <v>177553.668341709</v>
      </c>
      <c r="K642" s="24" t="n">
        <f aca="false">A642*가정!$B$8*가정!$B$7</f>
        <v>3190</v>
      </c>
      <c r="L642" s="11" t="n">
        <f aca="false">C642+F642</f>
        <v>100</v>
      </c>
    </row>
    <row r="643" customFormat="false" ht="15" hidden="false" customHeight="false" outlineLevel="0" collapsed="false">
      <c r="A643" s="11" t="n">
        <v>639</v>
      </c>
      <c r="B643" s="11" t="n">
        <f aca="false">MATCH(A643,월별!$C$6:$C$41,1)</f>
        <v>21</v>
      </c>
      <c r="C643" s="11" t="n">
        <f aca="false">L642</f>
        <v>100</v>
      </c>
      <c r="D643" s="24" t="n">
        <f aca="false">C643*가정!$B$8</f>
        <v>500</v>
      </c>
      <c r="E643" s="24" t="n">
        <f aca="false">H642+D642</f>
        <v>177553.668341709</v>
      </c>
      <c r="F643" s="11" t="n">
        <f aca="false">IF(가정!$B$11=1,MAX(0,MIN(가정!$B$16-C643,INT(E643/가정!$B$17))),0)</f>
        <v>0</v>
      </c>
      <c r="G643" s="24" t="n">
        <f aca="false">F643*가정!$B$17</f>
        <v>0</v>
      </c>
      <c r="H643" s="24" t="n">
        <f aca="false">E643-G643</f>
        <v>177553.668341709</v>
      </c>
      <c r="I643" s="24" t="n">
        <f aca="false">I642+D643</f>
        <v>204520</v>
      </c>
      <c r="J643" s="16" t="n">
        <f aca="false">(H643+D643)*가정!$B$10</f>
        <v>178053.668341709</v>
      </c>
      <c r="K643" s="24" t="n">
        <f aca="false">A643*가정!$B$8*가정!$B$7</f>
        <v>3195</v>
      </c>
      <c r="L643" s="11" t="n">
        <f aca="false">C643+F643</f>
        <v>100</v>
      </c>
    </row>
    <row r="644" customFormat="false" ht="15" hidden="false" customHeight="false" outlineLevel="0" collapsed="false">
      <c r="A644" s="11" t="n">
        <v>640</v>
      </c>
      <c r="B644" s="11" t="n">
        <f aca="false">MATCH(A644,월별!$C$6:$C$41,1)</f>
        <v>22</v>
      </c>
      <c r="C644" s="11" t="n">
        <f aca="false">L643</f>
        <v>100</v>
      </c>
      <c r="D644" s="24" t="n">
        <f aca="false">C644*가정!$B$8</f>
        <v>500</v>
      </c>
      <c r="E644" s="24" t="n">
        <f aca="false">H643+D643</f>
        <v>178053.668341709</v>
      </c>
      <c r="F644" s="11" t="n">
        <f aca="false">IF(가정!$B$11=1,MAX(0,MIN(가정!$B$16-C644,INT(E644/가정!$B$17))),0)</f>
        <v>0</v>
      </c>
      <c r="G644" s="24" t="n">
        <f aca="false">F644*가정!$B$17</f>
        <v>0</v>
      </c>
      <c r="H644" s="24" t="n">
        <f aca="false">E644-G644</f>
        <v>178053.668341709</v>
      </c>
      <c r="I644" s="24" t="n">
        <f aca="false">I643+D644</f>
        <v>205020</v>
      </c>
      <c r="J644" s="16" t="n">
        <f aca="false">(H644+D644)*가정!$B$10</f>
        <v>178553.668341709</v>
      </c>
      <c r="K644" s="24" t="n">
        <f aca="false">A644*가정!$B$8*가정!$B$7</f>
        <v>3200</v>
      </c>
      <c r="L644" s="11" t="n">
        <f aca="false">C644+F644</f>
        <v>100</v>
      </c>
    </row>
    <row r="645" customFormat="false" ht="15" hidden="false" customHeight="false" outlineLevel="0" collapsed="false">
      <c r="A645" s="11" t="n">
        <v>641</v>
      </c>
      <c r="B645" s="11" t="n">
        <f aca="false">MATCH(A645,월별!$C$6:$C$41,1)</f>
        <v>22</v>
      </c>
      <c r="C645" s="11" t="n">
        <f aca="false">L644</f>
        <v>100</v>
      </c>
      <c r="D645" s="24" t="n">
        <f aca="false">C645*가정!$B$8</f>
        <v>500</v>
      </c>
      <c r="E645" s="24" t="n">
        <f aca="false">H644+D644</f>
        <v>178553.668341709</v>
      </c>
      <c r="F645" s="11" t="n">
        <f aca="false">IF(가정!$B$11=1,MAX(0,MIN(가정!$B$16-C645,INT(E645/가정!$B$17))),0)</f>
        <v>0</v>
      </c>
      <c r="G645" s="24" t="n">
        <f aca="false">F645*가정!$B$17</f>
        <v>0</v>
      </c>
      <c r="H645" s="24" t="n">
        <f aca="false">E645-G645</f>
        <v>178553.668341709</v>
      </c>
      <c r="I645" s="24" t="n">
        <f aca="false">I644+D645</f>
        <v>205520</v>
      </c>
      <c r="J645" s="16" t="n">
        <f aca="false">(H645+D645)*가정!$B$10</f>
        <v>179053.668341709</v>
      </c>
      <c r="K645" s="24" t="n">
        <f aca="false">A645*가정!$B$8*가정!$B$7</f>
        <v>3205</v>
      </c>
      <c r="L645" s="11" t="n">
        <f aca="false">C645+F645</f>
        <v>100</v>
      </c>
    </row>
    <row r="646" customFormat="false" ht="15" hidden="false" customHeight="false" outlineLevel="0" collapsed="false">
      <c r="A646" s="11" t="n">
        <v>642</v>
      </c>
      <c r="B646" s="11" t="n">
        <f aca="false">MATCH(A646,월별!$C$6:$C$41,1)</f>
        <v>22</v>
      </c>
      <c r="C646" s="11" t="n">
        <f aca="false">L645</f>
        <v>100</v>
      </c>
      <c r="D646" s="24" t="n">
        <f aca="false">C646*가정!$B$8</f>
        <v>500</v>
      </c>
      <c r="E646" s="24" t="n">
        <f aca="false">H645+D645</f>
        <v>179053.668341709</v>
      </c>
      <c r="F646" s="11" t="n">
        <f aca="false">IF(가정!$B$11=1,MAX(0,MIN(가정!$B$16-C646,INT(E646/가정!$B$17))),0)</f>
        <v>0</v>
      </c>
      <c r="G646" s="24" t="n">
        <f aca="false">F646*가정!$B$17</f>
        <v>0</v>
      </c>
      <c r="H646" s="24" t="n">
        <f aca="false">E646-G646</f>
        <v>179053.668341709</v>
      </c>
      <c r="I646" s="24" t="n">
        <f aca="false">I645+D646</f>
        <v>206020</v>
      </c>
      <c r="J646" s="16" t="n">
        <f aca="false">(H646+D646)*가정!$B$10</f>
        <v>179553.668341709</v>
      </c>
      <c r="K646" s="24" t="n">
        <f aca="false">A646*가정!$B$8*가정!$B$7</f>
        <v>3210</v>
      </c>
      <c r="L646" s="11" t="n">
        <f aca="false">C646+F646</f>
        <v>100</v>
      </c>
    </row>
    <row r="647" customFormat="false" ht="15" hidden="false" customHeight="false" outlineLevel="0" collapsed="false">
      <c r="A647" s="11" t="n">
        <v>643</v>
      </c>
      <c r="B647" s="11" t="n">
        <f aca="false">MATCH(A647,월별!$C$6:$C$41,1)</f>
        <v>22</v>
      </c>
      <c r="C647" s="11" t="n">
        <f aca="false">L646</f>
        <v>100</v>
      </c>
      <c r="D647" s="24" t="n">
        <f aca="false">C647*가정!$B$8</f>
        <v>500</v>
      </c>
      <c r="E647" s="24" t="n">
        <f aca="false">H646+D646</f>
        <v>179553.668341709</v>
      </c>
      <c r="F647" s="11" t="n">
        <f aca="false">IF(가정!$B$11=1,MAX(0,MIN(가정!$B$16-C647,INT(E647/가정!$B$17))),0)</f>
        <v>0</v>
      </c>
      <c r="G647" s="24" t="n">
        <f aca="false">F647*가정!$B$17</f>
        <v>0</v>
      </c>
      <c r="H647" s="24" t="n">
        <f aca="false">E647-G647</f>
        <v>179553.668341709</v>
      </c>
      <c r="I647" s="24" t="n">
        <f aca="false">I646+D647</f>
        <v>206520</v>
      </c>
      <c r="J647" s="16" t="n">
        <f aca="false">(H647+D647)*가정!$B$10</f>
        <v>180053.668341709</v>
      </c>
      <c r="K647" s="24" t="n">
        <f aca="false">A647*가정!$B$8*가정!$B$7</f>
        <v>3215</v>
      </c>
      <c r="L647" s="11" t="n">
        <f aca="false">C647+F647</f>
        <v>100</v>
      </c>
    </row>
    <row r="648" customFormat="false" ht="15" hidden="false" customHeight="false" outlineLevel="0" collapsed="false">
      <c r="A648" s="11" t="n">
        <v>644</v>
      </c>
      <c r="B648" s="11" t="n">
        <f aca="false">MATCH(A648,월별!$C$6:$C$41,1)</f>
        <v>22</v>
      </c>
      <c r="C648" s="11" t="n">
        <f aca="false">L647</f>
        <v>100</v>
      </c>
      <c r="D648" s="24" t="n">
        <f aca="false">C648*가정!$B$8</f>
        <v>500</v>
      </c>
      <c r="E648" s="24" t="n">
        <f aca="false">H647+D647</f>
        <v>180053.668341709</v>
      </c>
      <c r="F648" s="11" t="n">
        <f aca="false">IF(가정!$B$11=1,MAX(0,MIN(가정!$B$16-C648,INT(E648/가정!$B$17))),0)</f>
        <v>0</v>
      </c>
      <c r="G648" s="24" t="n">
        <f aca="false">F648*가정!$B$17</f>
        <v>0</v>
      </c>
      <c r="H648" s="24" t="n">
        <f aca="false">E648-G648</f>
        <v>180053.668341709</v>
      </c>
      <c r="I648" s="24" t="n">
        <f aca="false">I647+D648</f>
        <v>207020</v>
      </c>
      <c r="J648" s="16" t="n">
        <f aca="false">(H648+D648)*가정!$B$10</f>
        <v>180553.668341709</v>
      </c>
      <c r="K648" s="24" t="n">
        <f aca="false">A648*가정!$B$8*가정!$B$7</f>
        <v>3220</v>
      </c>
      <c r="L648" s="11" t="n">
        <f aca="false">C648+F648</f>
        <v>100</v>
      </c>
    </row>
    <row r="649" customFormat="false" ht="15" hidden="false" customHeight="false" outlineLevel="0" collapsed="false">
      <c r="A649" s="11" t="n">
        <v>645</v>
      </c>
      <c r="B649" s="11" t="n">
        <f aca="false">MATCH(A649,월별!$C$6:$C$41,1)</f>
        <v>22</v>
      </c>
      <c r="C649" s="11" t="n">
        <f aca="false">L648</f>
        <v>100</v>
      </c>
      <c r="D649" s="24" t="n">
        <f aca="false">C649*가정!$B$8</f>
        <v>500</v>
      </c>
      <c r="E649" s="24" t="n">
        <f aca="false">H648+D648</f>
        <v>180553.668341709</v>
      </c>
      <c r="F649" s="11" t="n">
        <f aca="false">IF(가정!$B$11=1,MAX(0,MIN(가정!$B$16-C649,INT(E649/가정!$B$17))),0)</f>
        <v>0</v>
      </c>
      <c r="G649" s="24" t="n">
        <f aca="false">F649*가정!$B$17</f>
        <v>0</v>
      </c>
      <c r="H649" s="24" t="n">
        <f aca="false">E649-G649</f>
        <v>180553.668341709</v>
      </c>
      <c r="I649" s="24" t="n">
        <f aca="false">I648+D649</f>
        <v>207520</v>
      </c>
      <c r="J649" s="16" t="n">
        <f aca="false">(H649+D649)*가정!$B$10</f>
        <v>181053.668341709</v>
      </c>
      <c r="K649" s="24" t="n">
        <f aca="false">A649*가정!$B$8*가정!$B$7</f>
        <v>3225</v>
      </c>
      <c r="L649" s="11" t="n">
        <f aca="false">C649+F649</f>
        <v>100</v>
      </c>
    </row>
    <row r="650" customFormat="false" ht="15" hidden="false" customHeight="false" outlineLevel="0" collapsed="false">
      <c r="A650" s="11" t="n">
        <v>646</v>
      </c>
      <c r="B650" s="11" t="n">
        <f aca="false">MATCH(A650,월별!$C$6:$C$41,1)</f>
        <v>22</v>
      </c>
      <c r="C650" s="11" t="n">
        <f aca="false">L649</f>
        <v>100</v>
      </c>
      <c r="D650" s="24" t="n">
        <f aca="false">C650*가정!$B$8</f>
        <v>500</v>
      </c>
      <c r="E650" s="24" t="n">
        <f aca="false">H649+D649</f>
        <v>181053.668341709</v>
      </c>
      <c r="F650" s="11" t="n">
        <f aca="false">IF(가정!$B$11=1,MAX(0,MIN(가정!$B$16-C650,INT(E650/가정!$B$17))),0)</f>
        <v>0</v>
      </c>
      <c r="G650" s="24" t="n">
        <f aca="false">F650*가정!$B$17</f>
        <v>0</v>
      </c>
      <c r="H650" s="24" t="n">
        <f aca="false">E650-G650</f>
        <v>181053.668341709</v>
      </c>
      <c r="I650" s="24" t="n">
        <f aca="false">I649+D650</f>
        <v>208020</v>
      </c>
      <c r="J650" s="16" t="n">
        <f aca="false">(H650+D650)*가정!$B$10</f>
        <v>181553.668341709</v>
      </c>
      <c r="K650" s="24" t="n">
        <f aca="false">A650*가정!$B$8*가정!$B$7</f>
        <v>3230</v>
      </c>
      <c r="L650" s="11" t="n">
        <f aca="false">C650+F650</f>
        <v>100</v>
      </c>
    </row>
    <row r="651" customFormat="false" ht="15" hidden="false" customHeight="false" outlineLevel="0" collapsed="false">
      <c r="A651" s="11" t="n">
        <v>647</v>
      </c>
      <c r="B651" s="11" t="n">
        <f aca="false">MATCH(A651,월별!$C$6:$C$41,1)</f>
        <v>22</v>
      </c>
      <c r="C651" s="11" t="n">
        <f aca="false">L650</f>
        <v>100</v>
      </c>
      <c r="D651" s="24" t="n">
        <f aca="false">C651*가정!$B$8</f>
        <v>500</v>
      </c>
      <c r="E651" s="24" t="n">
        <f aca="false">H650+D650</f>
        <v>181553.668341709</v>
      </c>
      <c r="F651" s="11" t="n">
        <f aca="false">IF(가정!$B$11=1,MAX(0,MIN(가정!$B$16-C651,INT(E651/가정!$B$17))),0)</f>
        <v>0</v>
      </c>
      <c r="G651" s="24" t="n">
        <f aca="false">F651*가정!$B$17</f>
        <v>0</v>
      </c>
      <c r="H651" s="24" t="n">
        <f aca="false">E651-G651</f>
        <v>181553.668341709</v>
      </c>
      <c r="I651" s="24" t="n">
        <f aca="false">I650+D651</f>
        <v>208520</v>
      </c>
      <c r="J651" s="16" t="n">
        <f aca="false">(H651+D651)*가정!$B$10</f>
        <v>182053.668341709</v>
      </c>
      <c r="K651" s="24" t="n">
        <f aca="false">A651*가정!$B$8*가정!$B$7</f>
        <v>3235</v>
      </c>
      <c r="L651" s="11" t="n">
        <f aca="false">C651+F651</f>
        <v>100</v>
      </c>
    </row>
    <row r="652" customFormat="false" ht="15" hidden="false" customHeight="false" outlineLevel="0" collapsed="false">
      <c r="A652" s="11" t="n">
        <v>648</v>
      </c>
      <c r="B652" s="11" t="n">
        <f aca="false">MATCH(A652,월별!$C$6:$C$41,1)</f>
        <v>22</v>
      </c>
      <c r="C652" s="11" t="n">
        <f aca="false">L651</f>
        <v>100</v>
      </c>
      <c r="D652" s="24" t="n">
        <f aca="false">C652*가정!$B$8</f>
        <v>500</v>
      </c>
      <c r="E652" s="24" t="n">
        <f aca="false">H651+D651</f>
        <v>182053.668341709</v>
      </c>
      <c r="F652" s="11" t="n">
        <f aca="false">IF(가정!$B$11=1,MAX(0,MIN(가정!$B$16-C652,INT(E652/가정!$B$17))),0)</f>
        <v>0</v>
      </c>
      <c r="G652" s="24" t="n">
        <f aca="false">F652*가정!$B$17</f>
        <v>0</v>
      </c>
      <c r="H652" s="24" t="n">
        <f aca="false">E652-G652</f>
        <v>182053.668341709</v>
      </c>
      <c r="I652" s="24" t="n">
        <f aca="false">I651+D652</f>
        <v>209020</v>
      </c>
      <c r="J652" s="16" t="n">
        <f aca="false">(H652+D652)*가정!$B$10</f>
        <v>182553.668341709</v>
      </c>
      <c r="K652" s="24" t="n">
        <f aca="false">A652*가정!$B$8*가정!$B$7</f>
        <v>3240</v>
      </c>
      <c r="L652" s="11" t="n">
        <f aca="false">C652+F652</f>
        <v>100</v>
      </c>
    </row>
    <row r="653" customFormat="false" ht="15" hidden="false" customHeight="false" outlineLevel="0" collapsed="false">
      <c r="A653" s="11" t="n">
        <v>649</v>
      </c>
      <c r="B653" s="11" t="n">
        <f aca="false">MATCH(A653,월별!$C$6:$C$41,1)</f>
        <v>22</v>
      </c>
      <c r="C653" s="11" t="n">
        <f aca="false">L652</f>
        <v>100</v>
      </c>
      <c r="D653" s="24" t="n">
        <f aca="false">C653*가정!$B$8</f>
        <v>500</v>
      </c>
      <c r="E653" s="24" t="n">
        <f aca="false">H652+D652</f>
        <v>182553.668341709</v>
      </c>
      <c r="F653" s="11" t="n">
        <f aca="false">IF(가정!$B$11=1,MAX(0,MIN(가정!$B$16-C653,INT(E653/가정!$B$17))),0)</f>
        <v>0</v>
      </c>
      <c r="G653" s="24" t="n">
        <f aca="false">F653*가정!$B$17</f>
        <v>0</v>
      </c>
      <c r="H653" s="24" t="n">
        <f aca="false">E653-G653</f>
        <v>182553.668341709</v>
      </c>
      <c r="I653" s="24" t="n">
        <f aca="false">I652+D653</f>
        <v>209520</v>
      </c>
      <c r="J653" s="16" t="n">
        <f aca="false">(H653+D653)*가정!$B$10</f>
        <v>183053.668341709</v>
      </c>
      <c r="K653" s="24" t="n">
        <f aca="false">A653*가정!$B$8*가정!$B$7</f>
        <v>3245</v>
      </c>
      <c r="L653" s="11" t="n">
        <f aca="false">C653+F653</f>
        <v>100</v>
      </c>
    </row>
    <row r="654" customFormat="false" ht="15" hidden="false" customHeight="false" outlineLevel="0" collapsed="false">
      <c r="A654" s="11" t="n">
        <v>650</v>
      </c>
      <c r="B654" s="11" t="n">
        <f aca="false">MATCH(A654,월별!$C$6:$C$41,1)</f>
        <v>22</v>
      </c>
      <c r="C654" s="11" t="n">
        <f aca="false">L653</f>
        <v>100</v>
      </c>
      <c r="D654" s="24" t="n">
        <f aca="false">C654*가정!$B$8</f>
        <v>500</v>
      </c>
      <c r="E654" s="24" t="n">
        <f aca="false">H653+D653</f>
        <v>183053.668341709</v>
      </c>
      <c r="F654" s="11" t="n">
        <f aca="false">IF(가정!$B$11=1,MAX(0,MIN(가정!$B$16-C654,INT(E654/가정!$B$17))),0)</f>
        <v>0</v>
      </c>
      <c r="G654" s="24" t="n">
        <f aca="false">F654*가정!$B$17</f>
        <v>0</v>
      </c>
      <c r="H654" s="24" t="n">
        <f aca="false">E654-G654</f>
        <v>183053.668341709</v>
      </c>
      <c r="I654" s="24" t="n">
        <f aca="false">I653+D654</f>
        <v>210020</v>
      </c>
      <c r="J654" s="16" t="n">
        <f aca="false">(H654+D654)*가정!$B$10</f>
        <v>183553.668341709</v>
      </c>
      <c r="K654" s="24" t="n">
        <f aca="false">A654*가정!$B$8*가정!$B$7</f>
        <v>3250</v>
      </c>
      <c r="L654" s="11" t="n">
        <f aca="false">C654+F654</f>
        <v>100</v>
      </c>
    </row>
    <row r="655" customFormat="false" ht="15" hidden="false" customHeight="false" outlineLevel="0" collapsed="false">
      <c r="A655" s="11" t="n">
        <v>651</v>
      </c>
      <c r="B655" s="11" t="n">
        <f aca="false">MATCH(A655,월별!$C$6:$C$41,1)</f>
        <v>22</v>
      </c>
      <c r="C655" s="11" t="n">
        <f aca="false">L654</f>
        <v>100</v>
      </c>
      <c r="D655" s="24" t="n">
        <f aca="false">C655*가정!$B$8</f>
        <v>500</v>
      </c>
      <c r="E655" s="24" t="n">
        <f aca="false">H654+D654</f>
        <v>183553.668341709</v>
      </c>
      <c r="F655" s="11" t="n">
        <f aca="false">IF(가정!$B$11=1,MAX(0,MIN(가정!$B$16-C655,INT(E655/가정!$B$17))),0)</f>
        <v>0</v>
      </c>
      <c r="G655" s="24" t="n">
        <f aca="false">F655*가정!$B$17</f>
        <v>0</v>
      </c>
      <c r="H655" s="24" t="n">
        <f aca="false">E655-G655</f>
        <v>183553.668341709</v>
      </c>
      <c r="I655" s="24" t="n">
        <f aca="false">I654+D655</f>
        <v>210520</v>
      </c>
      <c r="J655" s="16" t="n">
        <f aca="false">(H655+D655)*가정!$B$10</f>
        <v>184053.668341709</v>
      </c>
      <c r="K655" s="24" t="n">
        <f aca="false">A655*가정!$B$8*가정!$B$7</f>
        <v>3255</v>
      </c>
      <c r="L655" s="11" t="n">
        <f aca="false">C655+F655</f>
        <v>100</v>
      </c>
    </row>
    <row r="656" customFormat="false" ht="15" hidden="false" customHeight="false" outlineLevel="0" collapsed="false">
      <c r="A656" s="11" t="n">
        <v>652</v>
      </c>
      <c r="B656" s="11" t="n">
        <f aca="false">MATCH(A656,월별!$C$6:$C$41,1)</f>
        <v>22</v>
      </c>
      <c r="C656" s="11" t="n">
        <f aca="false">L655</f>
        <v>100</v>
      </c>
      <c r="D656" s="24" t="n">
        <f aca="false">C656*가정!$B$8</f>
        <v>500</v>
      </c>
      <c r="E656" s="24" t="n">
        <f aca="false">H655+D655</f>
        <v>184053.668341709</v>
      </c>
      <c r="F656" s="11" t="n">
        <f aca="false">IF(가정!$B$11=1,MAX(0,MIN(가정!$B$16-C656,INT(E656/가정!$B$17))),0)</f>
        <v>0</v>
      </c>
      <c r="G656" s="24" t="n">
        <f aca="false">F656*가정!$B$17</f>
        <v>0</v>
      </c>
      <c r="H656" s="24" t="n">
        <f aca="false">E656-G656</f>
        <v>184053.668341709</v>
      </c>
      <c r="I656" s="24" t="n">
        <f aca="false">I655+D656</f>
        <v>211020</v>
      </c>
      <c r="J656" s="16" t="n">
        <f aca="false">(H656+D656)*가정!$B$10</f>
        <v>184553.668341709</v>
      </c>
      <c r="K656" s="24" t="n">
        <f aca="false">A656*가정!$B$8*가정!$B$7</f>
        <v>3260</v>
      </c>
      <c r="L656" s="11" t="n">
        <f aca="false">C656+F656</f>
        <v>100</v>
      </c>
    </row>
    <row r="657" customFormat="false" ht="15" hidden="false" customHeight="false" outlineLevel="0" collapsed="false">
      <c r="A657" s="11" t="n">
        <v>653</v>
      </c>
      <c r="B657" s="11" t="n">
        <f aca="false">MATCH(A657,월별!$C$6:$C$41,1)</f>
        <v>22</v>
      </c>
      <c r="C657" s="11" t="n">
        <f aca="false">L656</f>
        <v>100</v>
      </c>
      <c r="D657" s="24" t="n">
        <f aca="false">C657*가정!$B$8</f>
        <v>500</v>
      </c>
      <c r="E657" s="24" t="n">
        <f aca="false">H656+D656</f>
        <v>184553.668341709</v>
      </c>
      <c r="F657" s="11" t="n">
        <f aca="false">IF(가정!$B$11=1,MAX(0,MIN(가정!$B$16-C657,INT(E657/가정!$B$17))),0)</f>
        <v>0</v>
      </c>
      <c r="G657" s="24" t="n">
        <f aca="false">F657*가정!$B$17</f>
        <v>0</v>
      </c>
      <c r="H657" s="24" t="n">
        <f aca="false">E657-G657</f>
        <v>184553.668341709</v>
      </c>
      <c r="I657" s="24" t="n">
        <f aca="false">I656+D657</f>
        <v>211520</v>
      </c>
      <c r="J657" s="16" t="n">
        <f aca="false">(H657+D657)*가정!$B$10</f>
        <v>185053.668341709</v>
      </c>
      <c r="K657" s="24" t="n">
        <f aca="false">A657*가정!$B$8*가정!$B$7</f>
        <v>3265</v>
      </c>
      <c r="L657" s="11" t="n">
        <f aca="false">C657+F657</f>
        <v>100</v>
      </c>
    </row>
    <row r="658" customFormat="false" ht="15" hidden="false" customHeight="false" outlineLevel="0" collapsed="false">
      <c r="A658" s="11" t="n">
        <v>654</v>
      </c>
      <c r="B658" s="11" t="n">
        <f aca="false">MATCH(A658,월별!$C$6:$C$41,1)</f>
        <v>22</v>
      </c>
      <c r="C658" s="11" t="n">
        <f aca="false">L657</f>
        <v>100</v>
      </c>
      <c r="D658" s="24" t="n">
        <f aca="false">C658*가정!$B$8</f>
        <v>500</v>
      </c>
      <c r="E658" s="24" t="n">
        <f aca="false">H657+D657</f>
        <v>185053.668341709</v>
      </c>
      <c r="F658" s="11" t="n">
        <f aca="false">IF(가정!$B$11=1,MAX(0,MIN(가정!$B$16-C658,INT(E658/가정!$B$17))),0)</f>
        <v>0</v>
      </c>
      <c r="G658" s="24" t="n">
        <f aca="false">F658*가정!$B$17</f>
        <v>0</v>
      </c>
      <c r="H658" s="24" t="n">
        <f aca="false">E658-G658</f>
        <v>185053.668341709</v>
      </c>
      <c r="I658" s="24" t="n">
        <f aca="false">I657+D658</f>
        <v>212020</v>
      </c>
      <c r="J658" s="16" t="n">
        <f aca="false">(H658+D658)*가정!$B$10</f>
        <v>185553.668341709</v>
      </c>
      <c r="K658" s="24" t="n">
        <f aca="false">A658*가정!$B$8*가정!$B$7</f>
        <v>3270</v>
      </c>
      <c r="L658" s="11" t="n">
        <f aca="false">C658+F658</f>
        <v>100</v>
      </c>
    </row>
    <row r="659" customFormat="false" ht="15" hidden="false" customHeight="false" outlineLevel="0" collapsed="false">
      <c r="A659" s="11" t="n">
        <v>655</v>
      </c>
      <c r="B659" s="11" t="n">
        <f aca="false">MATCH(A659,월별!$C$6:$C$41,1)</f>
        <v>22</v>
      </c>
      <c r="C659" s="11" t="n">
        <f aca="false">L658</f>
        <v>100</v>
      </c>
      <c r="D659" s="24" t="n">
        <f aca="false">C659*가정!$B$8</f>
        <v>500</v>
      </c>
      <c r="E659" s="24" t="n">
        <f aca="false">H658+D658</f>
        <v>185553.668341709</v>
      </c>
      <c r="F659" s="11" t="n">
        <f aca="false">IF(가정!$B$11=1,MAX(0,MIN(가정!$B$16-C659,INT(E659/가정!$B$17))),0)</f>
        <v>0</v>
      </c>
      <c r="G659" s="24" t="n">
        <f aca="false">F659*가정!$B$17</f>
        <v>0</v>
      </c>
      <c r="H659" s="24" t="n">
        <f aca="false">E659-G659</f>
        <v>185553.668341709</v>
      </c>
      <c r="I659" s="24" t="n">
        <f aca="false">I658+D659</f>
        <v>212520</v>
      </c>
      <c r="J659" s="16" t="n">
        <f aca="false">(H659+D659)*가정!$B$10</f>
        <v>186053.668341709</v>
      </c>
      <c r="K659" s="24" t="n">
        <f aca="false">A659*가정!$B$8*가정!$B$7</f>
        <v>3275</v>
      </c>
      <c r="L659" s="11" t="n">
        <f aca="false">C659+F659</f>
        <v>100</v>
      </c>
    </row>
    <row r="660" customFormat="false" ht="15" hidden="false" customHeight="false" outlineLevel="0" collapsed="false">
      <c r="A660" s="11" t="n">
        <v>656</v>
      </c>
      <c r="B660" s="11" t="n">
        <f aca="false">MATCH(A660,월별!$C$6:$C$41,1)</f>
        <v>22</v>
      </c>
      <c r="C660" s="11" t="n">
        <f aca="false">L659</f>
        <v>100</v>
      </c>
      <c r="D660" s="24" t="n">
        <f aca="false">C660*가정!$B$8</f>
        <v>500</v>
      </c>
      <c r="E660" s="24" t="n">
        <f aca="false">H659+D659</f>
        <v>186053.668341709</v>
      </c>
      <c r="F660" s="11" t="n">
        <f aca="false">IF(가정!$B$11=1,MAX(0,MIN(가정!$B$16-C660,INT(E660/가정!$B$17))),0)</f>
        <v>0</v>
      </c>
      <c r="G660" s="24" t="n">
        <f aca="false">F660*가정!$B$17</f>
        <v>0</v>
      </c>
      <c r="H660" s="24" t="n">
        <f aca="false">E660-G660</f>
        <v>186053.668341709</v>
      </c>
      <c r="I660" s="24" t="n">
        <f aca="false">I659+D660</f>
        <v>213020</v>
      </c>
      <c r="J660" s="16" t="n">
        <f aca="false">(H660+D660)*가정!$B$10</f>
        <v>186553.668341709</v>
      </c>
      <c r="K660" s="24" t="n">
        <f aca="false">A660*가정!$B$8*가정!$B$7</f>
        <v>3280</v>
      </c>
      <c r="L660" s="11" t="n">
        <f aca="false">C660+F660</f>
        <v>100</v>
      </c>
    </row>
    <row r="661" customFormat="false" ht="15" hidden="false" customHeight="false" outlineLevel="0" collapsed="false">
      <c r="A661" s="11" t="n">
        <v>657</v>
      </c>
      <c r="B661" s="11" t="n">
        <f aca="false">MATCH(A661,월별!$C$6:$C$41,1)</f>
        <v>22</v>
      </c>
      <c r="C661" s="11" t="n">
        <f aca="false">L660</f>
        <v>100</v>
      </c>
      <c r="D661" s="24" t="n">
        <f aca="false">C661*가정!$B$8</f>
        <v>500</v>
      </c>
      <c r="E661" s="24" t="n">
        <f aca="false">H660+D660</f>
        <v>186553.668341709</v>
      </c>
      <c r="F661" s="11" t="n">
        <f aca="false">IF(가정!$B$11=1,MAX(0,MIN(가정!$B$16-C661,INT(E661/가정!$B$17))),0)</f>
        <v>0</v>
      </c>
      <c r="G661" s="24" t="n">
        <f aca="false">F661*가정!$B$17</f>
        <v>0</v>
      </c>
      <c r="H661" s="24" t="n">
        <f aca="false">E661-G661</f>
        <v>186553.668341709</v>
      </c>
      <c r="I661" s="24" t="n">
        <f aca="false">I660+D661</f>
        <v>213520</v>
      </c>
      <c r="J661" s="16" t="n">
        <f aca="false">(H661+D661)*가정!$B$10</f>
        <v>187053.668341709</v>
      </c>
      <c r="K661" s="24" t="n">
        <f aca="false">A661*가정!$B$8*가정!$B$7</f>
        <v>3285</v>
      </c>
      <c r="L661" s="11" t="n">
        <f aca="false">C661+F661</f>
        <v>100</v>
      </c>
    </row>
    <row r="662" customFormat="false" ht="15" hidden="false" customHeight="false" outlineLevel="0" collapsed="false">
      <c r="A662" s="11" t="n">
        <v>658</v>
      </c>
      <c r="B662" s="11" t="n">
        <f aca="false">MATCH(A662,월별!$C$6:$C$41,1)</f>
        <v>22</v>
      </c>
      <c r="C662" s="11" t="n">
        <f aca="false">L661</f>
        <v>100</v>
      </c>
      <c r="D662" s="24" t="n">
        <f aca="false">C662*가정!$B$8</f>
        <v>500</v>
      </c>
      <c r="E662" s="24" t="n">
        <f aca="false">H661+D661</f>
        <v>187053.668341709</v>
      </c>
      <c r="F662" s="11" t="n">
        <f aca="false">IF(가정!$B$11=1,MAX(0,MIN(가정!$B$16-C662,INT(E662/가정!$B$17))),0)</f>
        <v>0</v>
      </c>
      <c r="G662" s="24" t="n">
        <f aca="false">F662*가정!$B$17</f>
        <v>0</v>
      </c>
      <c r="H662" s="24" t="n">
        <f aca="false">E662-G662</f>
        <v>187053.668341709</v>
      </c>
      <c r="I662" s="24" t="n">
        <f aca="false">I661+D662</f>
        <v>214020</v>
      </c>
      <c r="J662" s="16" t="n">
        <f aca="false">(H662+D662)*가정!$B$10</f>
        <v>187553.668341709</v>
      </c>
      <c r="K662" s="24" t="n">
        <f aca="false">A662*가정!$B$8*가정!$B$7</f>
        <v>3290</v>
      </c>
      <c r="L662" s="11" t="n">
        <f aca="false">C662+F662</f>
        <v>100</v>
      </c>
    </row>
    <row r="663" customFormat="false" ht="15" hidden="false" customHeight="false" outlineLevel="0" collapsed="false">
      <c r="A663" s="11" t="n">
        <v>659</v>
      </c>
      <c r="B663" s="11" t="n">
        <f aca="false">MATCH(A663,월별!$C$6:$C$41,1)</f>
        <v>22</v>
      </c>
      <c r="C663" s="11" t="n">
        <f aca="false">L662</f>
        <v>100</v>
      </c>
      <c r="D663" s="24" t="n">
        <f aca="false">C663*가정!$B$8</f>
        <v>500</v>
      </c>
      <c r="E663" s="24" t="n">
        <f aca="false">H662+D662</f>
        <v>187553.668341709</v>
      </c>
      <c r="F663" s="11" t="n">
        <f aca="false">IF(가정!$B$11=1,MAX(0,MIN(가정!$B$16-C663,INT(E663/가정!$B$17))),0)</f>
        <v>0</v>
      </c>
      <c r="G663" s="24" t="n">
        <f aca="false">F663*가정!$B$17</f>
        <v>0</v>
      </c>
      <c r="H663" s="24" t="n">
        <f aca="false">E663-G663</f>
        <v>187553.668341709</v>
      </c>
      <c r="I663" s="24" t="n">
        <f aca="false">I662+D663</f>
        <v>214520</v>
      </c>
      <c r="J663" s="16" t="n">
        <f aca="false">(H663+D663)*가정!$B$10</f>
        <v>188053.668341709</v>
      </c>
      <c r="K663" s="24" t="n">
        <f aca="false">A663*가정!$B$8*가정!$B$7</f>
        <v>3295</v>
      </c>
      <c r="L663" s="11" t="n">
        <f aca="false">C663+F663</f>
        <v>100</v>
      </c>
    </row>
    <row r="664" customFormat="false" ht="15" hidden="false" customHeight="false" outlineLevel="0" collapsed="false">
      <c r="A664" s="11" t="n">
        <v>660</v>
      </c>
      <c r="B664" s="11" t="n">
        <f aca="false">MATCH(A664,월별!$C$6:$C$41,1)</f>
        <v>22</v>
      </c>
      <c r="C664" s="11" t="n">
        <f aca="false">L663</f>
        <v>100</v>
      </c>
      <c r="D664" s="24" t="n">
        <f aca="false">C664*가정!$B$8</f>
        <v>500</v>
      </c>
      <c r="E664" s="24" t="n">
        <f aca="false">H663+D663</f>
        <v>188053.668341709</v>
      </c>
      <c r="F664" s="11" t="n">
        <f aca="false">IF(가정!$B$11=1,MAX(0,MIN(가정!$B$16-C664,INT(E664/가정!$B$17))),0)</f>
        <v>0</v>
      </c>
      <c r="G664" s="24" t="n">
        <f aca="false">F664*가정!$B$17</f>
        <v>0</v>
      </c>
      <c r="H664" s="24" t="n">
        <f aca="false">E664-G664</f>
        <v>188053.668341709</v>
      </c>
      <c r="I664" s="24" t="n">
        <f aca="false">I663+D664</f>
        <v>215020</v>
      </c>
      <c r="J664" s="16" t="n">
        <f aca="false">(H664+D664)*가정!$B$10</f>
        <v>188553.668341709</v>
      </c>
      <c r="K664" s="24" t="n">
        <f aca="false">A664*가정!$B$8*가정!$B$7</f>
        <v>3300</v>
      </c>
      <c r="L664" s="11" t="n">
        <f aca="false">C664+F664</f>
        <v>100</v>
      </c>
    </row>
    <row r="665" customFormat="false" ht="15" hidden="false" customHeight="false" outlineLevel="0" collapsed="false">
      <c r="A665" s="11" t="n">
        <v>661</v>
      </c>
      <c r="B665" s="11" t="n">
        <f aca="false">MATCH(A665,월별!$C$6:$C$41,1)</f>
        <v>22</v>
      </c>
      <c r="C665" s="11" t="n">
        <f aca="false">L664</f>
        <v>100</v>
      </c>
      <c r="D665" s="24" t="n">
        <f aca="false">C665*가정!$B$8</f>
        <v>500</v>
      </c>
      <c r="E665" s="24" t="n">
        <f aca="false">H664+D664</f>
        <v>188553.668341709</v>
      </c>
      <c r="F665" s="11" t="n">
        <f aca="false">IF(가정!$B$11=1,MAX(0,MIN(가정!$B$16-C665,INT(E665/가정!$B$17))),0)</f>
        <v>0</v>
      </c>
      <c r="G665" s="24" t="n">
        <f aca="false">F665*가정!$B$17</f>
        <v>0</v>
      </c>
      <c r="H665" s="24" t="n">
        <f aca="false">E665-G665</f>
        <v>188553.668341709</v>
      </c>
      <c r="I665" s="24" t="n">
        <f aca="false">I664+D665</f>
        <v>215520</v>
      </c>
      <c r="J665" s="16" t="n">
        <f aca="false">(H665+D665)*가정!$B$10</f>
        <v>189053.668341709</v>
      </c>
      <c r="K665" s="24" t="n">
        <f aca="false">A665*가정!$B$8*가정!$B$7</f>
        <v>3305</v>
      </c>
      <c r="L665" s="11" t="n">
        <f aca="false">C665+F665</f>
        <v>100</v>
      </c>
    </row>
    <row r="666" customFormat="false" ht="15" hidden="false" customHeight="false" outlineLevel="0" collapsed="false">
      <c r="A666" s="11" t="n">
        <v>662</v>
      </c>
      <c r="B666" s="11" t="n">
        <f aca="false">MATCH(A666,월별!$C$6:$C$41,1)</f>
        <v>22</v>
      </c>
      <c r="C666" s="11" t="n">
        <f aca="false">L665</f>
        <v>100</v>
      </c>
      <c r="D666" s="24" t="n">
        <f aca="false">C666*가정!$B$8</f>
        <v>500</v>
      </c>
      <c r="E666" s="24" t="n">
        <f aca="false">H665+D665</f>
        <v>189053.668341709</v>
      </c>
      <c r="F666" s="11" t="n">
        <f aca="false">IF(가정!$B$11=1,MAX(0,MIN(가정!$B$16-C666,INT(E666/가정!$B$17))),0)</f>
        <v>0</v>
      </c>
      <c r="G666" s="24" t="n">
        <f aca="false">F666*가정!$B$17</f>
        <v>0</v>
      </c>
      <c r="H666" s="24" t="n">
        <f aca="false">E666-G666</f>
        <v>189053.668341709</v>
      </c>
      <c r="I666" s="24" t="n">
        <f aca="false">I665+D666</f>
        <v>216020</v>
      </c>
      <c r="J666" s="16" t="n">
        <f aca="false">(H666+D666)*가정!$B$10</f>
        <v>189553.668341709</v>
      </c>
      <c r="K666" s="24" t="n">
        <f aca="false">A666*가정!$B$8*가정!$B$7</f>
        <v>3310</v>
      </c>
      <c r="L666" s="11" t="n">
        <f aca="false">C666+F666</f>
        <v>100</v>
      </c>
    </row>
    <row r="667" customFormat="false" ht="15" hidden="false" customHeight="false" outlineLevel="0" collapsed="false">
      <c r="A667" s="11" t="n">
        <v>663</v>
      </c>
      <c r="B667" s="11" t="n">
        <f aca="false">MATCH(A667,월별!$C$6:$C$41,1)</f>
        <v>22</v>
      </c>
      <c r="C667" s="11" t="n">
        <f aca="false">L666</f>
        <v>100</v>
      </c>
      <c r="D667" s="24" t="n">
        <f aca="false">C667*가정!$B$8</f>
        <v>500</v>
      </c>
      <c r="E667" s="24" t="n">
        <f aca="false">H666+D666</f>
        <v>189553.668341709</v>
      </c>
      <c r="F667" s="11" t="n">
        <f aca="false">IF(가정!$B$11=1,MAX(0,MIN(가정!$B$16-C667,INT(E667/가정!$B$17))),0)</f>
        <v>0</v>
      </c>
      <c r="G667" s="24" t="n">
        <f aca="false">F667*가정!$B$17</f>
        <v>0</v>
      </c>
      <c r="H667" s="24" t="n">
        <f aca="false">E667-G667</f>
        <v>189553.668341709</v>
      </c>
      <c r="I667" s="24" t="n">
        <f aca="false">I666+D667</f>
        <v>216520</v>
      </c>
      <c r="J667" s="16" t="n">
        <f aca="false">(H667+D667)*가정!$B$10</f>
        <v>190053.668341709</v>
      </c>
      <c r="K667" s="24" t="n">
        <f aca="false">A667*가정!$B$8*가정!$B$7</f>
        <v>3315</v>
      </c>
      <c r="L667" s="11" t="n">
        <f aca="false">C667+F667</f>
        <v>100</v>
      </c>
    </row>
    <row r="668" customFormat="false" ht="15" hidden="false" customHeight="false" outlineLevel="0" collapsed="false">
      <c r="A668" s="11" t="n">
        <v>664</v>
      </c>
      <c r="B668" s="11" t="n">
        <f aca="false">MATCH(A668,월별!$C$6:$C$41,1)</f>
        <v>22</v>
      </c>
      <c r="C668" s="11" t="n">
        <f aca="false">L667</f>
        <v>100</v>
      </c>
      <c r="D668" s="24" t="n">
        <f aca="false">C668*가정!$B$8</f>
        <v>500</v>
      </c>
      <c r="E668" s="24" t="n">
        <f aca="false">H667+D667</f>
        <v>190053.668341709</v>
      </c>
      <c r="F668" s="11" t="n">
        <f aca="false">IF(가정!$B$11=1,MAX(0,MIN(가정!$B$16-C668,INT(E668/가정!$B$17))),0)</f>
        <v>0</v>
      </c>
      <c r="G668" s="24" t="n">
        <f aca="false">F668*가정!$B$17</f>
        <v>0</v>
      </c>
      <c r="H668" s="24" t="n">
        <f aca="false">E668-G668</f>
        <v>190053.668341709</v>
      </c>
      <c r="I668" s="24" t="n">
        <f aca="false">I667+D668</f>
        <v>217020</v>
      </c>
      <c r="J668" s="16" t="n">
        <f aca="false">(H668+D668)*가정!$B$10</f>
        <v>190553.668341709</v>
      </c>
      <c r="K668" s="24" t="n">
        <f aca="false">A668*가정!$B$8*가정!$B$7</f>
        <v>3320</v>
      </c>
      <c r="L668" s="11" t="n">
        <f aca="false">C668+F668</f>
        <v>100</v>
      </c>
    </row>
    <row r="669" customFormat="false" ht="15" hidden="false" customHeight="false" outlineLevel="0" collapsed="false">
      <c r="A669" s="11" t="n">
        <v>665</v>
      </c>
      <c r="B669" s="11" t="n">
        <f aca="false">MATCH(A669,월별!$C$6:$C$41,1)</f>
        <v>22</v>
      </c>
      <c r="C669" s="11" t="n">
        <f aca="false">L668</f>
        <v>100</v>
      </c>
      <c r="D669" s="24" t="n">
        <f aca="false">C669*가정!$B$8</f>
        <v>500</v>
      </c>
      <c r="E669" s="24" t="n">
        <f aca="false">H668+D668</f>
        <v>190553.668341709</v>
      </c>
      <c r="F669" s="11" t="n">
        <f aca="false">IF(가정!$B$11=1,MAX(0,MIN(가정!$B$16-C669,INT(E669/가정!$B$17))),0)</f>
        <v>0</v>
      </c>
      <c r="G669" s="24" t="n">
        <f aca="false">F669*가정!$B$17</f>
        <v>0</v>
      </c>
      <c r="H669" s="24" t="n">
        <f aca="false">E669-G669</f>
        <v>190553.668341709</v>
      </c>
      <c r="I669" s="24" t="n">
        <f aca="false">I668+D669</f>
        <v>217520</v>
      </c>
      <c r="J669" s="16" t="n">
        <f aca="false">(H669+D669)*가정!$B$10</f>
        <v>191053.668341709</v>
      </c>
      <c r="K669" s="24" t="n">
        <f aca="false">A669*가정!$B$8*가정!$B$7</f>
        <v>3325</v>
      </c>
      <c r="L669" s="11" t="n">
        <f aca="false">C669+F669</f>
        <v>100</v>
      </c>
    </row>
    <row r="670" customFormat="false" ht="15" hidden="false" customHeight="false" outlineLevel="0" collapsed="false">
      <c r="A670" s="11" t="n">
        <v>666</v>
      </c>
      <c r="B670" s="11" t="n">
        <f aca="false">MATCH(A670,월별!$C$6:$C$41,1)</f>
        <v>22</v>
      </c>
      <c r="C670" s="11" t="n">
        <f aca="false">L669</f>
        <v>100</v>
      </c>
      <c r="D670" s="24" t="n">
        <f aca="false">C670*가정!$B$8</f>
        <v>500</v>
      </c>
      <c r="E670" s="24" t="n">
        <f aca="false">H669+D669</f>
        <v>191053.668341709</v>
      </c>
      <c r="F670" s="11" t="n">
        <f aca="false">IF(가정!$B$11=1,MAX(0,MIN(가정!$B$16-C670,INT(E670/가정!$B$17))),0)</f>
        <v>0</v>
      </c>
      <c r="G670" s="24" t="n">
        <f aca="false">F670*가정!$B$17</f>
        <v>0</v>
      </c>
      <c r="H670" s="24" t="n">
        <f aca="false">E670-G670</f>
        <v>191053.668341709</v>
      </c>
      <c r="I670" s="24" t="n">
        <f aca="false">I669+D670</f>
        <v>218020</v>
      </c>
      <c r="J670" s="16" t="n">
        <f aca="false">(H670+D670)*가정!$B$10</f>
        <v>191553.668341709</v>
      </c>
      <c r="K670" s="24" t="n">
        <f aca="false">A670*가정!$B$8*가정!$B$7</f>
        <v>3330</v>
      </c>
      <c r="L670" s="11" t="n">
        <f aca="false">C670+F670</f>
        <v>100</v>
      </c>
    </row>
    <row r="671" customFormat="false" ht="15" hidden="false" customHeight="false" outlineLevel="0" collapsed="false">
      <c r="A671" s="11" t="n">
        <v>667</v>
      </c>
      <c r="B671" s="11" t="n">
        <f aca="false">MATCH(A671,월별!$C$6:$C$41,1)</f>
        <v>22</v>
      </c>
      <c r="C671" s="11" t="n">
        <f aca="false">L670</f>
        <v>100</v>
      </c>
      <c r="D671" s="24" t="n">
        <f aca="false">C671*가정!$B$8</f>
        <v>500</v>
      </c>
      <c r="E671" s="24" t="n">
        <f aca="false">H670+D670</f>
        <v>191553.668341709</v>
      </c>
      <c r="F671" s="11" t="n">
        <f aca="false">IF(가정!$B$11=1,MAX(0,MIN(가정!$B$16-C671,INT(E671/가정!$B$17))),0)</f>
        <v>0</v>
      </c>
      <c r="G671" s="24" t="n">
        <f aca="false">F671*가정!$B$17</f>
        <v>0</v>
      </c>
      <c r="H671" s="24" t="n">
        <f aca="false">E671-G671</f>
        <v>191553.668341709</v>
      </c>
      <c r="I671" s="24" t="n">
        <f aca="false">I670+D671</f>
        <v>218520</v>
      </c>
      <c r="J671" s="16" t="n">
        <f aca="false">(H671+D671)*가정!$B$10</f>
        <v>192053.668341709</v>
      </c>
      <c r="K671" s="24" t="n">
        <f aca="false">A671*가정!$B$8*가정!$B$7</f>
        <v>3335</v>
      </c>
      <c r="L671" s="11" t="n">
        <f aca="false">C671+F671</f>
        <v>100</v>
      </c>
    </row>
    <row r="672" customFormat="false" ht="15" hidden="false" customHeight="false" outlineLevel="0" collapsed="false">
      <c r="A672" s="11" t="n">
        <v>668</v>
      </c>
      <c r="B672" s="11" t="n">
        <f aca="false">MATCH(A672,월별!$C$6:$C$41,1)</f>
        <v>22</v>
      </c>
      <c r="C672" s="11" t="n">
        <f aca="false">L671</f>
        <v>100</v>
      </c>
      <c r="D672" s="24" t="n">
        <f aca="false">C672*가정!$B$8</f>
        <v>500</v>
      </c>
      <c r="E672" s="24" t="n">
        <f aca="false">H671+D671</f>
        <v>192053.668341709</v>
      </c>
      <c r="F672" s="11" t="n">
        <f aca="false">IF(가정!$B$11=1,MAX(0,MIN(가정!$B$16-C672,INT(E672/가정!$B$17))),0)</f>
        <v>0</v>
      </c>
      <c r="G672" s="24" t="n">
        <f aca="false">F672*가정!$B$17</f>
        <v>0</v>
      </c>
      <c r="H672" s="24" t="n">
        <f aca="false">E672-G672</f>
        <v>192053.668341709</v>
      </c>
      <c r="I672" s="24" t="n">
        <f aca="false">I671+D672</f>
        <v>219020</v>
      </c>
      <c r="J672" s="16" t="n">
        <f aca="false">(H672+D672)*가정!$B$10</f>
        <v>192553.668341709</v>
      </c>
      <c r="K672" s="24" t="n">
        <f aca="false">A672*가정!$B$8*가정!$B$7</f>
        <v>3340</v>
      </c>
      <c r="L672" s="11" t="n">
        <f aca="false">C672+F672</f>
        <v>100</v>
      </c>
    </row>
    <row r="673" customFormat="false" ht="15" hidden="false" customHeight="false" outlineLevel="0" collapsed="false">
      <c r="A673" s="11" t="n">
        <v>669</v>
      </c>
      <c r="B673" s="11" t="n">
        <f aca="false">MATCH(A673,월별!$C$6:$C$41,1)</f>
        <v>22</v>
      </c>
      <c r="C673" s="11" t="n">
        <f aca="false">L672</f>
        <v>100</v>
      </c>
      <c r="D673" s="24" t="n">
        <f aca="false">C673*가정!$B$8</f>
        <v>500</v>
      </c>
      <c r="E673" s="24" t="n">
        <f aca="false">H672+D672</f>
        <v>192553.668341709</v>
      </c>
      <c r="F673" s="11" t="n">
        <f aca="false">IF(가정!$B$11=1,MAX(0,MIN(가정!$B$16-C673,INT(E673/가정!$B$17))),0)</f>
        <v>0</v>
      </c>
      <c r="G673" s="24" t="n">
        <f aca="false">F673*가정!$B$17</f>
        <v>0</v>
      </c>
      <c r="H673" s="24" t="n">
        <f aca="false">E673-G673</f>
        <v>192553.668341709</v>
      </c>
      <c r="I673" s="24" t="n">
        <f aca="false">I672+D673</f>
        <v>219520</v>
      </c>
      <c r="J673" s="16" t="n">
        <f aca="false">(H673+D673)*가정!$B$10</f>
        <v>193053.668341709</v>
      </c>
      <c r="K673" s="24" t="n">
        <f aca="false">A673*가정!$B$8*가정!$B$7</f>
        <v>3345</v>
      </c>
      <c r="L673" s="11" t="n">
        <f aca="false">C673+F673</f>
        <v>100</v>
      </c>
    </row>
    <row r="674" customFormat="false" ht="15" hidden="false" customHeight="false" outlineLevel="0" collapsed="false">
      <c r="A674" s="11" t="n">
        <v>670</v>
      </c>
      <c r="B674" s="11" t="n">
        <f aca="false">MATCH(A674,월별!$C$6:$C$41,1)</f>
        <v>23</v>
      </c>
      <c r="C674" s="11" t="n">
        <f aca="false">L673</f>
        <v>100</v>
      </c>
      <c r="D674" s="24" t="n">
        <f aca="false">C674*가정!$B$8</f>
        <v>500</v>
      </c>
      <c r="E674" s="24" t="n">
        <f aca="false">H673+D673</f>
        <v>193053.668341709</v>
      </c>
      <c r="F674" s="11" t="n">
        <f aca="false">IF(가정!$B$11=1,MAX(0,MIN(가정!$B$16-C674,INT(E674/가정!$B$17))),0)</f>
        <v>0</v>
      </c>
      <c r="G674" s="24" t="n">
        <f aca="false">F674*가정!$B$17</f>
        <v>0</v>
      </c>
      <c r="H674" s="24" t="n">
        <f aca="false">E674-G674</f>
        <v>193053.668341709</v>
      </c>
      <c r="I674" s="24" t="n">
        <f aca="false">I673+D674</f>
        <v>220020</v>
      </c>
      <c r="J674" s="16" t="n">
        <f aca="false">(H674+D674)*가정!$B$10</f>
        <v>193553.668341709</v>
      </c>
      <c r="K674" s="24" t="n">
        <f aca="false">A674*가정!$B$8*가정!$B$7</f>
        <v>3350</v>
      </c>
      <c r="L674" s="11" t="n">
        <f aca="false">C674+F674</f>
        <v>100</v>
      </c>
    </row>
    <row r="675" customFormat="false" ht="15" hidden="false" customHeight="false" outlineLevel="0" collapsed="false">
      <c r="A675" s="11" t="n">
        <v>671</v>
      </c>
      <c r="B675" s="11" t="n">
        <f aca="false">MATCH(A675,월별!$C$6:$C$41,1)</f>
        <v>23</v>
      </c>
      <c r="C675" s="11" t="n">
        <f aca="false">L674</f>
        <v>100</v>
      </c>
      <c r="D675" s="24" t="n">
        <f aca="false">C675*가정!$B$8</f>
        <v>500</v>
      </c>
      <c r="E675" s="24" t="n">
        <f aca="false">H674+D674</f>
        <v>193553.668341709</v>
      </c>
      <c r="F675" s="11" t="n">
        <f aca="false">IF(가정!$B$11=1,MAX(0,MIN(가정!$B$16-C675,INT(E675/가정!$B$17))),0)</f>
        <v>0</v>
      </c>
      <c r="G675" s="24" t="n">
        <f aca="false">F675*가정!$B$17</f>
        <v>0</v>
      </c>
      <c r="H675" s="24" t="n">
        <f aca="false">E675-G675</f>
        <v>193553.668341709</v>
      </c>
      <c r="I675" s="24" t="n">
        <f aca="false">I674+D675</f>
        <v>220520</v>
      </c>
      <c r="J675" s="16" t="n">
        <f aca="false">(H675+D675)*가정!$B$10</f>
        <v>194053.668341709</v>
      </c>
      <c r="K675" s="24" t="n">
        <f aca="false">A675*가정!$B$8*가정!$B$7</f>
        <v>3355</v>
      </c>
      <c r="L675" s="11" t="n">
        <f aca="false">C675+F675</f>
        <v>100</v>
      </c>
    </row>
    <row r="676" customFormat="false" ht="15" hidden="false" customHeight="false" outlineLevel="0" collapsed="false">
      <c r="A676" s="11" t="n">
        <v>672</v>
      </c>
      <c r="B676" s="11" t="n">
        <f aca="false">MATCH(A676,월별!$C$6:$C$41,1)</f>
        <v>23</v>
      </c>
      <c r="C676" s="11" t="n">
        <f aca="false">L675</f>
        <v>100</v>
      </c>
      <c r="D676" s="24" t="n">
        <f aca="false">C676*가정!$B$8</f>
        <v>500</v>
      </c>
      <c r="E676" s="24" t="n">
        <f aca="false">H675+D675</f>
        <v>194053.668341709</v>
      </c>
      <c r="F676" s="11" t="n">
        <f aca="false">IF(가정!$B$11=1,MAX(0,MIN(가정!$B$16-C676,INT(E676/가정!$B$17))),0)</f>
        <v>0</v>
      </c>
      <c r="G676" s="24" t="n">
        <f aca="false">F676*가정!$B$17</f>
        <v>0</v>
      </c>
      <c r="H676" s="24" t="n">
        <f aca="false">E676-G676</f>
        <v>194053.668341709</v>
      </c>
      <c r="I676" s="24" t="n">
        <f aca="false">I675+D676</f>
        <v>221020</v>
      </c>
      <c r="J676" s="16" t="n">
        <f aca="false">(H676+D676)*가정!$B$10</f>
        <v>194553.668341709</v>
      </c>
      <c r="K676" s="24" t="n">
        <f aca="false">A676*가정!$B$8*가정!$B$7</f>
        <v>3360</v>
      </c>
      <c r="L676" s="11" t="n">
        <f aca="false">C676+F676</f>
        <v>100</v>
      </c>
    </row>
    <row r="677" customFormat="false" ht="15" hidden="false" customHeight="false" outlineLevel="0" collapsed="false">
      <c r="A677" s="11" t="n">
        <v>673</v>
      </c>
      <c r="B677" s="11" t="n">
        <f aca="false">MATCH(A677,월별!$C$6:$C$41,1)</f>
        <v>23</v>
      </c>
      <c r="C677" s="11" t="n">
        <f aca="false">L676</f>
        <v>100</v>
      </c>
      <c r="D677" s="24" t="n">
        <f aca="false">C677*가정!$B$8</f>
        <v>500</v>
      </c>
      <c r="E677" s="24" t="n">
        <f aca="false">H676+D676</f>
        <v>194553.668341709</v>
      </c>
      <c r="F677" s="11" t="n">
        <f aca="false">IF(가정!$B$11=1,MAX(0,MIN(가정!$B$16-C677,INT(E677/가정!$B$17))),0)</f>
        <v>0</v>
      </c>
      <c r="G677" s="24" t="n">
        <f aca="false">F677*가정!$B$17</f>
        <v>0</v>
      </c>
      <c r="H677" s="24" t="n">
        <f aca="false">E677-G677</f>
        <v>194553.668341709</v>
      </c>
      <c r="I677" s="24" t="n">
        <f aca="false">I676+D677</f>
        <v>221520</v>
      </c>
      <c r="J677" s="16" t="n">
        <f aca="false">(H677+D677)*가정!$B$10</f>
        <v>195053.668341709</v>
      </c>
      <c r="K677" s="24" t="n">
        <f aca="false">A677*가정!$B$8*가정!$B$7</f>
        <v>3365</v>
      </c>
      <c r="L677" s="11" t="n">
        <f aca="false">C677+F677</f>
        <v>100</v>
      </c>
    </row>
    <row r="678" customFormat="false" ht="15" hidden="false" customHeight="false" outlineLevel="0" collapsed="false">
      <c r="A678" s="11" t="n">
        <v>674</v>
      </c>
      <c r="B678" s="11" t="n">
        <f aca="false">MATCH(A678,월별!$C$6:$C$41,1)</f>
        <v>23</v>
      </c>
      <c r="C678" s="11" t="n">
        <f aca="false">L677</f>
        <v>100</v>
      </c>
      <c r="D678" s="24" t="n">
        <f aca="false">C678*가정!$B$8</f>
        <v>500</v>
      </c>
      <c r="E678" s="24" t="n">
        <f aca="false">H677+D677</f>
        <v>195053.668341709</v>
      </c>
      <c r="F678" s="11" t="n">
        <f aca="false">IF(가정!$B$11=1,MAX(0,MIN(가정!$B$16-C678,INT(E678/가정!$B$17))),0)</f>
        <v>0</v>
      </c>
      <c r="G678" s="24" t="n">
        <f aca="false">F678*가정!$B$17</f>
        <v>0</v>
      </c>
      <c r="H678" s="24" t="n">
        <f aca="false">E678-G678</f>
        <v>195053.668341709</v>
      </c>
      <c r="I678" s="24" t="n">
        <f aca="false">I677+D678</f>
        <v>222020</v>
      </c>
      <c r="J678" s="16" t="n">
        <f aca="false">(H678+D678)*가정!$B$10</f>
        <v>195553.668341709</v>
      </c>
      <c r="K678" s="24" t="n">
        <f aca="false">A678*가정!$B$8*가정!$B$7</f>
        <v>3370</v>
      </c>
      <c r="L678" s="11" t="n">
        <f aca="false">C678+F678</f>
        <v>100</v>
      </c>
    </row>
    <row r="679" customFormat="false" ht="15" hidden="false" customHeight="false" outlineLevel="0" collapsed="false">
      <c r="A679" s="11" t="n">
        <v>675</v>
      </c>
      <c r="B679" s="11" t="n">
        <f aca="false">MATCH(A679,월별!$C$6:$C$41,1)</f>
        <v>23</v>
      </c>
      <c r="C679" s="11" t="n">
        <f aca="false">L678</f>
        <v>100</v>
      </c>
      <c r="D679" s="24" t="n">
        <f aca="false">C679*가정!$B$8</f>
        <v>500</v>
      </c>
      <c r="E679" s="24" t="n">
        <f aca="false">H678+D678</f>
        <v>195553.668341709</v>
      </c>
      <c r="F679" s="11" t="n">
        <f aca="false">IF(가정!$B$11=1,MAX(0,MIN(가정!$B$16-C679,INT(E679/가정!$B$17))),0)</f>
        <v>0</v>
      </c>
      <c r="G679" s="24" t="n">
        <f aca="false">F679*가정!$B$17</f>
        <v>0</v>
      </c>
      <c r="H679" s="24" t="n">
        <f aca="false">E679-G679</f>
        <v>195553.668341709</v>
      </c>
      <c r="I679" s="24" t="n">
        <f aca="false">I678+D679</f>
        <v>222520</v>
      </c>
      <c r="J679" s="16" t="n">
        <f aca="false">(H679+D679)*가정!$B$10</f>
        <v>196053.668341709</v>
      </c>
      <c r="K679" s="24" t="n">
        <f aca="false">A679*가정!$B$8*가정!$B$7</f>
        <v>3375</v>
      </c>
      <c r="L679" s="11" t="n">
        <f aca="false">C679+F679</f>
        <v>100</v>
      </c>
    </row>
    <row r="680" customFormat="false" ht="15" hidden="false" customHeight="false" outlineLevel="0" collapsed="false">
      <c r="A680" s="11" t="n">
        <v>676</v>
      </c>
      <c r="B680" s="11" t="n">
        <f aca="false">MATCH(A680,월별!$C$6:$C$41,1)</f>
        <v>23</v>
      </c>
      <c r="C680" s="11" t="n">
        <f aca="false">L679</f>
        <v>100</v>
      </c>
      <c r="D680" s="24" t="n">
        <f aca="false">C680*가정!$B$8</f>
        <v>500</v>
      </c>
      <c r="E680" s="24" t="n">
        <f aca="false">H679+D679</f>
        <v>196053.668341709</v>
      </c>
      <c r="F680" s="11" t="n">
        <f aca="false">IF(가정!$B$11=1,MAX(0,MIN(가정!$B$16-C680,INT(E680/가정!$B$17))),0)</f>
        <v>0</v>
      </c>
      <c r="G680" s="24" t="n">
        <f aca="false">F680*가정!$B$17</f>
        <v>0</v>
      </c>
      <c r="H680" s="24" t="n">
        <f aca="false">E680-G680</f>
        <v>196053.668341709</v>
      </c>
      <c r="I680" s="24" t="n">
        <f aca="false">I679+D680</f>
        <v>223020</v>
      </c>
      <c r="J680" s="16" t="n">
        <f aca="false">(H680+D680)*가정!$B$10</f>
        <v>196553.668341709</v>
      </c>
      <c r="K680" s="24" t="n">
        <f aca="false">A680*가정!$B$8*가정!$B$7</f>
        <v>3380</v>
      </c>
      <c r="L680" s="11" t="n">
        <f aca="false">C680+F680</f>
        <v>100</v>
      </c>
    </row>
    <row r="681" customFormat="false" ht="15" hidden="false" customHeight="false" outlineLevel="0" collapsed="false">
      <c r="A681" s="11" t="n">
        <v>677</v>
      </c>
      <c r="B681" s="11" t="n">
        <f aca="false">MATCH(A681,월별!$C$6:$C$41,1)</f>
        <v>23</v>
      </c>
      <c r="C681" s="11" t="n">
        <f aca="false">L680</f>
        <v>100</v>
      </c>
      <c r="D681" s="24" t="n">
        <f aca="false">C681*가정!$B$8</f>
        <v>500</v>
      </c>
      <c r="E681" s="24" t="n">
        <f aca="false">H680+D680</f>
        <v>196553.668341709</v>
      </c>
      <c r="F681" s="11" t="n">
        <f aca="false">IF(가정!$B$11=1,MAX(0,MIN(가정!$B$16-C681,INT(E681/가정!$B$17))),0)</f>
        <v>0</v>
      </c>
      <c r="G681" s="24" t="n">
        <f aca="false">F681*가정!$B$17</f>
        <v>0</v>
      </c>
      <c r="H681" s="24" t="n">
        <f aca="false">E681-G681</f>
        <v>196553.668341709</v>
      </c>
      <c r="I681" s="24" t="n">
        <f aca="false">I680+D681</f>
        <v>223520</v>
      </c>
      <c r="J681" s="16" t="n">
        <f aca="false">(H681+D681)*가정!$B$10</f>
        <v>197053.668341709</v>
      </c>
      <c r="K681" s="24" t="n">
        <f aca="false">A681*가정!$B$8*가정!$B$7</f>
        <v>3385</v>
      </c>
      <c r="L681" s="11" t="n">
        <f aca="false">C681+F681</f>
        <v>100</v>
      </c>
    </row>
    <row r="682" customFormat="false" ht="15" hidden="false" customHeight="false" outlineLevel="0" collapsed="false">
      <c r="A682" s="11" t="n">
        <v>678</v>
      </c>
      <c r="B682" s="11" t="n">
        <f aca="false">MATCH(A682,월별!$C$6:$C$41,1)</f>
        <v>23</v>
      </c>
      <c r="C682" s="11" t="n">
        <f aca="false">L681</f>
        <v>100</v>
      </c>
      <c r="D682" s="24" t="n">
        <f aca="false">C682*가정!$B$8</f>
        <v>500</v>
      </c>
      <c r="E682" s="24" t="n">
        <f aca="false">H681+D681</f>
        <v>197053.668341709</v>
      </c>
      <c r="F682" s="11" t="n">
        <f aca="false">IF(가정!$B$11=1,MAX(0,MIN(가정!$B$16-C682,INT(E682/가정!$B$17))),0)</f>
        <v>0</v>
      </c>
      <c r="G682" s="24" t="n">
        <f aca="false">F682*가정!$B$17</f>
        <v>0</v>
      </c>
      <c r="H682" s="24" t="n">
        <f aca="false">E682-G682</f>
        <v>197053.668341709</v>
      </c>
      <c r="I682" s="24" t="n">
        <f aca="false">I681+D682</f>
        <v>224020</v>
      </c>
      <c r="J682" s="16" t="n">
        <f aca="false">(H682+D682)*가정!$B$10</f>
        <v>197553.668341709</v>
      </c>
      <c r="K682" s="24" t="n">
        <f aca="false">A682*가정!$B$8*가정!$B$7</f>
        <v>3390</v>
      </c>
      <c r="L682" s="11" t="n">
        <f aca="false">C682+F682</f>
        <v>100</v>
      </c>
    </row>
    <row r="683" customFormat="false" ht="15" hidden="false" customHeight="false" outlineLevel="0" collapsed="false">
      <c r="A683" s="11" t="n">
        <v>679</v>
      </c>
      <c r="B683" s="11" t="n">
        <f aca="false">MATCH(A683,월별!$C$6:$C$41,1)</f>
        <v>23</v>
      </c>
      <c r="C683" s="11" t="n">
        <f aca="false">L682</f>
        <v>100</v>
      </c>
      <c r="D683" s="24" t="n">
        <f aca="false">C683*가정!$B$8</f>
        <v>500</v>
      </c>
      <c r="E683" s="24" t="n">
        <f aca="false">H682+D682</f>
        <v>197553.668341709</v>
      </c>
      <c r="F683" s="11" t="n">
        <f aca="false">IF(가정!$B$11=1,MAX(0,MIN(가정!$B$16-C683,INT(E683/가정!$B$17))),0)</f>
        <v>0</v>
      </c>
      <c r="G683" s="24" t="n">
        <f aca="false">F683*가정!$B$17</f>
        <v>0</v>
      </c>
      <c r="H683" s="24" t="n">
        <f aca="false">E683-G683</f>
        <v>197553.668341709</v>
      </c>
      <c r="I683" s="24" t="n">
        <f aca="false">I682+D683</f>
        <v>224520</v>
      </c>
      <c r="J683" s="16" t="n">
        <f aca="false">(H683+D683)*가정!$B$10</f>
        <v>198053.668341709</v>
      </c>
      <c r="K683" s="24" t="n">
        <f aca="false">A683*가정!$B$8*가정!$B$7</f>
        <v>3395</v>
      </c>
      <c r="L683" s="11" t="n">
        <f aca="false">C683+F683</f>
        <v>100</v>
      </c>
    </row>
    <row r="684" customFormat="false" ht="15" hidden="false" customHeight="false" outlineLevel="0" collapsed="false">
      <c r="A684" s="11" t="n">
        <v>680</v>
      </c>
      <c r="B684" s="11" t="n">
        <f aca="false">MATCH(A684,월별!$C$6:$C$41,1)</f>
        <v>23</v>
      </c>
      <c r="C684" s="11" t="n">
        <f aca="false">L683</f>
        <v>100</v>
      </c>
      <c r="D684" s="24" t="n">
        <f aca="false">C684*가정!$B$8</f>
        <v>500</v>
      </c>
      <c r="E684" s="24" t="n">
        <f aca="false">H683+D683</f>
        <v>198053.668341709</v>
      </c>
      <c r="F684" s="11" t="n">
        <f aca="false">IF(가정!$B$11=1,MAX(0,MIN(가정!$B$16-C684,INT(E684/가정!$B$17))),0)</f>
        <v>0</v>
      </c>
      <c r="G684" s="24" t="n">
        <f aca="false">F684*가정!$B$17</f>
        <v>0</v>
      </c>
      <c r="H684" s="24" t="n">
        <f aca="false">E684-G684</f>
        <v>198053.668341709</v>
      </c>
      <c r="I684" s="24" t="n">
        <f aca="false">I683+D684</f>
        <v>225020</v>
      </c>
      <c r="J684" s="16" t="n">
        <f aca="false">(H684+D684)*가정!$B$10</f>
        <v>198553.668341709</v>
      </c>
      <c r="K684" s="24" t="n">
        <f aca="false">A684*가정!$B$8*가정!$B$7</f>
        <v>3400</v>
      </c>
      <c r="L684" s="11" t="n">
        <f aca="false">C684+F684</f>
        <v>100</v>
      </c>
    </row>
    <row r="685" customFormat="false" ht="15" hidden="false" customHeight="false" outlineLevel="0" collapsed="false">
      <c r="A685" s="11" t="n">
        <v>681</v>
      </c>
      <c r="B685" s="11" t="n">
        <f aca="false">MATCH(A685,월별!$C$6:$C$41,1)</f>
        <v>23</v>
      </c>
      <c r="C685" s="11" t="n">
        <f aca="false">L684</f>
        <v>100</v>
      </c>
      <c r="D685" s="24" t="n">
        <f aca="false">C685*가정!$B$8</f>
        <v>500</v>
      </c>
      <c r="E685" s="24" t="n">
        <f aca="false">H684+D684</f>
        <v>198553.668341709</v>
      </c>
      <c r="F685" s="11" t="n">
        <f aca="false">IF(가정!$B$11=1,MAX(0,MIN(가정!$B$16-C685,INT(E685/가정!$B$17))),0)</f>
        <v>0</v>
      </c>
      <c r="G685" s="24" t="n">
        <f aca="false">F685*가정!$B$17</f>
        <v>0</v>
      </c>
      <c r="H685" s="24" t="n">
        <f aca="false">E685-G685</f>
        <v>198553.668341709</v>
      </c>
      <c r="I685" s="24" t="n">
        <f aca="false">I684+D685</f>
        <v>225520</v>
      </c>
      <c r="J685" s="16" t="n">
        <f aca="false">(H685+D685)*가정!$B$10</f>
        <v>199053.668341709</v>
      </c>
      <c r="K685" s="24" t="n">
        <f aca="false">A685*가정!$B$8*가정!$B$7</f>
        <v>3405</v>
      </c>
      <c r="L685" s="11" t="n">
        <f aca="false">C685+F685</f>
        <v>100</v>
      </c>
    </row>
    <row r="686" customFormat="false" ht="15" hidden="false" customHeight="false" outlineLevel="0" collapsed="false">
      <c r="A686" s="11" t="n">
        <v>682</v>
      </c>
      <c r="B686" s="11" t="n">
        <f aca="false">MATCH(A686,월별!$C$6:$C$41,1)</f>
        <v>23</v>
      </c>
      <c r="C686" s="11" t="n">
        <f aca="false">L685</f>
        <v>100</v>
      </c>
      <c r="D686" s="24" t="n">
        <f aca="false">C686*가정!$B$8</f>
        <v>500</v>
      </c>
      <c r="E686" s="24" t="n">
        <f aca="false">H685+D685</f>
        <v>199053.668341709</v>
      </c>
      <c r="F686" s="11" t="n">
        <f aca="false">IF(가정!$B$11=1,MAX(0,MIN(가정!$B$16-C686,INT(E686/가정!$B$17))),0)</f>
        <v>0</v>
      </c>
      <c r="G686" s="24" t="n">
        <f aca="false">F686*가정!$B$17</f>
        <v>0</v>
      </c>
      <c r="H686" s="24" t="n">
        <f aca="false">E686-G686</f>
        <v>199053.668341709</v>
      </c>
      <c r="I686" s="24" t="n">
        <f aca="false">I685+D686</f>
        <v>226020</v>
      </c>
      <c r="J686" s="16" t="n">
        <f aca="false">(H686+D686)*가정!$B$10</f>
        <v>199553.668341709</v>
      </c>
      <c r="K686" s="24" t="n">
        <f aca="false">A686*가정!$B$8*가정!$B$7</f>
        <v>3410</v>
      </c>
      <c r="L686" s="11" t="n">
        <f aca="false">C686+F686</f>
        <v>100</v>
      </c>
    </row>
    <row r="687" customFormat="false" ht="15" hidden="false" customHeight="false" outlineLevel="0" collapsed="false">
      <c r="A687" s="11" t="n">
        <v>683</v>
      </c>
      <c r="B687" s="11" t="n">
        <f aca="false">MATCH(A687,월별!$C$6:$C$41,1)</f>
        <v>23</v>
      </c>
      <c r="C687" s="11" t="n">
        <f aca="false">L686</f>
        <v>100</v>
      </c>
      <c r="D687" s="24" t="n">
        <f aca="false">C687*가정!$B$8</f>
        <v>500</v>
      </c>
      <c r="E687" s="24" t="n">
        <f aca="false">H686+D686</f>
        <v>199553.668341709</v>
      </c>
      <c r="F687" s="11" t="n">
        <f aca="false">IF(가정!$B$11=1,MAX(0,MIN(가정!$B$16-C687,INT(E687/가정!$B$17))),0)</f>
        <v>0</v>
      </c>
      <c r="G687" s="24" t="n">
        <f aca="false">F687*가정!$B$17</f>
        <v>0</v>
      </c>
      <c r="H687" s="24" t="n">
        <f aca="false">E687-G687</f>
        <v>199553.668341709</v>
      </c>
      <c r="I687" s="24" t="n">
        <f aca="false">I686+D687</f>
        <v>226520</v>
      </c>
      <c r="J687" s="16" t="n">
        <f aca="false">(H687+D687)*가정!$B$10</f>
        <v>200053.668341709</v>
      </c>
      <c r="K687" s="24" t="n">
        <f aca="false">A687*가정!$B$8*가정!$B$7</f>
        <v>3415</v>
      </c>
      <c r="L687" s="11" t="n">
        <f aca="false">C687+F687</f>
        <v>100</v>
      </c>
    </row>
    <row r="688" customFormat="false" ht="15" hidden="false" customHeight="false" outlineLevel="0" collapsed="false">
      <c r="A688" s="11" t="n">
        <v>684</v>
      </c>
      <c r="B688" s="11" t="n">
        <f aca="false">MATCH(A688,월별!$C$6:$C$41,1)</f>
        <v>23</v>
      </c>
      <c r="C688" s="11" t="n">
        <f aca="false">L687</f>
        <v>100</v>
      </c>
      <c r="D688" s="24" t="n">
        <f aca="false">C688*가정!$B$8</f>
        <v>500</v>
      </c>
      <c r="E688" s="24" t="n">
        <f aca="false">H687+D687</f>
        <v>200053.668341709</v>
      </c>
      <c r="F688" s="11" t="n">
        <f aca="false">IF(가정!$B$11=1,MAX(0,MIN(가정!$B$16-C688,INT(E688/가정!$B$17))),0)</f>
        <v>0</v>
      </c>
      <c r="G688" s="24" t="n">
        <f aca="false">F688*가정!$B$17</f>
        <v>0</v>
      </c>
      <c r="H688" s="24" t="n">
        <f aca="false">E688-G688</f>
        <v>200053.668341709</v>
      </c>
      <c r="I688" s="24" t="n">
        <f aca="false">I687+D688</f>
        <v>227020</v>
      </c>
      <c r="J688" s="16" t="n">
        <f aca="false">(H688+D688)*가정!$B$10</f>
        <v>200553.668341709</v>
      </c>
      <c r="K688" s="24" t="n">
        <f aca="false">A688*가정!$B$8*가정!$B$7</f>
        <v>3420</v>
      </c>
      <c r="L688" s="11" t="n">
        <f aca="false">C688+F688</f>
        <v>100</v>
      </c>
    </row>
    <row r="689" customFormat="false" ht="15" hidden="false" customHeight="false" outlineLevel="0" collapsed="false">
      <c r="A689" s="11" t="n">
        <v>685</v>
      </c>
      <c r="B689" s="11" t="n">
        <f aca="false">MATCH(A689,월별!$C$6:$C$41,1)</f>
        <v>23</v>
      </c>
      <c r="C689" s="11" t="n">
        <f aca="false">L688</f>
        <v>100</v>
      </c>
      <c r="D689" s="24" t="n">
        <f aca="false">C689*가정!$B$8</f>
        <v>500</v>
      </c>
      <c r="E689" s="24" t="n">
        <f aca="false">H688+D688</f>
        <v>200553.668341709</v>
      </c>
      <c r="F689" s="11" t="n">
        <f aca="false">IF(가정!$B$11=1,MAX(0,MIN(가정!$B$16-C689,INT(E689/가정!$B$17))),0)</f>
        <v>0</v>
      </c>
      <c r="G689" s="24" t="n">
        <f aca="false">F689*가정!$B$17</f>
        <v>0</v>
      </c>
      <c r="H689" s="24" t="n">
        <f aca="false">E689-G689</f>
        <v>200553.668341709</v>
      </c>
      <c r="I689" s="24" t="n">
        <f aca="false">I688+D689</f>
        <v>227520</v>
      </c>
      <c r="J689" s="16" t="n">
        <f aca="false">(H689+D689)*가정!$B$10</f>
        <v>201053.668341709</v>
      </c>
      <c r="K689" s="24" t="n">
        <f aca="false">A689*가정!$B$8*가정!$B$7</f>
        <v>3425</v>
      </c>
      <c r="L689" s="11" t="n">
        <f aca="false">C689+F689</f>
        <v>100</v>
      </c>
    </row>
    <row r="690" customFormat="false" ht="15" hidden="false" customHeight="false" outlineLevel="0" collapsed="false">
      <c r="A690" s="11" t="n">
        <v>686</v>
      </c>
      <c r="B690" s="11" t="n">
        <f aca="false">MATCH(A690,월별!$C$6:$C$41,1)</f>
        <v>23</v>
      </c>
      <c r="C690" s="11" t="n">
        <f aca="false">L689</f>
        <v>100</v>
      </c>
      <c r="D690" s="24" t="n">
        <f aca="false">C690*가정!$B$8</f>
        <v>500</v>
      </c>
      <c r="E690" s="24" t="n">
        <f aca="false">H689+D689</f>
        <v>201053.668341709</v>
      </c>
      <c r="F690" s="11" t="n">
        <f aca="false">IF(가정!$B$11=1,MAX(0,MIN(가정!$B$16-C690,INT(E690/가정!$B$17))),0)</f>
        <v>0</v>
      </c>
      <c r="G690" s="24" t="n">
        <f aca="false">F690*가정!$B$17</f>
        <v>0</v>
      </c>
      <c r="H690" s="24" t="n">
        <f aca="false">E690-G690</f>
        <v>201053.668341709</v>
      </c>
      <c r="I690" s="24" t="n">
        <f aca="false">I689+D690</f>
        <v>228020</v>
      </c>
      <c r="J690" s="16" t="n">
        <f aca="false">(H690+D690)*가정!$B$10</f>
        <v>201553.668341709</v>
      </c>
      <c r="K690" s="24" t="n">
        <f aca="false">A690*가정!$B$8*가정!$B$7</f>
        <v>3430</v>
      </c>
      <c r="L690" s="11" t="n">
        <f aca="false">C690+F690</f>
        <v>100</v>
      </c>
    </row>
    <row r="691" customFormat="false" ht="15" hidden="false" customHeight="false" outlineLevel="0" collapsed="false">
      <c r="A691" s="11" t="n">
        <v>687</v>
      </c>
      <c r="B691" s="11" t="n">
        <f aca="false">MATCH(A691,월별!$C$6:$C$41,1)</f>
        <v>23</v>
      </c>
      <c r="C691" s="11" t="n">
        <f aca="false">L690</f>
        <v>100</v>
      </c>
      <c r="D691" s="24" t="n">
        <f aca="false">C691*가정!$B$8</f>
        <v>500</v>
      </c>
      <c r="E691" s="24" t="n">
        <f aca="false">H690+D690</f>
        <v>201553.668341709</v>
      </c>
      <c r="F691" s="11" t="n">
        <f aca="false">IF(가정!$B$11=1,MAX(0,MIN(가정!$B$16-C691,INT(E691/가정!$B$17))),0)</f>
        <v>0</v>
      </c>
      <c r="G691" s="24" t="n">
        <f aca="false">F691*가정!$B$17</f>
        <v>0</v>
      </c>
      <c r="H691" s="24" t="n">
        <f aca="false">E691-G691</f>
        <v>201553.668341709</v>
      </c>
      <c r="I691" s="24" t="n">
        <f aca="false">I690+D691</f>
        <v>228520</v>
      </c>
      <c r="J691" s="16" t="n">
        <f aca="false">(H691+D691)*가정!$B$10</f>
        <v>202053.668341709</v>
      </c>
      <c r="K691" s="24" t="n">
        <f aca="false">A691*가정!$B$8*가정!$B$7</f>
        <v>3435</v>
      </c>
      <c r="L691" s="11" t="n">
        <f aca="false">C691+F691</f>
        <v>100</v>
      </c>
    </row>
    <row r="692" customFormat="false" ht="15" hidden="false" customHeight="false" outlineLevel="0" collapsed="false">
      <c r="A692" s="11" t="n">
        <v>688</v>
      </c>
      <c r="B692" s="11" t="n">
        <f aca="false">MATCH(A692,월별!$C$6:$C$41,1)</f>
        <v>23</v>
      </c>
      <c r="C692" s="11" t="n">
        <f aca="false">L691</f>
        <v>100</v>
      </c>
      <c r="D692" s="24" t="n">
        <f aca="false">C692*가정!$B$8</f>
        <v>500</v>
      </c>
      <c r="E692" s="24" t="n">
        <f aca="false">H691+D691</f>
        <v>202053.668341709</v>
      </c>
      <c r="F692" s="11" t="n">
        <f aca="false">IF(가정!$B$11=1,MAX(0,MIN(가정!$B$16-C692,INT(E692/가정!$B$17))),0)</f>
        <v>0</v>
      </c>
      <c r="G692" s="24" t="n">
        <f aca="false">F692*가정!$B$17</f>
        <v>0</v>
      </c>
      <c r="H692" s="24" t="n">
        <f aca="false">E692-G692</f>
        <v>202053.668341709</v>
      </c>
      <c r="I692" s="24" t="n">
        <f aca="false">I691+D692</f>
        <v>229020</v>
      </c>
      <c r="J692" s="16" t="n">
        <f aca="false">(H692+D692)*가정!$B$10</f>
        <v>202553.668341709</v>
      </c>
      <c r="K692" s="24" t="n">
        <f aca="false">A692*가정!$B$8*가정!$B$7</f>
        <v>3440</v>
      </c>
      <c r="L692" s="11" t="n">
        <f aca="false">C692+F692</f>
        <v>100</v>
      </c>
    </row>
    <row r="693" customFormat="false" ht="15" hidden="false" customHeight="false" outlineLevel="0" collapsed="false">
      <c r="A693" s="11" t="n">
        <v>689</v>
      </c>
      <c r="B693" s="11" t="n">
        <f aca="false">MATCH(A693,월별!$C$6:$C$41,1)</f>
        <v>23</v>
      </c>
      <c r="C693" s="11" t="n">
        <f aca="false">L692</f>
        <v>100</v>
      </c>
      <c r="D693" s="24" t="n">
        <f aca="false">C693*가정!$B$8</f>
        <v>500</v>
      </c>
      <c r="E693" s="24" t="n">
        <f aca="false">H692+D692</f>
        <v>202553.668341709</v>
      </c>
      <c r="F693" s="11" t="n">
        <f aca="false">IF(가정!$B$11=1,MAX(0,MIN(가정!$B$16-C693,INT(E693/가정!$B$17))),0)</f>
        <v>0</v>
      </c>
      <c r="G693" s="24" t="n">
        <f aca="false">F693*가정!$B$17</f>
        <v>0</v>
      </c>
      <c r="H693" s="24" t="n">
        <f aca="false">E693-G693</f>
        <v>202553.668341709</v>
      </c>
      <c r="I693" s="24" t="n">
        <f aca="false">I692+D693</f>
        <v>229520</v>
      </c>
      <c r="J693" s="16" t="n">
        <f aca="false">(H693+D693)*가정!$B$10</f>
        <v>203053.668341709</v>
      </c>
      <c r="K693" s="24" t="n">
        <f aca="false">A693*가정!$B$8*가정!$B$7</f>
        <v>3445</v>
      </c>
      <c r="L693" s="11" t="n">
        <f aca="false">C693+F693</f>
        <v>100</v>
      </c>
    </row>
    <row r="694" customFormat="false" ht="15" hidden="false" customHeight="false" outlineLevel="0" collapsed="false">
      <c r="A694" s="11" t="n">
        <v>690</v>
      </c>
      <c r="B694" s="11" t="n">
        <f aca="false">MATCH(A694,월별!$C$6:$C$41,1)</f>
        <v>23</v>
      </c>
      <c r="C694" s="11" t="n">
        <f aca="false">L693</f>
        <v>100</v>
      </c>
      <c r="D694" s="24" t="n">
        <f aca="false">C694*가정!$B$8</f>
        <v>500</v>
      </c>
      <c r="E694" s="24" t="n">
        <f aca="false">H693+D693</f>
        <v>203053.668341709</v>
      </c>
      <c r="F694" s="11" t="n">
        <f aca="false">IF(가정!$B$11=1,MAX(0,MIN(가정!$B$16-C694,INT(E694/가정!$B$17))),0)</f>
        <v>0</v>
      </c>
      <c r="G694" s="24" t="n">
        <f aca="false">F694*가정!$B$17</f>
        <v>0</v>
      </c>
      <c r="H694" s="24" t="n">
        <f aca="false">E694-G694</f>
        <v>203053.668341709</v>
      </c>
      <c r="I694" s="24" t="n">
        <f aca="false">I693+D694</f>
        <v>230020</v>
      </c>
      <c r="J694" s="16" t="n">
        <f aca="false">(H694+D694)*가정!$B$10</f>
        <v>203553.668341709</v>
      </c>
      <c r="K694" s="24" t="n">
        <f aca="false">A694*가정!$B$8*가정!$B$7</f>
        <v>3450</v>
      </c>
      <c r="L694" s="11" t="n">
        <f aca="false">C694+F694</f>
        <v>100</v>
      </c>
    </row>
    <row r="695" customFormat="false" ht="15" hidden="false" customHeight="false" outlineLevel="0" collapsed="false">
      <c r="A695" s="11" t="n">
        <v>691</v>
      </c>
      <c r="B695" s="11" t="n">
        <f aca="false">MATCH(A695,월별!$C$6:$C$41,1)</f>
        <v>23</v>
      </c>
      <c r="C695" s="11" t="n">
        <f aca="false">L694</f>
        <v>100</v>
      </c>
      <c r="D695" s="24" t="n">
        <f aca="false">C695*가정!$B$8</f>
        <v>500</v>
      </c>
      <c r="E695" s="24" t="n">
        <f aca="false">H694+D694</f>
        <v>203553.668341709</v>
      </c>
      <c r="F695" s="11" t="n">
        <f aca="false">IF(가정!$B$11=1,MAX(0,MIN(가정!$B$16-C695,INT(E695/가정!$B$17))),0)</f>
        <v>0</v>
      </c>
      <c r="G695" s="24" t="n">
        <f aca="false">F695*가정!$B$17</f>
        <v>0</v>
      </c>
      <c r="H695" s="24" t="n">
        <f aca="false">E695-G695</f>
        <v>203553.668341709</v>
      </c>
      <c r="I695" s="24" t="n">
        <f aca="false">I694+D695</f>
        <v>230520</v>
      </c>
      <c r="J695" s="16" t="n">
        <f aca="false">(H695+D695)*가정!$B$10</f>
        <v>204053.668341709</v>
      </c>
      <c r="K695" s="24" t="n">
        <f aca="false">A695*가정!$B$8*가정!$B$7</f>
        <v>3455</v>
      </c>
      <c r="L695" s="11" t="n">
        <f aca="false">C695+F695</f>
        <v>100</v>
      </c>
    </row>
    <row r="696" customFormat="false" ht="15" hidden="false" customHeight="false" outlineLevel="0" collapsed="false">
      <c r="A696" s="11" t="n">
        <v>692</v>
      </c>
      <c r="B696" s="11" t="n">
        <f aca="false">MATCH(A696,월별!$C$6:$C$41,1)</f>
        <v>23</v>
      </c>
      <c r="C696" s="11" t="n">
        <f aca="false">L695</f>
        <v>100</v>
      </c>
      <c r="D696" s="24" t="n">
        <f aca="false">C696*가정!$B$8</f>
        <v>500</v>
      </c>
      <c r="E696" s="24" t="n">
        <f aca="false">H695+D695</f>
        <v>204053.668341709</v>
      </c>
      <c r="F696" s="11" t="n">
        <f aca="false">IF(가정!$B$11=1,MAX(0,MIN(가정!$B$16-C696,INT(E696/가정!$B$17))),0)</f>
        <v>0</v>
      </c>
      <c r="G696" s="24" t="n">
        <f aca="false">F696*가정!$B$17</f>
        <v>0</v>
      </c>
      <c r="H696" s="24" t="n">
        <f aca="false">E696-G696</f>
        <v>204053.668341709</v>
      </c>
      <c r="I696" s="24" t="n">
        <f aca="false">I695+D696</f>
        <v>231020</v>
      </c>
      <c r="J696" s="16" t="n">
        <f aca="false">(H696+D696)*가정!$B$10</f>
        <v>204553.668341709</v>
      </c>
      <c r="K696" s="24" t="n">
        <f aca="false">A696*가정!$B$8*가정!$B$7</f>
        <v>3460</v>
      </c>
      <c r="L696" s="11" t="n">
        <f aca="false">C696+F696</f>
        <v>100</v>
      </c>
    </row>
    <row r="697" customFormat="false" ht="15" hidden="false" customHeight="false" outlineLevel="0" collapsed="false">
      <c r="A697" s="11" t="n">
        <v>693</v>
      </c>
      <c r="B697" s="11" t="n">
        <f aca="false">MATCH(A697,월별!$C$6:$C$41,1)</f>
        <v>23</v>
      </c>
      <c r="C697" s="11" t="n">
        <f aca="false">L696</f>
        <v>100</v>
      </c>
      <c r="D697" s="24" t="n">
        <f aca="false">C697*가정!$B$8</f>
        <v>500</v>
      </c>
      <c r="E697" s="24" t="n">
        <f aca="false">H696+D696</f>
        <v>204553.668341709</v>
      </c>
      <c r="F697" s="11" t="n">
        <f aca="false">IF(가정!$B$11=1,MAX(0,MIN(가정!$B$16-C697,INT(E697/가정!$B$17))),0)</f>
        <v>0</v>
      </c>
      <c r="G697" s="24" t="n">
        <f aca="false">F697*가정!$B$17</f>
        <v>0</v>
      </c>
      <c r="H697" s="24" t="n">
        <f aca="false">E697-G697</f>
        <v>204553.668341709</v>
      </c>
      <c r="I697" s="24" t="n">
        <f aca="false">I696+D697</f>
        <v>231520</v>
      </c>
      <c r="J697" s="16" t="n">
        <f aca="false">(H697+D697)*가정!$B$10</f>
        <v>205053.668341709</v>
      </c>
      <c r="K697" s="24" t="n">
        <f aca="false">A697*가정!$B$8*가정!$B$7</f>
        <v>3465</v>
      </c>
      <c r="L697" s="11" t="n">
        <f aca="false">C697+F697</f>
        <v>100</v>
      </c>
    </row>
    <row r="698" customFormat="false" ht="15" hidden="false" customHeight="false" outlineLevel="0" collapsed="false">
      <c r="A698" s="11" t="n">
        <v>694</v>
      </c>
      <c r="B698" s="11" t="n">
        <f aca="false">MATCH(A698,월별!$C$6:$C$41,1)</f>
        <v>23</v>
      </c>
      <c r="C698" s="11" t="n">
        <f aca="false">L697</f>
        <v>100</v>
      </c>
      <c r="D698" s="24" t="n">
        <f aca="false">C698*가정!$B$8</f>
        <v>500</v>
      </c>
      <c r="E698" s="24" t="n">
        <f aca="false">H697+D697</f>
        <v>205053.668341709</v>
      </c>
      <c r="F698" s="11" t="n">
        <f aca="false">IF(가정!$B$11=1,MAX(0,MIN(가정!$B$16-C698,INT(E698/가정!$B$17))),0)</f>
        <v>0</v>
      </c>
      <c r="G698" s="24" t="n">
        <f aca="false">F698*가정!$B$17</f>
        <v>0</v>
      </c>
      <c r="H698" s="24" t="n">
        <f aca="false">E698-G698</f>
        <v>205053.668341709</v>
      </c>
      <c r="I698" s="24" t="n">
        <f aca="false">I697+D698</f>
        <v>232020</v>
      </c>
      <c r="J698" s="16" t="n">
        <f aca="false">(H698+D698)*가정!$B$10</f>
        <v>205553.668341709</v>
      </c>
      <c r="K698" s="24" t="n">
        <f aca="false">A698*가정!$B$8*가정!$B$7</f>
        <v>3470</v>
      </c>
      <c r="L698" s="11" t="n">
        <f aca="false">C698+F698</f>
        <v>100</v>
      </c>
    </row>
    <row r="699" customFormat="false" ht="15" hidden="false" customHeight="false" outlineLevel="0" collapsed="false">
      <c r="A699" s="11" t="n">
        <v>695</v>
      </c>
      <c r="B699" s="11" t="n">
        <f aca="false">MATCH(A699,월별!$C$6:$C$41,1)</f>
        <v>23</v>
      </c>
      <c r="C699" s="11" t="n">
        <f aca="false">L698</f>
        <v>100</v>
      </c>
      <c r="D699" s="24" t="n">
        <f aca="false">C699*가정!$B$8</f>
        <v>500</v>
      </c>
      <c r="E699" s="24" t="n">
        <f aca="false">H698+D698</f>
        <v>205553.668341709</v>
      </c>
      <c r="F699" s="11" t="n">
        <f aca="false">IF(가정!$B$11=1,MAX(0,MIN(가정!$B$16-C699,INT(E699/가정!$B$17))),0)</f>
        <v>0</v>
      </c>
      <c r="G699" s="24" t="n">
        <f aca="false">F699*가정!$B$17</f>
        <v>0</v>
      </c>
      <c r="H699" s="24" t="n">
        <f aca="false">E699-G699</f>
        <v>205553.668341709</v>
      </c>
      <c r="I699" s="24" t="n">
        <f aca="false">I698+D699</f>
        <v>232520</v>
      </c>
      <c r="J699" s="16" t="n">
        <f aca="false">(H699+D699)*가정!$B$10</f>
        <v>206053.668341709</v>
      </c>
      <c r="K699" s="24" t="n">
        <f aca="false">A699*가정!$B$8*가정!$B$7</f>
        <v>3475</v>
      </c>
      <c r="L699" s="11" t="n">
        <f aca="false">C699+F699</f>
        <v>100</v>
      </c>
    </row>
    <row r="700" customFormat="false" ht="15" hidden="false" customHeight="false" outlineLevel="0" collapsed="false">
      <c r="A700" s="11" t="n">
        <v>696</v>
      </c>
      <c r="B700" s="11" t="n">
        <f aca="false">MATCH(A700,월별!$C$6:$C$41,1)</f>
        <v>23</v>
      </c>
      <c r="C700" s="11" t="n">
        <f aca="false">L699</f>
        <v>100</v>
      </c>
      <c r="D700" s="24" t="n">
        <f aca="false">C700*가정!$B$8</f>
        <v>500</v>
      </c>
      <c r="E700" s="24" t="n">
        <f aca="false">H699+D699</f>
        <v>206053.668341709</v>
      </c>
      <c r="F700" s="11" t="n">
        <f aca="false">IF(가정!$B$11=1,MAX(0,MIN(가정!$B$16-C700,INT(E700/가정!$B$17))),0)</f>
        <v>0</v>
      </c>
      <c r="G700" s="24" t="n">
        <f aca="false">F700*가정!$B$17</f>
        <v>0</v>
      </c>
      <c r="H700" s="24" t="n">
        <f aca="false">E700-G700</f>
        <v>206053.668341709</v>
      </c>
      <c r="I700" s="24" t="n">
        <f aca="false">I699+D700</f>
        <v>233020</v>
      </c>
      <c r="J700" s="16" t="n">
        <f aca="false">(H700+D700)*가정!$B$10</f>
        <v>206553.668341709</v>
      </c>
      <c r="K700" s="24" t="n">
        <f aca="false">A700*가정!$B$8*가정!$B$7</f>
        <v>3480</v>
      </c>
      <c r="L700" s="11" t="n">
        <f aca="false">C700+F700</f>
        <v>100</v>
      </c>
    </row>
    <row r="701" customFormat="false" ht="15" hidden="false" customHeight="false" outlineLevel="0" collapsed="false">
      <c r="A701" s="11" t="n">
        <v>697</v>
      </c>
      <c r="B701" s="11" t="n">
        <f aca="false">MATCH(A701,월별!$C$6:$C$41,1)</f>
        <v>23</v>
      </c>
      <c r="C701" s="11" t="n">
        <f aca="false">L700</f>
        <v>100</v>
      </c>
      <c r="D701" s="24" t="n">
        <f aca="false">C701*가정!$B$8</f>
        <v>500</v>
      </c>
      <c r="E701" s="24" t="n">
        <f aca="false">H700+D700</f>
        <v>206553.668341709</v>
      </c>
      <c r="F701" s="11" t="n">
        <f aca="false">IF(가정!$B$11=1,MAX(0,MIN(가정!$B$16-C701,INT(E701/가정!$B$17))),0)</f>
        <v>0</v>
      </c>
      <c r="G701" s="24" t="n">
        <f aca="false">F701*가정!$B$17</f>
        <v>0</v>
      </c>
      <c r="H701" s="24" t="n">
        <f aca="false">E701-G701</f>
        <v>206553.668341709</v>
      </c>
      <c r="I701" s="24" t="n">
        <f aca="false">I700+D701</f>
        <v>233520</v>
      </c>
      <c r="J701" s="16" t="n">
        <f aca="false">(H701+D701)*가정!$B$10</f>
        <v>207053.668341709</v>
      </c>
      <c r="K701" s="24" t="n">
        <f aca="false">A701*가정!$B$8*가정!$B$7</f>
        <v>3485</v>
      </c>
      <c r="L701" s="11" t="n">
        <f aca="false">C701+F701</f>
        <v>100</v>
      </c>
    </row>
    <row r="702" customFormat="false" ht="15" hidden="false" customHeight="false" outlineLevel="0" collapsed="false">
      <c r="A702" s="11" t="n">
        <v>698</v>
      </c>
      <c r="B702" s="11" t="n">
        <f aca="false">MATCH(A702,월별!$C$6:$C$41,1)</f>
        <v>23</v>
      </c>
      <c r="C702" s="11" t="n">
        <f aca="false">L701</f>
        <v>100</v>
      </c>
      <c r="D702" s="24" t="n">
        <f aca="false">C702*가정!$B$8</f>
        <v>500</v>
      </c>
      <c r="E702" s="24" t="n">
        <f aca="false">H701+D701</f>
        <v>207053.668341709</v>
      </c>
      <c r="F702" s="11" t="n">
        <f aca="false">IF(가정!$B$11=1,MAX(0,MIN(가정!$B$16-C702,INT(E702/가정!$B$17))),0)</f>
        <v>0</v>
      </c>
      <c r="G702" s="24" t="n">
        <f aca="false">F702*가정!$B$17</f>
        <v>0</v>
      </c>
      <c r="H702" s="24" t="n">
        <f aca="false">E702-G702</f>
        <v>207053.668341709</v>
      </c>
      <c r="I702" s="24" t="n">
        <f aca="false">I701+D702</f>
        <v>234020</v>
      </c>
      <c r="J702" s="16" t="n">
        <f aca="false">(H702+D702)*가정!$B$10</f>
        <v>207553.668341709</v>
      </c>
      <c r="K702" s="24" t="n">
        <f aca="false">A702*가정!$B$8*가정!$B$7</f>
        <v>3490</v>
      </c>
      <c r="L702" s="11" t="n">
        <f aca="false">C702+F702</f>
        <v>100</v>
      </c>
    </row>
    <row r="703" customFormat="false" ht="15" hidden="false" customHeight="false" outlineLevel="0" collapsed="false">
      <c r="A703" s="11" t="n">
        <v>699</v>
      </c>
      <c r="B703" s="11" t="n">
        <f aca="false">MATCH(A703,월별!$C$6:$C$41,1)</f>
        <v>23</v>
      </c>
      <c r="C703" s="11" t="n">
        <f aca="false">L702</f>
        <v>100</v>
      </c>
      <c r="D703" s="24" t="n">
        <f aca="false">C703*가정!$B$8</f>
        <v>500</v>
      </c>
      <c r="E703" s="24" t="n">
        <f aca="false">H702+D702</f>
        <v>207553.668341709</v>
      </c>
      <c r="F703" s="11" t="n">
        <f aca="false">IF(가정!$B$11=1,MAX(0,MIN(가정!$B$16-C703,INT(E703/가정!$B$17))),0)</f>
        <v>0</v>
      </c>
      <c r="G703" s="24" t="n">
        <f aca="false">F703*가정!$B$17</f>
        <v>0</v>
      </c>
      <c r="H703" s="24" t="n">
        <f aca="false">E703-G703</f>
        <v>207553.668341709</v>
      </c>
      <c r="I703" s="24" t="n">
        <f aca="false">I702+D703</f>
        <v>234520</v>
      </c>
      <c r="J703" s="16" t="n">
        <f aca="false">(H703+D703)*가정!$B$10</f>
        <v>208053.668341709</v>
      </c>
      <c r="K703" s="24" t="n">
        <f aca="false">A703*가정!$B$8*가정!$B$7</f>
        <v>3495</v>
      </c>
      <c r="L703" s="11" t="n">
        <f aca="false">C703+F703</f>
        <v>100</v>
      </c>
    </row>
    <row r="704" customFormat="false" ht="15" hidden="false" customHeight="false" outlineLevel="0" collapsed="false">
      <c r="A704" s="11" t="n">
        <v>700</v>
      </c>
      <c r="B704" s="11" t="n">
        <f aca="false">MATCH(A704,월별!$C$6:$C$41,1)</f>
        <v>23</v>
      </c>
      <c r="C704" s="11" t="n">
        <f aca="false">L703</f>
        <v>100</v>
      </c>
      <c r="D704" s="24" t="n">
        <f aca="false">C704*가정!$B$8</f>
        <v>500</v>
      </c>
      <c r="E704" s="24" t="n">
        <f aca="false">H703+D703</f>
        <v>208053.668341709</v>
      </c>
      <c r="F704" s="11" t="n">
        <f aca="false">IF(가정!$B$11=1,MAX(0,MIN(가정!$B$16-C704,INT(E704/가정!$B$17))),0)</f>
        <v>0</v>
      </c>
      <c r="G704" s="24" t="n">
        <f aca="false">F704*가정!$B$17</f>
        <v>0</v>
      </c>
      <c r="H704" s="24" t="n">
        <f aca="false">E704-G704</f>
        <v>208053.668341709</v>
      </c>
      <c r="I704" s="24" t="n">
        <f aca="false">I703+D704</f>
        <v>235020</v>
      </c>
      <c r="J704" s="16" t="n">
        <f aca="false">(H704+D704)*가정!$B$10</f>
        <v>208553.668341709</v>
      </c>
      <c r="K704" s="24" t="n">
        <f aca="false">A704*가정!$B$8*가정!$B$7</f>
        <v>3500</v>
      </c>
      <c r="L704" s="11" t="n">
        <f aca="false">C704+F704</f>
        <v>100</v>
      </c>
    </row>
    <row r="705" customFormat="false" ht="15" hidden="false" customHeight="false" outlineLevel="0" collapsed="false">
      <c r="A705" s="11" t="n">
        <v>701</v>
      </c>
      <c r="B705" s="11" t="n">
        <f aca="false">MATCH(A705,월별!$C$6:$C$41,1)</f>
        <v>24</v>
      </c>
      <c r="C705" s="11" t="n">
        <f aca="false">L704</f>
        <v>100</v>
      </c>
      <c r="D705" s="24" t="n">
        <f aca="false">C705*가정!$B$8</f>
        <v>500</v>
      </c>
      <c r="E705" s="24" t="n">
        <f aca="false">H704+D704</f>
        <v>208553.668341709</v>
      </c>
      <c r="F705" s="11" t="n">
        <f aca="false">IF(가정!$B$11=1,MAX(0,MIN(가정!$B$16-C705,INT(E705/가정!$B$17))),0)</f>
        <v>0</v>
      </c>
      <c r="G705" s="24" t="n">
        <f aca="false">F705*가정!$B$17</f>
        <v>0</v>
      </c>
      <c r="H705" s="24" t="n">
        <f aca="false">E705-G705</f>
        <v>208553.668341709</v>
      </c>
      <c r="I705" s="24" t="n">
        <f aca="false">I704+D705</f>
        <v>235520</v>
      </c>
      <c r="J705" s="16" t="n">
        <f aca="false">(H705+D705)*가정!$B$10</f>
        <v>209053.668341709</v>
      </c>
      <c r="K705" s="24" t="n">
        <f aca="false">A705*가정!$B$8*가정!$B$7</f>
        <v>3505</v>
      </c>
      <c r="L705" s="11" t="n">
        <f aca="false">C705+F705</f>
        <v>100</v>
      </c>
    </row>
    <row r="706" customFormat="false" ht="15" hidden="false" customHeight="false" outlineLevel="0" collapsed="false">
      <c r="A706" s="11" t="n">
        <v>702</v>
      </c>
      <c r="B706" s="11" t="n">
        <f aca="false">MATCH(A706,월별!$C$6:$C$41,1)</f>
        <v>24</v>
      </c>
      <c r="C706" s="11" t="n">
        <f aca="false">L705</f>
        <v>100</v>
      </c>
      <c r="D706" s="24" t="n">
        <f aca="false">C706*가정!$B$8</f>
        <v>500</v>
      </c>
      <c r="E706" s="24" t="n">
        <f aca="false">H705+D705</f>
        <v>209053.668341709</v>
      </c>
      <c r="F706" s="11" t="n">
        <f aca="false">IF(가정!$B$11=1,MAX(0,MIN(가정!$B$16-C706,INT(E706/가정!$B$17))),0)</f>
        <v>0</v>
      </c>
      <c r="G706" s="24" t="n">
        <f aca="false">F706*가정!$B$17</f>
        <v>0</v>
      </c>
      <c r="H706" s="24" t="n">
        <f aca="false">E706-G706</f>
        <v>209053.668341709</v>
      </c>
      <c r="I706" s="24" t="n">
        <f aca="false">I705+D706</f>
        <v>236020</v>
      </c>
      <c r="J706" s="16" t="n">
        <f aca="false">(H706+D706)*가정!$B$10</f>
        <v>209553.668341709</v>
      </c>
      <c r="K706" s="24" t="n">
        <f aca="false">A706*가정!$B$8*가정!$B$7</f>
        <v>3510</v>
      </c>
      <c r="L706" s="11" t="n">
        <f aca="false">C706+F706</f>
        <v>100</v>
      </c>
    </row>
    <row r="707" customFormat="false" ht="15" hidden="false" customHeight="false" outlineLevel="0" collapsed="false">
      <c r="A707" s="11" t="n">
        <v>703</v>
      </c>
      <c r="B707" s="11" t="n">
        <f aca="false">MATCH(A707,월별!$C$6:$C$41,1)</f>
        <v>24</v>
      </c>
      <c r="C707" s="11" t="n">
        <f aca="false">L706</f>
        <v>100</v>
      </c>
      <c r="D707" s="24" t="n">
        <f aca="false">C707*가정!$B$8</f>
        <v>500</v>
      </c>
      <c r="E707" s="24" t="n">
        <f aca="false">H706+D706</f>
        <v>209553.668341709</v>
      </c>
      <c r="F707" s="11" t="n">
        <f aca="false">IF(가정!$B$11=1,MAX(0,MIN(가정!$B$16-C707,INT(E707/가정!$B$17))),0)</f>
        <v>0</v>
      </c>
      <c r="G707" s="24" t="n">
        <f aca="false">F707*가정!$B$17</f>
        <v>0</v>
      </c>
      <c r="H707" s="24" t="n">
        <f aca="false">E707-G707</f>
        <v>209553.668341709</v>
      </c>
      <c r="I707" s="24" t="n">
        <f aca="false">I706+D707</f>
        <v>236520</v>
      </c>
      <c r="J707" s="16" t="n">
        <f aca="false">(H707+D707)*가정!$B$10</f>
        <v>210053.668341709</v>
      </c>
      <c r="K707" s="24" t="n">
        <f aca="false">A707*가정!$B$8*가정!$B$7</f>
        <v>3515</v>
      </c>
      <c r="L707" s="11" t="n">
        <f aca="false">C707+F707</f>
        <v>100</v>
      </c>
    </row>
    <row r="708" customFormat="false" ht="15" hidden="false" customHeight="false" outlineLevel="0" collapsed="false">
      <c r="A708" s="11" t="n">
        <v>704</v>
      </c>
      <c r="B708" s="11" t="n">
        <f aca="false">MATCH(A708,월별!$C$6:$C$41,1)</f>
        <v>24</v>
      </c>
      <c r="C708" s="11" t="n">
        <f aca="false">L707</f>
        <v>100</v>
      </c>
      <c r="D708" s="24" t="n">
        <f aca="false">C708*가정!$B$8</f>
        <v>500</v>
      </c>
      <c r="E708" s="24" t="n">
        <f aca="false">H707+D707</f>
        <v>210053.668341709</v>
      </c>
      <c r="F708" s="11" t="n">
        <f aca="false">IF(가정!$B$11=1,MAX(0,MIN(가정!$B$16-C708,INT(E708/가정!$B$17))),0)</f>
        <v>0</v>
      </c>
      <c r="G708" s="24" t="n">
        <f aca="false">F708*가정!$B$17</f>
        <v>0</v>
      </c>
      <c r="H708" s="24" t="n">
        <f aca="false">E708-G708</f>
        <v>210053.668341709</v>
      </c>
      <c r="I708" s="24" t="n">
        <f aca="false">I707+D708</f>
        <v>237020</v>
      </c>
      <c r="J708" s="16" t="n">
        <f aca="false">(H708+D708)*가정!$B$10</f>
        <v>210553.668341709</v>
      </c>
      <c r="K708" s="24" t="n">
        <f aca="false">A708*가정!$B$8*가정!$B$7</f>
        <v>3520</v>
      </c>
      <c r="L708" s="11" t="n">
        <f aca="false">C708+F708</f>
        <v>100</v>
      </c>
    </row>
    <row r="709" customFormat="false" ht="15" hidden="false" customHeight="false" outlineLevel="0" collapsed="false">
      <c r="A709" s="11" t="n">
        <v>705</v>
      </c>
      <c r="B709" s="11" t="n">
        <f aca="false">MATCH(A709,월별!$C$6:$C$41,1)</f>
        <v>24</v>
      </c>
      <c r="C709" s="11" t="n">
        <f aca="false">L708</f>
        <v>100</v>
      </c>
      <c r="D709" s="24" t="n">
        <f aca="false">C709*가정!$B$8</f>
        <v>500</v>
      </c>
      <c r="E709" s="24" t="n">
        <f aca="false">H708+D708</f>
        <v>210553.668341709</v>
      </c>
      <c r="F709" s="11" t="n">
        <f aca="false">IF(가정!$B$11=1,MAX(0,MIN(가정!$B$16-C709,INT(E709/가정!$B$17))),0)</f>
        <v>0</v>
      </c>
      <c r="G709" s="24" t="n">
        <f aca="false">F709*가정!$B$17</f>
        <v>0</v>
      </c>
      <c r="H709" s="24" t="n">
        <f aca="false">E709-G709</f>
        <v>210553.668341709</v>
      </c>
      <c r="I709" s="24" t="n">
        <f aca="false">I708+D709</f>
        <v>237520</v>
      </c>
      <c r="J709" s="16" t="n">
        <f aca="false">(H709+D709)*가정!$B$10</f>
        <v>211053.668341709</v>
      </c>
      <c r="K709" s="24" t="n">
        <f aca="false">A709*가정!$B$8*가정!$B$7</f>
        <v>3525</v>
      </c>
      <c r="L709" s="11" t="n">
        <f aca="false">C709+F709</f>
        <v>100</v>
      </c>
    </row>
    <row r="710" customFormat="false" ht="15" hidden="false" customHeight="false" outlineLevel="0" collapsed="false">
      <c r="A710" s="11" t="n">
        <v>706</v>
      </c>
      <c r="B710" s="11" t="n">
        <f aca="false">MATCH(A710,월별!$C$6:$C$41,1)</f>
        <v>24</v>
      </c>
      <c r="C710" s="11" t="n">
        <f aca="false">L709</f>
        <v>100</v>
      </c>
      <c r="D710" s="24" t="n">
        <f aca="false">C710*가정!$B$8</f>
        <v>500</v>
      </c>
      <c r="E710" s="24" t="n">
        <f aca="false">H709+D709</f>
        <v>211053.668341709</v>
      </c>
      <c r="F710" s="11" t="n">
        <f aca="false">IF(가정!$B$11=1,MAX(0,MIN(가정!$B$16-C710,INT(E710/가정!$B$17))),0)</f>
        <v>0</v>
      </c>
      <c r="G710" s="24" t="n">
        <f aca="false">F710*가정!$B$17</f>
        <v>0</v>
      </c>
      <c r="H710" s="24" t="n">
        <f aca="false">E710-G710</f>
        <v>211053.668341709</v>
      </c>
      <c r="I710" s="24" t="n">
        <f aca="false">I709+D710</f>
        <v>238020</v>
      </c>
      <c r="J710" s="16" t="n">
        <f aca="false">(H710+D710)*가정!$B$10</f>
        <v>211553.668341709</v>
      </c>
      <c r="K710" s="24" t="n">
        <f aca="false">A710*가정!$B$8*가정!$B$7</f>
        <v>3530</v>
      </c>
      <c r="L710" s="11" t="n">
        <f aca="false">C710+F710</f>
        <v>100</v>
      </c>
    </row>
    <row r="711" customFormat="false" ht="15" hidden="false" customHeight="false" outlineLevel="0" collapsed="false">
      <c r="A711" s="11" t="n">
        <v>707</v>
      </c>
      <c r="B711" s="11" t="n">
        <f aca="false">MATCH(A711,월별!$C$6:$C$41,1)</f>
        <v>24</v>
      </c>
      <c r="C711" s="11" t="n">
        <f aca="false">L710</f>
        <v>100</v>
      </c>
      <c r="D711" s="24" t="n">
        <f aca="false">C711*가정!$B$8</f>
        <v>500</v>
      </c>
      <c r="E711" s="24" t="n">
        <f aca="false">H710+D710</f>
        <v>211553.668341709</v>
      </c>
      <c r="F711" s="11" t="n">
        <f aca="false">IF(가정!$B$11=1,MAX(0,MIN(가정!$B$16-C711,INT(E711/가정!$B$17))),0)</f>
        <v>0</v>
      </c>
      <c r="G711" s="24" t="n">
        <f aca="false">F711*가정!$B$17</f>
        <v>0</v>
      </c>
      <c r="H711" s="24" t="n">
        <f aca="false">E711-G711</f>
        <v>211553.668341709</v>
      </c>
      <c r="I711" s="24" t="n">
        <f aca="false">I710+D711</f>
        <v>238520</v>
      </c>
      <c r="J711" s="16" t="n">
        <f aca="false">(H711+D711)*가정!$B$10</f>
        <v>212053.668341709</v>
      </c>
      <c r="K711" s="24" t="n">
        <f aca="false">A711*가정!$B$8*가정!$B$7</f>
        <v>3535</v>
      </c>
      <c r="L711" s="11" t="n">
        <f aca="false">C711+F711</f>
        <v>100</v>
      </c>
    </row>
    <row r="712" customFormat="false" ht="15" hidden="false" customHeight="false" outlineLevel="0" collapsed="false">
      <c r="A712" s="11" t="n">
        <v>708</v>
      </c>
      <c r="B712" s="11" t="n">
        <f aca="false">MATCH(A712,월별!$C$6:$C$41,1)</f>
        <v>24</v>
      </c>
      <c r="C712" s="11" t="n">
        <f aca="false">L711</f>
        <v>100</v>
      </c>
      <c r="D712" s="24" t="n">
        <f aca="false">C712*가정!$B$8</f>
        <v>500</v>
      </c>
      <c r="E712" s="24" t="n">
        <f aca="false">H711+D711</f>
        <v>212053.668341709</v>
      </c>
      <c r="F712" s="11" t="n">
        <f aca="false">IF(가정!$B$11=1,MAX(0,MIN(가정!$B$16-C712,INT(E712/가정!$B$17))),0)</f>
        <v>0</v>
      </c>
      <c r="G712" s="24" t="n">
        <f aca="false">F712*가정!$B$17</f>
        <v>0</v>
      </c>
      <c r="H712" s="24" t="n">
        <f aca="false">E712-G712</f>
        <v>212053.668341709</v>
      </c>
      <c r="I712" s="24" t="n">
        <f aca="false">I711+D712</f>
        <v>239020</v>
      </c>
      <c r="J712" s="16" t="n">
        <f aca="false">(H712+D712)*가정!$B$10</f>
        <v>212553.668341709</v>
      </c>
      <c r="K712" s="24" t="n">
        <f aca="false">A712*가정!$B$8*가정!$B$7</f>
        <v>3540</v>
      </c>
      <c r="L712" s="11" t="n">
        <f aca="false">C712+F712</f>
        <v>100</v>
      </c>
    </row>
    <row r="713" customFormat="false" ht="15" hidden="false" customHeight="false" outlineLevel="0" collapsed="false">
      <c r="A713" s="11" t="n">
        <v>709</v>
      </c>
      <c r="B713" s="11" t="n">
        <f aca="false">MATCH(A713,월별!$C$6:$C$41,1)</f>
        <v>24</v>
      </c>
      <c r="C713" s="11" t="n">
        <f aca="false">L712</f>
        <v>100</v>
      </c>
      <c r="D713" s="24" t="n">
        <f aca="false">C713*가정!$B$8</f>
        <v>500</v>
      </c>
      <c r="E713" s="24" t="n">
        <f aca="false">H712+D712</f>
        <v>212553.668341709</v>
      </c>
      <c r="F713" s="11" t="n">
        <f aca="false">IF(가정!$B$11=1,MAX(0,MIN(가정!$B$16-C713,INT(E713/가정!$B$17))),0)</f>
        <v>0</v>
      </c>
      <c r="G713" s="24" t="n">
        <f aca="false">F713*가정!$B$17</f>
        <v>0</v>
      </c>
      <c r="H713" s="24" t="n">
        <f aca="false">E713-G713</f>
        <v>212553.668341709</v>
      </c>
      <c r="I713" s="24" t="n">
        <f aca="false">I712+D713</f>
        <v>239520</v>
      </c>
      <c r="J713" s="16" t="n">
        <f aca="false">(H713+D713)*가정!$B$10</f>
        <v>213053.668341709</v>
      </c>
      <c r="K713" s="24" t="n">
        <f aca="false">A713*가정!$B$8*가정!$B$7</f>
        <v>3545</v>
      </c>
      <c r="L713" s="11" t="n">
        <f aca="false">C713+F713</f>
        <v>100</v>
      </c>
    </row>
    <row r="714" customFormat="false" ht="15" hidden="false" customHeight="false" outlineLevel="0" collapsed="false">
      <c r="A714" s="11" t="n">
        <v>710</v>
      </c>
      <c r="B714" s="11" t="n">
        <f aca="false">MATCH(A714,월별!$C$6:$C$41,1)</f>
        <v>24</v>
      </c>
      <c r="C714" s="11" t="n">
        <f aca="false">L713</f>
        <v>100</v>
      </c>
      <c r="D714" s="24" t="n">
        <f aca="false">C714*가정!$B$8</f>
        <v>500</v>
      </c>
      <c r="E714" s="24" t="n">
        <f aca="false">H713+D713</f>
        <v>213053.668341709</v>
      </c>
      <c r="F714" s="11" t="n">
        <f aca="false">IF(가정!$B$11=1,MAX(0,MIN(가정!$B$16-C714,INT(E714/가정!$B$17))),0)</f>
        <v>0</v>
      </c>
      <c r="G714" s="24" t="n">
        <f aca="false">F714*가정!$B$17</f>
        <v>0</v>
      </c>
      <c r="H714" s="24" t="n">
        <f aca="false">E714-G714</f>
        <v>213053.668341709</v>
      </c>
      <c r="I714" s="24" t="n">
        <f aca="false">I713+D714</f>
        <v>240020</v>
      </c>
      <c r="J714" s="16" t="n">
        <f aca="false">(H714+D714)*가정!$B$10</f>
        <v>213553.668341709</v>
      </c>
      <c r="K714" s="24" t="n">
        <f aca="false">A714*가정!$B$8*가정!$B$7</f>
        <v>3550</v>
      </c>
      <c r="L714" s="11" t="n">
        <f aca="false">C714+F714</f>
        <v>100</v>
      </c>
    </row>
    <row r="715" customFormat="false" ht="15" hidden="false" customHeight="false" outlineLevel="0" collapsed="false">
      <c r="A715" s="11" t="n">
        <v>711</v>
      </c>
      <c r="B715" s="11" t="n">
        <f aca="false">MATCH(A715,월별!$C$6:$C$41,1)</f>
        <v>24</v>
      </c>
      <c r="C715" s="11" t="n">
        <f aca="false">L714</f>
        <v>100</v>
      </c>
      <c r="D715" s="24" t="n">
        <f aca="false">C715*가정!$B$8</f>
        <v>500</v>
      </c>
      <c r="E715" s="24" t="n">
        <f aca="false">H714+D714</f>
        <v>213553.668341709</v>
      </c>
      <c r="F715" s="11" t="n">
        <f aca="false">IF(가정!$B$11=1,MAX(0,MIN(가정!$B$16-C715,INT(E715/가정!$B$17))),0)</f>
        <v>0</v>
      </c>
      <c r="G715" s="24" t="n">
        <f aca="false">F715*가정!$B$17</f>
        <v>0</v>
      </c>
      <c r="H715" s="24" t="n">
        <f aca="false">E715-G715</f>
        <v>213553.668341709</v>
      </c>
      <c r="I715" s="24" t="n">
        <f aca="false">I714+D715</f>
        <v>240520</v>
      </c>
      <c r="J715" s="16" t="n">
        <f aca="false">(H715+D715)*가정!$B$10</f>
        <v>214053.668341709</v>
      </c>
      <c r="K715" s="24" t="n">
        <f aca="false">A715*가정!$B$8*가정!$B$7</f>
        <v>3555</v>
      </c>
      <c r="L715" s="11" t="n">
        <f aca="false">C715+F715</f>
        <v>100</v>
      </c>
    </row>
    <row r="716" customFormat="false" ht="15" hidden="false" customHeight="false" outlineLevel="0" collapsed="false">
      <c r="A716" s="11" t="n">
        <v>712</v>
      </c>
      <c r="B716" s="11" t="n">
        <f aca="false">MATCH(A716,월별!$C$6:$C$41,1)</f>
        <v>24</v>
      </c>
      <c r="C716" s="11" t="n">
        <f aca="false">L715</f>
        <v>100</v>
      </c>
      <c r="D716" s="24" t="n">
        <f aca="false">C716*가정!$B$8</f>
        <v>500</v>
      </c>
      <c r="E716" s="24" t="n">
        <f aca="false">H715+D715</f>
        <v>214053.668341709</v>
      </c>
      <c r="F716" s="11" t="n">
        <f aca="false">IF(가정!$B$11=1,MAX(0,MIN(가정!$B$16-C716,INT(E716/가정!$B$17))),0)</f>
        <v>0</v>
      </c>
      <c r="G716" s="24" t="n">
        <f aca="false">F716*가정!$B$17</f>
        <v>0</v>
      </c>
      <c r="H716" s="24" t="n">
        <f aca="false">E716-G716</f>
        <v>214053.668341709</v>
      </c>
      <c r="I716" s="24" t="n">
        <f aca="false">I715+D716</f>
        <v>241020</v>
      </c>
      <c r="J716" s="16" t="n">
        <f aca="false">(H716+D716)*가정!$B$10</f>
        <v>214553.668341709</v>
      </c>
      <c r="K716" s="24" t="n">
        <f aca="false">A716*가정!$B$8*가정!$B$7</f>
        <v>3560</v>
      </c>
      <c r="L716" s="11" t="n">
        <f aca="false">C716+F716</f>
        <v>100</v>
      </c>
    </row>
    <row r="717" customFormat="false" ht="15" hidden="false" customHeight="false" outlineLevel="0" collapsed="false">
      <c r="A717" s="11" t="n">
        <v>713</v>
      </c>
      <c r="B717" s="11" t="n">
        <f aca="false">MATCH(A717,월별!$C$6:$C$41,1)</f>
        <v>24</v>
      </c>
      <c r="C717" s="11" t="n">
        <f aca="false">L716</f>
        <v>100</v>
      </c>
      <c r="D717" s="24" t="n">
        <f aca="false">C717*가정!$B$8</f>
        <v>500</v>
      </c>
      <c r="E717" s="24" t="n">
        <f aca="false">H716+D716</f>
        <v>214553.668341709</v>
      </c>
      <c r="F717" s="11" t="n">
        <f aca="false">IF(가정!$B$11=1,MAX(0,MIN(가정!$B$16-C717,INT(E717/가정!$B$17))),0)</f>
        <v>0</v>
      </c>
      <c r="G717" s="24" t="n">
        <f aca="false">F717*가정!$B$17</f>
        <v>0</v>
      </c>
      <c r="H717" s="24" t="n">
        <f aca="false">E717-G717</f>
        <v>214553.668341709</v>
      </c>
      <c r="I717" s="24" t="n">
        <f aca="false">I716+D717</f>
        <v>241520</v>
      </c>
      <c r="J717" s="16" t="n">
        <f aca="false">(H717+D717)*가정!$B$10</f>
        <v>215053.668341709</v>
      </c>
      <c r="K717" s="24" t="n">
        <f aca="false">A717*가정!$B$8*가정!$B$7</f>
        <v>3565</v>
      </c>
      <c r="L717" s="11" t="n">
        <f aca="false">C717+F717</f>
        <v>100</v>
      </c>
    </row>
    <row r="718" customFormat="false" ht="15" hidden="false" customHeight="false" outlineLevel="0" collapsed="false">
      <c r="A718" s="11" t="n">
        <v>714</v>
      </c>
      <c r="B718" s="11" t="n">
        <f aca="false">MATCH(A718,월별!$C$6:$C$41,1)</f>
        <v>24</v>
      </c>
      <c r="C718" s="11" t="n">
        <f aca="false">L717</f>
        <v>100</v>
      </c>
      <c r="D718" s="24" t="n">
        <f aca="false">C718*가정!$B$8</f>
        <v>500</v>
      </c>
      <c r="E718" s="24" t="n">
        <f aca="false">H717+D717</f>
        <v>215053.668341709</v>
      </c>
      <c r="F718" s="11" t="n">
        <f aca="false">IF(가정!$B$11=1,MAX(0,MIN(가정!$B$16-C718,INT(E718/가정!$B$17))),0)</f>
        <v>0</v>
      </c>
      <c r="G718" s="24" t="n">
        <f aca="false">F718*가정!$B$17</f>
        <v>0</v>
      </c>
      <c r="H718" s="24" t="n">
        <f aca="false">E718-G718</f>
        <v>215053.668341709</v>
      </c>
      <c r="I718" s="24" t="n">
        <f aca="false">I717+D718</f>
        <v>242020</v>
      </c>
      <c r="J718" s="16" t="n">
        <f aca="false">(H718+D718)*가정!$B$10</f>
        <v>215553.668341709</v>
      </c>
      <c r="K718" s="24" t="n">
        <f aca="false">A718*가정!$B$8*가정!$B$7</f>
        <v>3570</v>
      </c>
      <c r="L718" s="11" t="n">
        <f aca="false">C718+F718</f>
        <v>100</v>
      </c>
    </row>
    <row r="719" customFormat="false" ht="15" hidden="false" customHeight="false" outlineLevel="0" collapsed="false">
      <c r="A719" s="11" t="n">
        <v>715</v>
      </c>
      <c r="B719" s="11" t="n">
        <f aca="false">MATCH(A719,월별!$C$6:$C$41,1)</f>
        <v>24</v>
      </c>
      <c r="C719" s="11" t="n">
        <f aca="false">L718</f>
        <v>100</v>
      </c>
      <c r="D719" s="24" t="n">
        <f aca="false">C719*가정!$B$8</f>
        <v>500</v>
      </c>
      <c r="E719" s="24" t="n">
        <f aca="false">H718+D718</f>
        <v>215553.668341709</v>
      </c>
      <c r="F719" s="11" t="n">
        <f aca="false">IF(가정!$B$11=1,MAX(0,MIN(가정!$B$16-C719,INT(E719/가정!$B$17))),0)</f>
        <v>0</v>
      </c>
      <c r="G719" s="24" t="n">
        <f aca="false">F719*가정!$B$17</f>
        <v>0</v>
      </c>
      <c r="H719" s="24" t="n">
        <f aca="false">E719-G719</f>
        <v>215553.668341709</v>
      </c>
      <c r="I719" s="24" t="n">
        <f aca="false">I718+D719</f>
        <v>242520</v>
      </c>
      <c r="J719" s="16" t="n">
        <f aca="false">(H719+D719)*가정!$B$10</f>
        <v>216053.668341709</v>
      </c>
      <c r="K719" s="24" t="n">
        <f aca="false">A719*가정!$B$8*가정!$B$7</f>
        <v>3575</v>
      </c>
      <c r="L719" s="11" t="n">
        <f aca="false">C719+F719</f>
        <v>100</v>
      </c>
    </row>
    <row r="720" customFormat="false" ht="15" hidden="false" customHeight="false" outlineLevel="0" collapsed="false">
      <c r="A720" s="11" t="n">
        <v>716</v>
      </c>
      <c r="B720" s="11" t="n">
        <f aca="false">MATCH(A720,월별!$C$6:$C$41,1)</f>
        <v>24</v>
      </c>
      <c r="C720" s="11" t="n">
        <f aca="false">L719</f>
        <v>100</v>
      </c>
      <c r="D720" s="24" t="n">
        <f aca="false">C720*가정!$B$8</f>
        <v>500</v>
      </c>
      <c r="E720" s="24" t="n">
        <f aca="false">H719+D719</f>
        <v>216053.668341709</v>
      </c>
      <c r="F720" s="11" t="n">
        <f aca="false">IF(가정!$B$11=1,MAX(0,MIN(가정!$B$16-C720,INT(E720/가정!$B$17))),0)</f>
        <v>0</v>
      </c>
      <c r="G720" s="24" t="n">
        <f aca="false">F720*가정!$B$17</f>
        <v>0</v>
      </c>
      <c r="H720" s="24" t="n">
        <f aca="false">E720-G720</f>
        <v>216053.668341709</v>
      </c>
      <c r="I720" s="24" t="n">
        <f aca="false">I719+D720</f>
        <v>243020</v>
      </c>
      <c r="J720" s="16" t="n">
        <f aca="false">(H720+D720)*가정!$B$10</f>
        <v>216553.668341709</v>
      </c>
      <c r="K720" s="24" t="n">
        <f aca="false">A720*가정!$B$8*가정!$B$7</f>
        <v>3580</v>
      </c>
      <c r="L720" s="11" t="n">
        <f aca="false">C720+F720</f>
        <v>100</v>
      </c>
    </row>
    <row r="721" customFormat="false" ht="15" hidden="false" customHeight="false" outlineLevel="0" collapsed="false">
      <c r="A721" s="11" t="n">
        <v>717</v>
      </c>
      <c r="B721" s="11" t="n">
        <f aca="false">MATCH(A721,월별!$C$6:$C$41,1)</f>
        <v>24</v>
      </c>
      <c r="C721" s="11" t="n">
        <f aca="false">L720</f>
        <v>100</v>
      </c>
      <c r="D721" s="24" t="n">
        <f aca="false">C721*가정!$B$8</f>
        <v>500</v>
      </c>
      <c r="E721" s="24" t="n">
        <f aca="false">H720+D720</f>
        <v>216553.668341709</v>
      </c>
      <c r="F721" s="11" t="n">
        <f aca="false">IF(가정!$B$11=1,MAX(0,MIN(가정!$B$16-C721,INT(E721/가정!$B$17))),0)</f>
        <v>0</v>
      </c>
      <c r="G721" s="24" t="n">
        <f aca="false">F721*가정!$B$17</f>
        <v>0</v>
      </c>
      <c r="H721" s="24" t="n">
        <f aca="false">E721-G721</f>
        <v>216553.668341709</v>
      </c>
      <c r="I721" s="24" t="n">
        <f aca="false">I720+D721</f>
        <v>243520</v>
      </c>
      <c r="J721" s="16" t="n">
        <f aca="false">(H721+D721)*가정!$B$10</f>
        <v>217053.668341709</v>
      </c>
      <c r="K721" s="24" t="n">
        <f aca="false">A721*가정!$B$8*가정!$B$7</f>
        <v>3585</v>
      </c>
      <c r="L721" s="11" t="n">
        <f aca="false">C721+F721</f>
        <v>100</v>
      </c>
    </row>
    <row r="722" customFormat="false" ht="15" hidden="false" customHeight="false" outlineLevel="0" collapsed="false">
      <c r="A722" s="11" t="n">
        <v>718</v>
      </c>
      <c r="B722" s="11" t="n">
        <f aca="false">MATCH(A722,월별!$C$6:$C$41,1)</f>
        <v>24</v>
      </c>
      <c r="C722" s="11" t="n">
        <f aca="false">L721</f>
        <v>100</v>
      </c>
      <c r="D722" s="24" t="n">
        <f aca="false">C722*가정!$B$8</f>
        <v>500</v>
      </c>
      <c r="E722" s="24" t="n">
        <f aca="false">H721+D721</f>
        <v>217053.668341709</v>
      </c>
      <c r="F722" s="11" t="n">
        <f aca="false">IF(가정!$B$11=1,MAX(0,MIN(가정!$B$16-C722,INT(E722/가정!$B$17))),0)</f>
        <v>0</v>
      </c>
      <c r="G722" s="24" t="n">
        <f aca="false">F722*가정!$B$17</f>
        <v>0</v>
      </c>
      <c r="H722" s="24" t="n">
        <f aca="false">E722-G722</f>
        <v>217053.668341709</v>
      </c>
      <c r="I722" s="24" t="n">
        <f aca="false">I721+D722</f>
        <v>244020</v>
      </c>
      <c r="J722" s="16" t="n">
        <f aca="false">(H722+D722)*가정!$B$10</f>
        <v>217553.668341709</v>
      </c>
      <c r="K722" s="24" t="n">
        <f aca="false">A722*가정!$B$8*가정!$B$7</f>
        <v>3590</v>
      </c>
      <c r="L722" s="11" t="n">
        <f aca="false">C722+F722</f>
        <v>100</v>
      </c>
    </row>
    <row r="723" customFormat="false" ht="15" hidden="false" customHeight="false" outlineLevel="0" collapsed="false">
      <c r="A723" s="11" t="n">
        <v>719</v>
      </c>
      <c r="B723" s="11" t="n">
        <f aca="false">MATCH(A723,월별!$C$6:$C$41,1)</f>
        <v>24</v>
      </c>
      <c r="C723" s="11" t="n">
        <f aca="false">L722</f>
        <v>100</v>
      </c>
      <c r="D723" s="24" t="n">
        <f aca="false">C723*가정!$B$8</f>
        <v>500</v>
      </c>
      <c r="E723" s="24" t="n">
        <f aca="false">H722+D722</f>
        <v>217553.668341709</v>
      </c>
      <c r="F723" s="11" t="n">
        <f aca="false">IF(가정!$B$11=1,MAX(0,MIN(가정!$B$16-C723,INT(E723/가정!$B$17))),0)</f>
        <v>0</v>
      </c>
      <c r="G723" s="24" t="n">
        <f aca="false">F723*가정!$B$17</f>
        <v>0</v>
      </c>
      <c r="H723" s="24" t="n">
        <f aca="false">E723-G723</f>
        <v>217553.668341709</v>
      </c>
      <c r="I723" s="24" t="n">
        <f aca="false">I722+D723</f>
        <v>244520</v>
      </c>
      <c r="J723" s="16" t="n">
        <f aca="false">(H723+D723)*가정!$B$10</f>
        <v>218053.668341709</v>
      </c>
      <c r="K723" s="24" t="n">
        <f aca="false">A723*가정!$B$8*가정!$B$7</f>
        <v>3595</v>
      </c>
      <c r="L723" s="11" t="n">
        <f aca="false">C723+F723</f>
        <v>100</v>
      </c>
    </row>
    <row r="724" customFormat="false" ht="15" hidden="false" customHeight="false" outlineLevel="0" collapsed="false">
      <c r="A724" s="11" t="n">
        <v>720</v>
      </c>
      <c r="B724" s="11" t="n">
        <f aca="false">MATCH(A724,월별!$C$6:$C$41,1)</f>
        <v>24</v>
      </c>
      <c r="C724" s="11" t="n">
        <f aca="false">L723</f>
        <v>100</v>
      </c>
      <c r="D724" s="24" t="n">
        <f aca="false">C724*가정!$B$8</f>
        <v>500</v>
      </c>
      <c r="E724" s="24" t="n">
        <f aca="false">H723+D723</f>
        <v>218053.668341709</v>
      </c>
      <c r="F724" s="11" t="n">
        <f aca="false">IF(가정!$B$11=1,MAX(0,MIN(가정!$B$16-C724,INT(E724/가정!$B$17))),0)</f>
        <v>0</v>
      </c>
      <c r="G724" s="24" t="n">
        <f aca="false">F724*가정!$B$17</f>
        <v>0</v>
      </c>
      <c r="H724" s="24" t="n">
        <f aca="false">E724-G724</f>
        <v>218053.668341709</v>
      </c>
      <c r="I724" s="24" t="n">
        <f aca="false">I723+D724</f>
        <v>245020</v>
      </c>
      <c r="J724" s="16" t="n">
        <f aca="false">(H724+D724)*가정!$B$10</f>
        <v>218553.668341709</v>
      </c>
      <c r="K724" s="24" t="n">
        <f aca="false">A724*가정!$B$8*가정!$B$7</f>
        <v>3600</v>
      </c>
      <c r="L724" s="11" t="n">
        <f aca="false">C724+F724</f>
        <v>100</v>
      </c>
    </row>
    <row r="725" customFormat="false" ht="15" hidden="false" customHeight="false" outlineLevel="0" collapsed="false">
      <c r="A725" s="11" t="n">
        <v>721</v>
      </c>
      <c r="B725" s="11" t="n">
        <f aca="false">MATCH(A725,월별!$C$6:$C$41,1)</f>
        <v>24</v>
      </c>
      <c r="C725" s="11" t="n">
        <f aca="false">L724</f>
        <v>100</v>
      </c>
      <c r="D725" s="24" t="n">
        <f aca="false">C725*가정!$B$8</f>
        <v>500</v>
      </c>
      <c r="E725" s="24" t="n">
        <f aca="false">H724+D724</f>
        <v>218553.668341709</v>
      </c>
      <c r="F725" s="11" t="n">
        <f aca="false">IF(가정!$B$11=1,MAX(0,MIN(가정!$B$16-C725,INT(E725/가정!$B$17))),0)</f>
        <v>0</v>
      </c>
      <c r="G725" s="24" t="n">
        <f aca="false">F725*가정!$B$17</f>
        <v>0</v>
      </c>
      <c r="H725" s="24" t="n">
        <f aca="false">E725-G725</f>
        <v>218553.668341709</v>
      </c>
      <c r="I725" s="24" t="n">
        <f aca="false">I724+D725</f>
        <v>245520</v>
      </c>
      <c r="J725" s="16" t="n">
        <f aca="false">(H725+D725)*가정!$B$10</f>
        <v>219053.668341709</v>
      </c>
      <c r="K725" s="24" t="n">
        <f aca="false">A725*가정!$B$8*가정!$B$7</f>
        <v>3605</v>
      </c>
      <c r="L725" s="11" t="n">
        <f aca="false">C725+F725</f>
        <v>100</v>
      </c>
    </row>
    <row r="726" customFormat="false" ht="15" hidden="false" customHeight="false" outlineLevel="0" collapsed="false">
      <c r="A726" s="11" t="n">
        <v>722</v>
      </c>
      <c r="B726" s="11" t="n">
        <f aca="false">MATCH(A726,월별!$C$6:$C$41,1)</f>
        <v>24</v>
      </c>
      <c r="C726" s="11" t="n">
        <f aca="false">L725</f>
        <v>100</v>
      </c>
      <c r="D726" s="24" t="n">
        <f aca="false">C726*가정!$B$8</f>
        <v>500</v>
      </c>
      <c r="E726" s="24" t="n">
        <f aca="false">H725+D725</f>
        <v>219053.668341709</v>
      </c>
      <c r="F726" s="11" t="n">
        <f aca="false">IF(가정!$B$11=1,MAX(0,MIN(가정!$B$16-C726,INT(E726/가정!$B$17))),0)</f>
        <v>0</v>
      </c>
      <c r="G726" s="24" t="n">
        <f aca="false">F726*가정!$B$17</f>
        <v>0</v>
      </c>
      <c r="H726" s="24" t="n">
        <f aca="false">E726-G726</f>
        <v>219053.668341709</v>
      </c>
      <c r="I726" s="24" t="n">
        <f aca="false">I725+D726</f>
        <v>246020</v>
      </c>
      <c r="J726" s="16" t="n">
        <f aca="false">(H726+D726)*가정!$B$10</f>
        <v>219553.668341709</v>
      </c>
      <c r="K726" s="24" t="n">
        <f aca="false">A726*가정!$B$8*가정!$B$7</f>
        <v>3610</v>
      </c>
      <c r="L726" s="11" t="n">
        <f aca="false">C726+F726</f>
        <v>100</v>
      </c>
    </row>
    <row r="727" customFormat="false" ht="15" hidden="false" customHeight="false" outlineLevel="0" collapsed="false">
      <c r="A727" s="11" t="n">
        <v>723</v>
      </c>
      <c r="B727" s="11" t="n">
        <f aca="false">MATCH(A727,월별!$C$6:$C$41,1)</f>
        <v>24</v>
      </c>
      <c r="C727" s="11" t="n">
        <f aca="false">L726</f>
        <v>100</v>
      </c>
      <c r="D727" s="24" t="n">
        <f aca="false">C727*가정!$B$8</f>
        <v>500</v>
      </c>
      <c r="E727" s="24" t="n">
        <f aca="false">H726+D726</f>
        <v>219553.668341709</v>
      </c>
      <c r="F727" s="11" t="n">
        <f aca="false">IF(가정!$B$11=1,MAX(0,MIN(가정!$B$16-C727,INT(E727/가정!$B$17))),0)</f>
        <v>0</v>
      </c>
      <c r="G727" s="24" t="n">
        <f aca="false">F727*가정!$B$17</f>
        <v>0</v>
      </c>
      <c r="H727" s="24" t="n">
        <f aca="false">E727-G727</f>
        <v>219553.668341709</v>
      </c>
      <c r="I727" s="24" t="n">
        <f aca="false">I726+D727</f>
        <v>246520</v>
      </c>
      <c r="J727" s="16" t="n">
        <f aca="false">(H727+D727)*가정!$B$10</f>
        <v>220053.668341709</v>
      </c>
      <c r="K727" s="24" t="n">
        <f aca="false">A727*가정!$B$8*가정!$B$7</f>
        <v>3615</v>
      </c>
      <c r="L727" s="11" t="n">
        <f aca="false">C727+F727</f>
        <v>100</v>
      </c>
    </row>
    <row r="728" customFormat="false" ht="15" hidden="false" customHeight="false" outlineLevel="0" collapsed="false">
      <c r="A728" s="11" t="n">
        <v>724</v>
      </c>
      <c r="B728" s="11" t="n">
        <f aca="false">MATCH(A728,월별!$C$6:$C$41,1)</f>
        <v>24</v>
      </c>
      <c r="C728" s="11" t="n">
        <f aca="false">L727</f>
        <v>100</v>
      </c>
      <c r="D728" s="24" t="n">
        <f aca="false">C728*가정!$B$8</f>
        <v>500</v>
      </c>
      <c r="E728" s="24" t="n">
        <f aca="false">H727+D727</f>
        <v>220053.668341709</v>
      </c>
      <c r="F728" s="11" t="n">
        <f aca="false">IF(가정!$B$11=1,MAX(0,MIN(가정!$B$16-C728,INT(E728/가정!$B$17))),0)</f>
        <v>0</v>
      </c>
      <c r="G728" s="24" t="n">
        <f aca="false">F728*가정!$B$17</f>
        <v>0</v>
      </c>
      <c r="H728" s="24" t="n">
        <f aca="false">E728-G728</f>
        <v>220053.668341709</v>
      </c>
      <c r="I728" s="24" t="n">
        <f aca="false">I727+D728</f>
        <v>247020</v>
      </c>
      <c r="J728" s="16" t="n">
        <f aca="false">(H728+D728)*가정!$B$10</f>
        <v>220553.668341709</v>
      </c>
      <c r="K728" s="24" t="n">
        <f aca="false">A728*가정!$B$8*가정!$B$7</f>
        <v>3620</v>
      </c>
      <c r="L728" s="11" t="n">
        <f aca="false">C728+F728</f>
        <v>100</v>
      </c>
    </row>
    <row r="729" customFormat="false" ht="15" hidden="false" customHeight="false" outlineLevel="0" collapsed="false">
      <c r="A729" s="11" t="n">
        <v>725</v>
      </c>
      <c r="B729" s="11" t="n">
        <f aca="false">MATCH(A729,월별!$C$6:$C$41,1)</f>
        <v>24</v>
      </c>
      <c r="C729" s="11" t="n">
        <f aca="false">L728</f>
        <v>100</v>
      </c>
      <c r="D729" s="24" t="n">
        <f aca="false">C729*가정!$B$8</f>
        <v>500</v>
      </c>
      <c r="E729" s="24" t="n">
        <f aca="false">H728+D728</f>
        <v>220553.668341709</v>
      </c>
      <c r="F729" s="11" t="n">
        <f aca="false">IF(가정!$B$11=1,MAX(0,MIN(가정!$B$16-C729,INT(E729/가정!$B$17))),0)</f>
        <v>0</v>
      </c>
      <c r="G729" s="24" t="n">
        <f aca="false">F729*가정!$B$17</f>
        <v>0</v>
      </c>
      <c r="H729" s="24" t="n">
        <f aca="false">E729-G729</f>
        <v>220553.668341709</v>
      </c>
      <c r="I729" s="24" t="n">
        <f aca="false">I728+D729</f>
        <v>247520</v>
      </c>
      <c r="J729" s="16" t="n">
        <f aca="false">(H729+D729)*가정!$B$10</f>
        <v>221053.668341709</v>
      </c>
      <c r="K729" s="24" t="n">
        <f aca="false">A729*가정!$B$8*가정!$B$7</f>
        <v>3625</v>
      </c>
      <c r="L729" s="11" t="n">
        <f aca="false">C729+F729</f>
        <v>100</v>
      </c>
    </row>
    <row r="730" customFormat="false" ht="15" hidden="false" customHeight="false" outlineLevel="0" collapsed="false">
      <c r="A730" s="11" t="n">
        <v>726</v>
      </c>
      <c r="B730" s="11" t="n">
        <f aca="false">MATCH(A730,월별!$C$6:$C$41,1)</f>
        <v>24</v>
      </c>
      <c r="C730" s="11" t="n">
        <f aca="false">L729</f>
        <v>100</v>
      </c>
      <c r="D730" s="24" t="n">
        <f aca="false">C730*가정!$B$8</f>
        <v>500</v>
      </c>
      <c r="E730" s="24" t="n">
        <f aca="false">H729+D729</f>
        <v>221053.668341709</v>
      </c>
      <c r="F730" s="11" t="n">
        <f aca="false">IF(가정!$B$11=1,MAX(0,MIN(가정!$B$16-C730,INT(E730/가정!$B$17))),0)</f>
        <v>0</v>
      </c>
      <c r="G730" s="24" t="n">
        <f aca="false">F730*가정!$B$17</f>
        <v>0</v>
      </c>
      <c r="H730" s="24" t="n">
        <f aca="false">E730-G730</f>
        <v>221053.668341709</v>
      </c>
      <c r="I730" s="24" t="n">
        <f aca="false">I729+D730</f>
        <v>248020</v>
      </c>
      <c r="J730" s="16" t="n">
        <f aca="false">(H730+D730)*가정!$B$10</f>
        <v>221553.668341709</v>
      </c>
      <c r="K730" s="24" t="n">
        <f aca="false">A730*가정!$B$8*가정!$B$7</f>
        <v>3630</v>
      </c>
      <c r="L730" s="11" t="n">
        <f aca="false">C730+F730</f>
        <v>100</v>
      </c>
    </row>
    <row r="731" customFormat="false" ht="15" hidden="false" customHeight="false" outlineLevel="0" collapsed="false">
      <c r="A731" s="11" t="n">
        <v>727</v>
      </c>
      <c r="B731" s="11" t="n">
        <f aca="false">MATCH(A731,월별!$C$6:$C$41,1)</f>
        <v>24</v>
      </c>
      <c r="C731" s="11" t="n">
        <f aca="false">L730</f>
        <v>100</v>
      </c>
      <c r="D731" s="24" t="n">
        <f aca="false">C731*가정!$B$8</f>
        <v>500</v>
      </c>
      <c r="E731" s="24" t="n">
        <f aca="false">H730+D730</f>
        <v>221553.668341709</v>
      </c>
      <c r="F731" s="11" t="n">
        <f aca="false">IF(가정!$B$11=1,MAX(0,MIN(가정!$B$16-C731,INT(E731/가정!$B$17))),0)</f>
        <v>0</v>
      </c>
      <c r="G731" s="24" t="n">
        <f aca="false">F731*가정!$B$17</f>
        <v>0</v>
      </c>
      <c r="H731" s="24" t="n">
        <f aca="false">E731-G731</f>
        <v>221553.668341709</v>
      </c>
      <c r="I731" s="24" t="n">
        <f aca="false">I730+D731</f>
        <v>248520</v>
      </c>
      <c r="J731" s="16" t="n">
        <f aca="false">(H731+D731)*가정!$B$10</f>
        <v>222053.668341709</v>
      </c>
      <c r="K731" s="24" t="n">
        <f aca="false">A731*가정!$B$8*가정!$B$7</f>
        <v>3635</v>
      </c>
      <c r="L731" s="11" t="n">
        <f aca="false">C731+F731</f>
        <v>100</v>
      </c>
    </row>
    <row r="732" customFormat="false" ht="15" hidden="false" customHeight="false" outlineLevel="0" collapsed="false">
      <c r="A732" s="11" t="n">
        <v>728</v>
      </c>
      <c r="B732" s="11" t="n">
        <f aca="false">MATCH(A732,월별!$C$6:$C$41,1)</f>
        <v>24</v>
      </c>
      <c r="C732" s="11" t="n">
        <f aca="false">L731</f>
        <v>100</v>
      </c>
      <c r="D732" s="24" t="n">
        <f aca="false">C732*가정!$B$8</f>
        <v>500</v>
      </c>
      <c r="E732" s="24" t="n">
        <f aca="false">H731+D731</f>
        <v>222053.668341709</v>
      </c>
      <c r="F732" s="11" t="n">
        <f aca="false">IF(가정!$B$11=1,MAX(0,MIN(가정!$B$16-C732,INT(E732/가정!$B$17))),0)</f>
        <v>0</v>
      </c>
      <c r="G732" s="24" t="n">
        <f aca="false">F732*가정!$B$17</f>
        <v>0</v>
      </c>
      <c r="H732" s="24" t="n">
        <f aca="false">E732-G732</f>
        <v>222053.668341709</v>
      </c>
      <c r="I732" s="24" t="n">
        <f aca="false">I731+D732</f>
        <v>249020</v>
      </c>
      <c r="J732" s="16" t="n">
        <f aca="false">(H732+D732)*가정!$B$10</f>
        <v>222553.668341709</v>
      </c>
      <c r="K732" s="24" t="n">
        <f aca="false">A732*가정!$B$8*가정!$B$7</f>
        <v>3640</v>
      </c>
      <c r="L732" s="11" t="n">
        <f aca="false">C732+F732</f>
        <v>100</v>
      </c>
    </row>
    <row r="733" customFormat="false" ht="15" hidden="false" customHeight="false" outlineLevel="0" collapsed="false">
      <c r="A733" s="11" t="n">
        <v>729</v>
      </c>
      <c r="B733" s="11" t="n">
        <f aca="false">MATCH(A733,월별!$C$6:$C$41,1)</f>
        <v>24</v>
      </c>
      <c r="C733" s="11" t="n">
        <f aca="false">L732</f>
        <v>100</v>
      </c>
      <c r="D733" s="24" t="n">
        <f aca="false">C733*가정!$B$8</f>
        <v>500</v>
      </c>
      <c r="E733" s="24" t="n">
        <f aca="false">H732+D732</f>
        <v>222553.668341709</v>
      </c>
      <c r="F733" s="11" t="n">
        <f aca="false">IF(가정!$B$11=1,MAX(0,MIN(가정!$B$16-C733,INT(E733/가정!$B$17))),0)</f>
        <v>0</v>
      </c>
      <c r="G733" s="24" t="n">
        <f aca="false">F733*가정!$B$17</f>
        <v>0</v>
      </c>
      <c r="H733" s="24" t="n">
        <f aca="false">E733-G733</f>
        <v>222553.668341709</v>
      </c>
      <c r="I733" s="24" t="n">
        <f aca="false">I732+D733</f>
        <v>249520</v>
      </c>
      <c r="J733" s="16" t="n">
        <f aca="false">(H733+D733)*가정!$B$10</f>
        <v>223053.668341709</v>
      </c>
      <c r="K733" s="24" t="n">
        <f aca="false">A733*가정!$B$8*가정!$B$7</f>
        <v>3645</v>
      </c>
      <c r="L733" s="11" t="n">
        <f aca="false">C733+F733</f>
        <v>100</v>
      </c>
    </row>
    <row r="734" customFormat="false" ht="15" hidden="false" customHeight="false" outlineLevel="0" collapsed="false">
      <c r="A734" s="11" t="n">
        <v>730</v>
      </c>
      <c r="B734" s="11" t="n">
        <f aca="false">MATCH(A734,월별!$C$6:$C$41,1)</f>
        <v>24</v>
      </c>
      <c r="C734" s="11" t="n">
        <f aca="false">L733</f>
        <v>100</v>
      </c>
      <c r="D734" s="24" t="n">
        <f aca="false">C734*가정!$B$8</f>
        <v>500</v>
      </c>
      <c r="E734" s="24" t="n">
        <f aca="false">H733+D733</f>
        <v>223053.668341709</v>
      </c>
      <c r="F734" s="11" t="n">
        <f aca="false">IF(가정!$B$11=1,MAX(0,MIN(가정!$B$16-C734,INT(E734/가정!$B$17))),0)</f>
        <v>0</v>
      </c>
      <c r="G734" s="24" t="n">
        <f aca="false">F734*가정!$B$17</f>
        <v>0</v>
      </c>
      <c r="H734" s="24" t="n">
        <f aca="false">E734-G734</f>
        <v>223053.668341709</v>
      </c>
      <c r="I734" s="24" t="n">
        <f aca="false">I733+D734</f>
        <v>250020</v>
      </c>
      <c r="J734" s="16" t="n">
        <f aca="false">(H734+D734)*가정!$B$10</f>
        <v>223553.668341709</v>
      </c>
      <c r="K734" s="24" t="n">
        <f aca="false">A734*가정!$B$8*가정!$B$7</f>
        <v>3650</v>
      </c>
      <c r="L734" s="11" t="n">
        <f aca="false">C734+F734</f>
        <v>100</v>
      </c>
    </row>
    <row r="735" customFormat="false" ht="15" hidden="false" customHeight="false" outlineLevel="0" collapsed="false">
      <c r="A735" s="11" t="n">
        <v>731</v>
      </c>
      <c r="B735" s="11" t="n">
        <f aca="false">MATCH(A735,월별!$C$6:$C$41,1)</f>
        <v>25</v>
      </c>
      <c r="C735" s="11" t="n">
        <f aca="false">L734</f>
        <v>100</v>
      </c>
      <c r="D735" s="24" t="n">
        <f aca="false">C735*가정!$B$8</f>
        <v>500</v>
      </c>
      <c r="E735" s="24" t="n">
        <f aca="false">H734+D734</f>
        <v>223553.668341709</v>
      </c>
      <c r="F735" s="11" t="n">
        <f aca="false">IF(가정!$B$11=1,MAX(0,MIN(가정!$B$16-C735,INT(E735/가정!$B$17))),0)</f>
        <v>0</v>
      </c>
      <c r="G735" s="24" t="n">
        <f aca="false">F735*가정!$B$17</f>
        <v>0</v>
      </c>
      <c r="H735" s="24" t="n">
        <f aca="false">E735-G735</f>
        <v>223553.668341709</v>
      </c>
      <c r="I735" s="24" t="n">
        <f aca="false">I734+D735</f>
        <v>250520</v>
      </c>
      <c r="J735" s="16" t="n">
        <f aca="false">(H735+D735)*가정!$B$10</f>
        <v>224053.668341709</v>
      </c>
      <c r="K735" s="24" t="n">
        <f aca="false">A735*가정!$B$8*가정!$B$7</f>
        <v>3655</v>
      </c>
      <c r="L735" s="11" t="n">
        <f aca="false">C735+F735</f>
        <v>100</v>
      </c>
    </row>
    <row r="736" customFormat="false" ht="15" hidden="false" customHeight="false" outlineLevel="0" collapsed="false">
      <c r="A736" s="11" t="n">
        <v>732</v>
      </c>
      <c r="B736" s="11" t="n">
        <f aca="false">MATCH(A736,월별!$C$6:$C$41,1)</f>
        <v>25</v>
      </c>
      <c r="C736" s="11" t="n">
        <f aca="false">L735</f>
        <v>100</v>
      </c>
      <c r="D736" s="24" t="n">
        <f aca="false">C736*가정!$B$8</f>
        <v>500</v>
      </c>
      <c r="E736" s="24" t="n">
        <f aca="false">H735+D735</f>
        <v>224053.668341709</v>
      </c>
      <c r="F736" s="11" t="n">
        <f aca="false">IF(가정!$B$11=1,MAX(0,MIN(가정!$B$16-C736,INT(E736/가정!$B$17))),0)</f>
        <v>0</v>
      </c>
      <c r="G736" s="24" t="n">
        <f aca="false">F736*가정!$B$17</f>
        <v>0</v>
      </c>
      <c r="H736" s="24" t="n">
        <f aca="false">E736-G736</f>
        <v>224053.668341709</v>
      </c>
      <c r="I736" s="24" t="n">
        <f aca="false">I735+D736</f>
        <v>251020</v>
      </c>
      <c r="J736" s="16" t="n">
        <f aca="false">(H736+D736)*가정!$B$10</f>
        <v>224553.668341709</v>
      </c>
      <c r="K736" s="24" t="n">
        <f aca="false">A736*가정!$B$8*가정!$B$7</f>
        <v>3660</v>
      </c>
      <c r="L736" s="11" t="n">
        <f aca="false">C736+F736</f>
        <v>100</v>
      </c>
    </row>
    <row r="737" customFormat="false" ht="15" hidden="false" customHeight="false" outlineLevel="0" collapsed="false">
      <c r="A737" s="11" t="n">
        <v>733</v>
      </c>
      <c r="B737" s="11" t="n">
        <f aca="false">MATCH(A737,월별!$C$6:$C$41,1)</f>
        <v>25</v>
      </c>
      <c r="C737" s="11" t="n">
        <f aca="false">L736</f>
        <v>100</v>
      </c>
      <c r="D737" s="24" t="n">
        <f aca="false">C737*가정!$B$8</f>
        <v>500</v>
      </c>
      <c r="E737" s="24" t="n">
        <f aca="false">H736+D736</f>
        <v>224553.668341709</v>
      </c>
      <c r="F737" s="11" t="n">
        <f aca="false">IF(가정!$B$11=1,MAX(0,MIN(가정!$B$16-C737,INT(E737/가정!$B$17))),0)</f>
        <v>0</v>
      </c>
      <c r="G737" s="24" t="n">
        <f aca="false">F737*가정!$B$17</f>
        <v>0</v>
      </c>
      <c r="H737" s="24" t="n">
        <f aca="false">E737-G737</f>
        <v>224553.668341709</v>
      </c>
      <c r="I737" s="24" t="n">
        <f aca="false">I736+D737</f>
        <v>251520</v>
      </c>
      <c r="J737" s="16" t="n">
        <f aca="false">(H737+D737)*가정!$B$10</f>
        <v>225053.668341709</v>
      </c>
      <c r="K737" s="24" t="n">
        <f aca="false">A737*가정!$B$8*가정!$B$7</f>
        <v>3665</v>
      </c>
      <c r="L737" s="11" t="n">
        <f aca="false">C737+F737</f>
        <v>100</v>
      </c>
    </row>
    <row r="738" customFormat="false" ht="15" hidden="false" customHeight="false" outlineLevel="0" collapsed="false">
      <c r="A738" s="11" t="n">
        <v>734</v>
      </c>
      <c r="B738" s="11" t="n">
        <f aca="false">MATCH(A738,월별!$C$6:$C$41,1)</f>
        <v>25</v>
      </c>
      <c r="C738" s="11" t="n">
        <f aca="false">L737</f>
        <v>100</v>
      </c>
      <c r="D738" s="24" t="n">
        <f aca="false">C738*가정!$B$8</f>
        <v>500</v>
      </c>
      <c r="E738" s="24" t="n">
        <f aca="false">H737+D737</f>
        <v>225053.668341709</v>
      </c>
      <c r="F738" s="11" t="n">
        <f aca="false">IF(가정!$B$11=1,MAX(0,MIN(가정!$B$16-C738,INT(E738/가정!$B$17))),0)</f>
        <v>0</v>
      </c>
      <c r="G738" s="24" t="n">
        <f aca="false">F738*가정!$B$17</f>
        <v>0</v>
      </c>
      <c r="H738" s="24" t="n">
        <f aca="false">E738-G738</f>
        <v>225053.668341709</v>
      </c>
      <c r="I738" s="24" t="n">
        <f aca="false">I737+D738</f>
        <v>252020</v>
      </c>
      <c r="J738" s="16" t="n">
        <f aca="false">(H738+D738)*가정!$B$10</f>
        <v>225553.668341709</v>
      </c>
      <c r="K738" s="24" t="n">
        <f aca="false">A738*가정!$B$8*가정!$B$7</f>
        <v>3670</v>
      </c>
      <c r="L738" s="11" t="n">
        <f aca="false">C738+F738</f>
        <v>100</v>
      </c>
    </row>
    <row r="739" customFormat="false" ht="15" hidden="false" customHeight="false" outlineLevel="0" collapsed="false">
      <c r="A739" s="11" t="n">
        <v>735</v>
      </c>
      <c r="B739" s="11" t="n">
        <f aca="false">MATCH(A739,월별!$C$6:$C$41,1)</f>
        <v>25</v>
      </c>
      <c r="C739" s="11" t="n">
        <f aca="false">L738</f>
        <v>100</v>
      </c>
      <c r="D739" s="24" t="n">
        <f aca="false">C739*가정!$B$8</f>
        <v>500</v>
      </c>
      <c r="E739" s="24" t="n">
        <f aca="false">H738+D738</f>
        <v>225553.668341709</v>
      </c>
      <c r="F739" s="11" t="n">
        <f aca="false">IF(가정!$B$11=1,MAX(0,MIN(가정!$B$16-C739,INT(E739/가정!$B$17))),0)</f>
        <v>0</v>
      </c>
      <c r="G739" s="24" t="n">
        <f aca="false">F739*가정!$B$17</f>
        <v>0</v>
      </c>
      <c r="H739" s="24" t="n">
        <f aca="false">E739-G739</f>
        <v>225553.668341709</v>
      </c>
      <c r="I739" s="24" t="n">
        <f aca="false">I738+D739</f>
        <v>252520</v>
      </c>
      <c r="J739" s="16" t="n">
        <f aca="false">(H739+D739)*가정!$B$10</f>
        <v>226053.668341709</v>
      </c>
      <c r="K739" s="24" t="n">
        <f aca="false">A739*가정!$B$8*가정!$B$7</f>
        <v>3675</v>
      </c>
      <c r="L739" s="11" t="n">
        <f aca="false">C739+F739</f>
        <v>100</v>
      </c>
    </row>
    <row r="740" customFormat="false" ht="15" hidden="false" customHeight="false" outlineLevel="0" collapsed="false">
      <c r="A740" s="11" t="n">
        <v>736</v>
      </c>
      <c r="B740" s="11" t="n">
        <f aca="false">MATCH(A740,월별!$C$6:$C$41,1)</f>
        <v>25</v>
      </c>
      <c r="C740" s="11" t="n">
        <f aca="false">L739</f>
        <v>100</v>
      </c>
      <c r="D740" s="24" t="n">
        <f aca="false">C740*가정!$B$8</f>
        <v>500</v>
      </c>
      <c r="E740" s="24" t="n">
        <f aca="false">H739+D739</f>
        <v>226053.668341709</v>
      </c>
      <c r="F740" s="11" t="n">
        <f aca="false">IF(가정!$B$11=1,MAX(0,MIN(가정!$B$16-C740,INT(E740/가정!$B$17))),0)</f>
        <v>0</v>
      </c>
      <c r="G740" s="24" t="n">
        <f aca="false">F740*가정!$B$17</f>
        <v>0</v>
      </c>
      <c r="H740" s="24" t="n">
        <f aca="false">E740-G740</f>
        <v>226053.668341709</v>
      </c>
      <c r="I740" s="24" t="n">
        <f aca="false">I739+D740</f>
        <v>253020</v>
      </c>
      <c r="J740" s="16" t="n">
        <f aca="false">(H740+D740)*가정!$B$10</f>
        <v>226553.668341709</v>
      </c>
      <c r="K740" s="24" t="n">
        <f aca="false">A740*가정!$B$8*가정!$B$7</f>
        <v>3680</v>
      </c>
      <c r="L740" s="11" t="n">
        <f aca="false">C740+F740</f>
        <v>100</v>
      </c>
    </row>
    <row r="741" customFormat="false" ht="15" hidden="false" customHeight="false" outlineLevel="0" collapsed="false">
      <c r="A741" s="11" t="n">
        <v>737</v>
      </c>
      <c r="B741" s="11" t="n">
        <f aca="false">MATCH(A741,월별!$C$6:$C$41,1)</f>
        <v>25</v>
      </c>
      <c r="C741" s="11" t="n">
        <f aca="false">L740</f>
        <v>100</v>
      </c>
      <c r="D741" s="24" t="n">
        <f aca="false">C741*가정!$B$8</f>
        <v>500</v>
      </c>
      <c r="E741" s="24" t="n">
        <f aca="false">H740+D740</f>
        <v>226553.668341709</v>
      </c>
      <c r="F741" s="11" t="n">
        <f aca="false">IF(가정!$B$11=1,MAX(0,MIN(가정!$B$16-C741,INT(E741/가정!$B$17))),0)</f>
        <v>0</v>
      </c>
      <c r="G741" s="24" t="n">
        <f aca="false">F741*가정!$B$17</f>
        <v>0</v>
      </c>
      <c r="H741" s="24" t="n">
        <f aca="false">E741-G741</f>
        <v>226553.668341709</v>
      </c>
      <c r="I741" s="24" t="n">
        <f aca="false">I740+D741</f>
        <v>253520</v>
      </c>
      <c r="J741" s="16" t="n">
        <f aca="false">(H741+D741)*가정!$B$10</f>
        <v>227053.668341709</v>
      </c>
      <c r="K741" s="24" t="n">
        <f aca="false">A741*가정!$B$8*가정!$B$7</f>
        <v>3685</v>
      </c>
      <c r="L741" s="11" t="n">
        <f aca="false">C741+F741</f>
        <v>100</v>
      </c>
    </row>
    <row r="742" customFormat="false" ht="15" hidden="false" customHeight="false" outlineLevel="0" collapsed="false">
      <c r="A742" s="11" t="n">
        <v>738</v>
      </c>
      <c r="B742" s="11" t="n">
        <f aca="false">MATCH(A742,월별!$C$6:$C$41,1)</f>
        <v>25</v>
      </c>
      <c r="C742" s="11" t="n">
        <f aca="false">L741</f>
        <v>100</v>
      </c>
      <c r="D742" s="24" t="n">
        <f aca="false">C742*가정!$B$8</f>
        <v>500</v>
      </c>
      <c r="E742" s="24" t="n">
        <f aca="false">H741+D741</f>
        <v>227053.668341709</v>
      </c>
      <c r="F742" s="11" t="n">
        <f aca="false">IF(가정!$B$11=1,MAX(0,MIN(가정!$B$16-C742,INT(E742/가정!$B$17))),0)</f>
        <v>0</v>
      </c>
      <c r="G742" s="24" t="n">
        <f aca="false">F742*가정!$B$17</f>
        <v>0</v>
      </c>
      <c r="H742" s="24" t="n">
        <f aca="false">E742-G742</f>
        <v>227053.668341709</v>
      </c>
      <c r="I742" s="24" t="n">
        <f aca="false">I741+D742</f>
        <v>254020</v>
      </c>
      <c r="J742" s="16" t="n">
        <f aca="false">(H742+D742)*가정!$B$10</f>
        <v>227553.668341709</v>
      </c>
      <c r="K742" s="24" t="n">
        <f aca="false">A742*가정!$B$8*가정!$B$7</f>
        <v>3690</v>
      </c>
      <c r="L742" s="11" t="n">
        <f aca="false">C742+F742</f>
        <v>100</v>
      </c>
    </row>
    <row r="743" customFormat="false" ht="15" hidden="false" customHeight="false" outlineLevel="0" collapsed="false">
      <c r="A743" s="11" t="n">
        <v>739</v>
      </c>
      <c r="B743" s="11" t="n">
        <f aca="false">MATCH(A743,월별!$C$6:$C$41,1)</f>
        <v>25</v>
      </c>
      <c r="C743" s="11" t="n">
        <f aca="false">L742</f>
        <v>100</v>
      </c>
      <c r="D743" s="24" t="n">
        <f aca="false">C743*가정!$B$8</f>
        <v>500</v>
      </c>
      <c r="E743" s="24" t="n">
        <f aca="false">H742+D742</f>
        <v>227553.668341709</v>
      </c>
      <c r="F743" s="11" t="n">
        <f aca="false">IF(가정!$B$11=1,MAX(0,MIN(가정!$B$16-C743,INT(E743/가정!$B$17))),0)</f>
        <v>0</v>
      </c>
      <c r="G743" s="24" t="n">
        <f aca="false">F743*가정!$B$17</f>
        <v>0</v>
      </c>
      <c r="H743" s="24" t="n">
        <f aca="false">E743-G743</f>
        <v>227553.668341709</v>
      </c>
      <c r="I743" s="24" t="n">
        <f aca="false">I742+D743</f>
        <v>254520</v>
      </c>
      <c r="J743" s="16" t="n">
        <f aca="false">(H743+D743)*가정!$B$10</f>
        <v>228053.668341709</v>
      </c>
      <c r="K743" s="24" t="n">
        <f aca="false">A743*가정!$B$8*가정!$B$7</f>
        <v>3695</v>
      </c>
      <c r="L743" s="11" t="n">
        <f aca="false">C743+F743</f>
        <v>100</v>
      </c>
    </row>
    <row r="744" customFormat="false" ht="15" hidden="false" customHeight="false" outlineLevel="0" collapsed="false">
      <c r="A744" s="11" t="n">
        <v>740</v>
      </c>
      <c r="B744" s="11" t="n">
        <f aca="false">MATCH(A744,월별!$C$6:$C$41,1)</f>
        <v>25</v>
      </c>
      <c r="C744" s="11" t="n">
        <f aca="false">L743</f>
        <v>100</v>
      </c>
      <c r="D744" s="24" t="n">
        <f aca="false">C744*가정!$B$8</f>
        <v>500</v>
      </c>
      <c r="E744" s="24" t="n">
        <f aca="false">H743+D743</f>
        <v>228053.668341709</v>
      </c>
      <c r="F744" s="11" t="n">
        <f aca="false">IF(가정!$B$11=1,MAX(0,MIN(가정!$B$16-C744,INT(E744/가정!$B$17))),0)</f>
        <v>0</v>
      </c>
      <c r="G744" s="24" t="n">
        <f aca="false">F744*가정!$B$17</f>
        <v>0</v>
      </c>
      <c r="H744" s="24" t="n">
        <f aca="false">E744-G744</f>
        <v>228053.668341709</v>
      </c>
      <c r="I744" s="24" t="n">
        <f aca="false">I743+D744</f>
        <v>255020</v>
      </c>
      <c r="J744" s="16" t="n">
        <f aca="false">(H744+D744)*가정!$B$10</f>
        <v>228553.668341709</v>
      </c>
      <c r="K744" s="24" t="n">
        <f aca="false">A744*가정!$B$8*가정!$B$7</f>
        <v>3700</v>
      </c>
      <c r="L744" s="11" t="n">
        <f aca="false">C744+F744</f>
        <v>100</v>
      </c>
    </row>
    <row r="745" customFormat="false" ht="15" hidden="false" customHeight="false" outlineLevel="0" collapsed="false">
      <c r="A745" s="11" t="n">
        <v>741</v>
      </c>
      <c r="B745" s="11" t="n">
        <f aca="false">MATCH(A745,월별!$C$6:$C$41,1)</f>
        <v>25</v>
      </c>
      <c r="C745" s="11" t="n">
        <f aca="false">L744</f>
        <v>100</v>
      </c>
      <c r="D745" s="24" t="n">
        <f aca="false">C745*가정!$B$8</f>
        <v>500</v>
      </c>
      <c r="E745" s="24" t="n">
        <f aca="false">H744+D744</f>
        <v>228553.668341709</v>
      </c>
      <c r="F745" s="11" t="n">
        <f aca="false">IF(가정!$B$11=1,MAX(0,MIN(가정!$B$16-C745,INT(E745/가정!$B$17))),0)</f>
        <v>0</v>
      </c>
      <c r="G745" s="24" t="n">
        <f aca="false">F745*가정!$B$17</f>
        <v>0</v>
      </c>
      <c r="H745" s="24" t="n">
        <f aca="false">E745-G745</f>
        <v>228553.668341709</v>
      </c>
      <c r="I745" s="24" t="n">
        <f aca="false">I744+D745</f>
        <v>255520</v>
      </c>
      <c r="J745" s="16" t="n">
        <f aca="false">(H745+D745)*가정!$B$10</f>
        <v>229053.668341709</v>
      </c>
      <c r="K745" s="24" t="n">
        <f aca="false">A745*가정!$B$8*가정!$B$7</f>
        <v>3705</v>
      </c>
      <c r="L745" s="11" t="n">
        <f aca="false">C745+F745</f>
        <v>100</v>
      </c>
    </row>
    <row r="746" customFormat="false" ht="15" hidden="false" customHeight="false" outlineLevel="0" collapsed="false">
      <c r="A746" s="11" t="n">
        <v>742</v>
      </c>
      <c r="B746" s="11" t="n">
        <f aca="false">MATCH(A746,월별!$C$6:$C$41,1)</f>
        <v>25</v>
      </c>
      <c r="C746" s="11" t="n">
        <f aca="false">L745</f>
        <v>100</v>
      </c>
      <c r="D746" s="24" t="n">
        <f aca="false">C746*가정!$B$8</f>
        <v>500</v>
      </c>
      <c r="E746" s="24" t="n">
        <f aca="false">H745+D745</f>
        <v>229053.668341709</v>
      </c>
      <c r="F746" s="11" t="n">
        <f aca="false">IF(가정!$B$11=1,MAX(0,MIN(가정!$B$16-C746,INT(E746/가정!$B$17))),0)</f>
        <v>0</v>
      </c>
      <c r="G746" s="24" t="n">
        <f aca="false">F746*가정!$B$17</f>
        <v>0</v>
      </c>
      <c r="H746" s="24" t="n">
        <f aca="false">E746-G746</f>
        <v>229053.668341709</v>
      </c>
      <c r="I746" s="24" t="n">
        <f aca="false">I745+D746</f>
        <v>256020</v>
      </c>
      <c r="J746" s="16" t="n">
        <f aca="false">(H746+D746)*가정!$B$10</f>
        <v>229553.668341709</v>
      </c>
      <c r="K746" s="24" t="n">
        <f aca="false">A746*가정!$B$8*가정!$B$7</f>
        <v>3710</v>
      </c>
      <c r="L746" s="11" t="n">
        <f aca="false">C746+F746</f>
        <v>100</v>
      </c>
    </row>
    <row r="747" customFormat="false" ht="15" hidden="false" customHeight="false" outlineLevel="0" collapsed="false">
      <c r="A747" s="11" t="n">
        <v>743</v>
      </c>
      <c r="B747" s="11" t="n">
        <f aca="false">MATCH(A747,월별!$C$6:$C$41,1)</f>
        <v>25</v>
      </c>
      <c r="C747" s="11" t="n">
        <f aca="false">L746</f>
        <v>100</v>
      </c>
      <c r="D747" s="24" t="n">
        <f aca="false">C747*가정!$B$8</f>
        <v>500</v>
      </c>
      <c r="E747" s="24" t="n">
        <f aca="false">H746+D746</f>
        <v>229553.668341709</v>
      </c>
      <c r="F747" s="11" t="n">
        <f aca="false">IF(가정!$B$11=1,MAX(0,MIN(가정!$B$16-C747,INT(E747/가정!$B$17))),0)</f>
        <v>0</v>
      </c>
      <c r="G747" s="24" t="n">
        <f aca="false">F747*가정!$B$17</f>
        <v>0</v>
      </c>
      <c r="H747" s="24" t="n">
        <f aca="false">E747-G747</f>
        <v>229553.668341709</v>
      </c>
      <c r="I747" s="24" t="n">
        <f aca="false">I746+D747</f>
        <v>256520</v>
      </c>
      <c r="J747" s="16" t="n">
        <f aca="false">(H747+D747)*가정!$B$10</f>
        <v>230053.668341709</v>
      </c>
      <c r="K747" s="24" t="n">
        <f aca="false">A747*가정!$B$8*가정!$B$7</f>
        <v>3715</v>
      </c>
      <c r="L747" s="11" t="n">
        <f aca="false">C747+F747</f>
        <v>100</v>
      </c>
    </row>
    <row r="748" customFormat="false" ht="15" hidden="false" customHeight="false" outlineLevel="0" collapsed="false">
      <c r="A748" s="11" t="n">
        <v>744</v>
      </c>
      <c r="B748" s="11" t="n">
        <f aca="false">MATCH(A748,월별!$C$6:$C$41,1)</f>
        <v>25</v>
      </c>
      <c r="C748" s="11" t="n">
        <f aca="false">L747</f>
        <v>100</v>
      </c>
      <c r="D748" s="24" t="n">
        <f aca="false">C748*가정!$B$8</f>
        <v>500</v>
      </c>
      <c r="E748" s="24" t="n">
        <f aca="false">H747+D747</f>
        <v>230053.668341709</v>
      </c>
      <c r="F748" s="11" t="n">
        <f aca="false">IF(가정!$B$11=1,MAX(0,MIN(가정!$B$16-C748,INT(E748/가정!$B$17))),0)</f>
        <v>0</v>
      </c>
      <c r="G748" s="24" t="n">
        <f aca="false">F748*가정!$B$17</f>
        <v>0</v>
      </c>
      <c r="H748" s="24" t="n">
        <f aca="false">E748-G748</f>
        <v>230053.668341709</v>
      </c>
      <c r="I748" s="24" t="n">
        <f aca="false">I747+D748</f>
        <v>257020</v>
      </c>
      <c r="J748" s="16" t="n">
        <f aca="false">(H748+D748)*가정!$B$10</f>
        <v>230553.668341709</v>
      </c>
      <c r="K748" s="24" t="n">
        <f aca="false">A748*가정!$B$8*가정!$B$7</f>
        <v>3720</v>
      </c>
      <c r="L748" s="11" t="n">
        <f aca="false">C748+F748</f>
        <v>100</v>
      </c>
    </row>
    <row r="749" customFormat="false" ht="15" hidden="false" customHeight="false" outlineLevel="0" collapsed="false">
      <c r="A749" s="11" t="n">
        <v>745</v>
      </c>
      <c r="B749" s="11" t="n">
        <f aca="false">MATCH(A749,월별!$C$6:$C$41,1)</f>
        <v>25</v>
      </c>
      <c r="C749" s="11" t="n">
        <f aca="false">L748</f>
        <v>100</v>
      </c>
      <c r="D749" s="24" t="n">
        <f aca="false">C749*가정!$B$8</f>
        <v>500</v>
      </c>
      <c r="E749" s="24" t="n">
        <f aca="false">H748+D748</f>
        <v>230553.668341709</v>
      </c>
      <c r="F749" s="11" t="n">
        <f aca="false">IF(가정!$B$11=1,MAX(0,MIN(가정!$B$16-C749,INT(E749/가정!$B$17))),0)</f>
        <v>0</v>
      </c>
      <c r="G749" s="24" t="n">
        <f aca="false">F749*가정!$B$17</f>
        <v>0</v>
      </c>
      <c r="H749" s="24" t="n">
        <f aca="false">E749-G749</f>
        <v>230553.668341709</v>
      </c>
      <c r="I749" s="24" t="n">
        <f aca="false">I748+D749</f>
        <v>257520</v>
      </c>
      <c r="J749" s="16" t="n">
        <f aca="false">(H749+D749)*가정!$B$10</f>
        <v>231053.668341709</v>
      </c>
      <c r="K749" s="24" t="n">
        <f aca="false">A749*가정!$B$8*가정!$B$7</f>
        <v>3725</v>
      </c>
      <c r="L749" s="11" t="n">
        <f aca="false">C749+F749</f>
        <v>100</v>
      </c>
    </row>
    <row r="750" customFormat="false" ht="15" hidden="false" customHeight="false" outlineLevel="0" collapsed="false">
      <c r="A750" s="11" t="n">
        <v>746</v>
      </c>
      <c r="B750" s="11" t="n">
        <f aca="false">MATCH(A750,월별!$C$6:$C$41,1)</f>
        <v>25</v>
      </c>
      <c r="C750" s="11" t="n">
        <f aca="false">L749</f>
        <v>100</v>
      </c>
      <c r="D750" s="24" t="n">
        <f aca="false">C750*가정!$B$8</f>
        <v>500</v>
      </c>
      <c r="E750" s="24" t="n">
        <f aca="false">H749+D749</f>
        <v>231053.668341709</v>
      </c>
      <c r="F750" s="11" t="n">
        <f aca="false">IF(가정!$B$11=1,MAX(0,MIN(가정!$B$16-C750,INT(E750/가정!$B$17))),0)</f>
        <v>0</v>
      </c>
      <c r="G750" s="24" t="n">
        <f aca="false">F750*가정!$B$17</f>
        <v>0</v>
      </c>
      <c r="H750" s="24" t="n">
        <f aca="false">E750-G750</f>
        <v>231053.668341709</v>
      </c>
      <c r="I750" s="24" t="n">
        <f aca="false">I749+D750</f>
        <v>258020</v>
      </c>
      <c r="J750" s="16" t="n">
        <f aca="false">(H750+D750)*가정!$B$10</f>
        <v>231553.668341709</v>
      </c>
      <c r="K750" s="24" t="n">
        <f aca="false">A750*가정!$B$8*가정!$B$7</f>
        <v>3730</v>
      </c>
      <c r="L750" s="11" t="n">
        <f aca="false">C750+F750</f>
        <v>100</v>
      </c>
    </row>
    <row r="751" customFormat="false" ht="15" hidden="false" customHeight="false" outlineLevel="0" collapsed="false">
      <c r="A751" s="11" t="n">
        <v>747</v>
      </c>
      <c r="B751" s="11" t="n">
        <f aca="false">MATCH(A751,월별!$C$6:$C$41,1)</f>
        <v>25</v>
      </c>
      <c r="C751" s="11" t="n">
        <f aca="false">L750</f>
        <v>100</v>
      </c>
      <c r="D751" s="24" t="n">
        <f aca="false">C751*가정!$B$8</f>
        <v>500</v>
      </c>
      <c r="E751" s="24" t="n">
        <f aca="false">H750+D750</f>
        <v>231553.668341709</v>
      </c>
      <c r="F751" s="11" t="n">
        <f aca="false">IF(가정!$B$11=1,MAX(0,MIN(가정!$B$16-C751,INT(E751/가정!$B$17))),0)</f>
        <v>0</v>
      </c>
      <c r="G751" s="24" t="n">
        <f aca="false">F751*가정!$B$17</f>
        <v>0</v>
      </c>
      <c r="H751" s="24" t="n">
        <f aca="false">E751-G751</f>
        <v>231553.668341709</v>
      </c>
      <c r="I751" s="24" t="n">
        <f aca="false">I750+D751</f>
        <v>258520</v>
      </c>
      <c r="J751" s="16" t="n">
        <f aca="false">(H751+D751)*가정!$B$10</f>
        <v>232053.668341709</v>
      </c>
      <c r="K751" s="24" t="n">
        <f aca="false">A751*가정!$B$8*가정!$B$7</f>
        <v>3735</v>
      </c>
      <c r="L751" s="11" t="n">
        <f aca="false">C751+F751</f>
        <v>100</v>
      </c>
    </row>
    <row r="752" customFormat="false" ht="15" hidden="false" customHeight="false" outlineLevel="0" collapsed="false">
      <c r="A752" s="11" t="n">
        <v>748</v>
      </c>
      <c r="B752" s="11" t="n">
        <f aca="false">MATCH(A752,월별!$C$6:$C$41,1)</f>
        <v>25</v>
      </c>
      <c r="C752" s="11" t="n">
        <f aca="false">L751</f>
        <v>100</v>
      </c>
      <c r="D752" s="24" t="n">
        <f aca="false">C752*가정!$B$8</f>
        <v>500</v>
      </c>
      <c r="E752" s="24" t="n">
        <f aca="false">H751+D751</f>
        <v>232053.668341709</v>
      </c>
      <c r="F752" s="11" t="n">
        <f aca="false">IF(가정!$B$11=1,MAX(0,MIN(가정!$B$16-C752,INT(E752/가정!$B$17))),0)</f>
        <v>0</v>
      </c>
      <c r="G752" s="24" t="n">
        <f aca="false">F752*가정!$B$17</f>
        <v>0</v>
      </c>
      <c r="H752" s="24" t="n">
        <f aca="false">E752-G752</f>
        <v>232053.668341709</v>
      </c>
      <c r="I752" s="24" t="n">
        <f aca="false">I751+D752</f>
        <v>259020</v>
      </c>
      <c r="J752" s="16" t="n">
        <f aca="false">(H752+D752)*가정!$B$10</f>
        <v>232553.668341709</v>
      </c>
      <c r="K752" s="24" t="n">
        <f aca="false">A752*가정!$B$8*가정!$B$7</f>
        <v>3740</v>
      </c>
      <c r="L752" s="11" t="n">
        <f aca="false">C752+F752</f>
        <v>100</v>
      </c>
    </row>
    <row r="753" customFormat="false" ht="15" hidden="false" customHeight="false" outlineLevel="0" collapsed="false">
      <c r="A753" s="11" t="n">
        <v>749</v>
      </c>
      <c r="B753" s="11" t="n">
        <f aca="false">MATCH(A753,월별!$C$6:$C$41,1)</f>
        <v>25</v>
      </c>
      <c r="C753" s="11" t="n">
        <f aca="false">L752</f>
        <v>100</v>
      </c>
      <c r="D753" s="24" t="n">
        <f aca="false">C753*가정!$B$8</f>
        <v>500</v>
      </c>
      <c r="E753" s="24" t="n">
        <f aca="false">H752+D752</f>
        <v>232553.668341709</v>
      </c>
      <c r="F753" s="11" t="n">
        <f aca="false">IF(가정!$B$11=1,MAX(0,MIN(가정!$B$16-C753,INT(E753/가정!$B$17))),0)</f>
        <v>0</v>
      </c>
      <c r="G753" s="24" t="n">
        <f aca="false">F753*가정!$B$17</f>
        <v>0</v>
      </c>
      <c r="H753" s="24" t="n">
        <f aca="false">E753-G753</f>
        <v>232553.668341709</v>
      </c>
      <c r="I753" s="24" t="n">
        <f aca="false">I752+D753</f>
        <v>259520</v>
      </c>
      <c r="J753" s="16" t="n">
        <f aca="false">(H753+D753)*가정!$B$10</f>
        <v>233053.668341709</v>
      </c>
      <c r="K753" s="24" t="n">
        <f aca="false">A753*가정!$B$8*가정!$B$7</f>
        <v>3745</v>
      </c>
      <c r="L753" s="11" t="n">
        <f aca="false">C753+F753</f>
        <v>100</v>
      </c>
    </row>
    <row r="754" customFormat="false" ht="15" hidden="false" customHeight="false" outlineLevel="0" collapsed="false">
      <c r="A754" s="11" t="n">
        <v>750</v>
      </c>
      <c r="B754" s="11" t="n">
        <f aca="false">MATCH(A754,월별!$C$6:$C$41,1)</f>
        <v>25</v>
      </c>
      <c r="C754" s="11" t="n">
        <f aca="false">L753</f>
        <v>100</v>
      </c>
      <c r="D754" s="24" t="n">
        <f aca="false">C754*가정!$B$8</f>
        <v>500</v>
      </c>
      <c r="E754" s="24" t="n">
        <f aca="false">H753+D753</f>
        <v>233053.668341709</v>
      </c>
      <c r="F754" s="11" t="n">
        <f aca="false">IF(가정!$B$11=1,MAX(0,MIN(가정!$B$16-C754,INT(E754/가정!$B$17))),0)</f>
        <v>0</v>
      </c>
      <c r="G754" s="24" t="n">
        <f aca="false">F754*가정!$B$17</f>
        <v>0</v>
      </c>
      <c r="H754" s="24" t="n">
        <f aca="false">E754-G754</f>
        <v>233053.668341709</v>
      </c>
      <c r="I754" s="24" t="n">
        <f aca="false">I753+D754</f>
        <v>260020</v>
      </c>
      <c r="J754" s="16" t="n">
        <f aca="false">(H754+D754)*가정!$B$10</f>
        <v>233553.668341709</v>
      </c>
      <c r="K754" s="24" t="n">
        <f aca="false">A754*가정!$B$8*가정!$B$7</f>
        <v>3750</v>
      </c>
      <c r="L754" s="11" t="n">
        <f aca="false">C754+F754</f>
        <v>100</v>
      </c>
    </row>
    <row r="755" customFormat="false" ht="15" hidden="false" customHeight="false" outlineLevel="0" collapsed="false">
      <c r="A755" s="11" t="n">
        <v>751</v>
      </c>
      <c r="B755" s="11" t="n">
        <f aca="false">MATCH(A755,월별!$C$6:$C$41,1)</f>
        <v>25</v>
      </c>
      <c r="C755" s="11" t="n">
        <f aca="false">L754</f>
        <v>100</v>
      </c>
      <c r="D755" s="24" t="n">
        <f aca="false">C755*가정!$B$8</f>
        <v>500</v>
      </c>
      <c r="E755" s="24" t="n">
        <f aca="false">H754+D754</f>
        <v>233553.668341709</v>
      </c>
      <c r="F755" s="11" t="n">
        <f aca="false">IF(가정!$B$11=1,MAX(0,MIN(가정!$B$16-C755,INT(E755/가정!$B$17))),0)</f>
        <v>0</v>
      </c>
      <c r="G755" s="24" t="n">
        <f aca="false">F755*가정!$B$17</f>
        <v>0</v>
      </c>
      <c r="H755" s="24" t="n">
        <f aca="false">E755-G755</f>
        <v>233553.668341709</v>
      </c>
      <c r="I755" s="24" t="n">
        <f aca="false">I754+D755</f>
        <v>260520</v>
      </c>
      <c r="J755" s="16" t="n">
        <f aca="false">(H755+D755)*가정!$B$10</f>
        <v>234053.668341709</v>
      </c>
      <c r="K755" s="24" t="n">
        <f aca="false">A755*가정!$B$8*가정!$B$7</f>
        <v>3755</v>
      </c>
      <c r="L755" s="11" t="n">
        <f aca="false">C755+F755</f>
        <v>100</v>
      </c>
    </row>
    <row r="756" customFormat="false" ht="15" hidden="false" customHeight="false" outlineLevel="0" collapsed="false">
      <c r="A756" s="11" t="n">
        <v>752</v>
      </c>
      <c r="B756" s="11" t="n">
        <f aca="false">MATCH(A756,월별!$C$6:$C$41,1)</f>
        <v>25</v>
      </c>
      <c r="C756" s="11" t="n">
        <f aca="false">L755</f>
        <v>100</v>
      </c>
      <c r="D756" s="24" t="n">
        <f aca="false">C756*가정!$B$8</f>
        <v>500</v>
      </c>
      <c r="E756" s="24" t="n">
        <f aca="false">H755+D755</f>
        <v>234053.668341709</v>
      </c>
      <c r="F756" s="11" t="n">
        <f aca="false">IF(가정!$B$11=1,MAX(0,MIN(가정!$B$16-C756,INT(E756/가정!$B$17))),0)</f>
        <v>0</v>
      </c>
      <c r="G756" s="24" t="n">
        <f aca="false">F756*가정!$B$17</f>
        <v>0</v>
      </c>
      <c r="H756" s="24" t="n">
        <f aca="false">E756-G756</f>
        <v>234053.668341709</v>
      </c>
      <c r="I756" s="24" t="n">
        <f aca="false">I755+D756</f>
        <v>261020</v>
      </c>
      <c r="J756" s="16" t="n">
        <f aca="false">(H756+D756)*가정!$B$10</f>
        <v>234553.668341709</v>
      </c>
      <c r="K756" s="24" t="n">
        <f aca="false">A756*가정!$B$8*가정!$B$7</f>
        <v>3760</v>
      </c>
      <c r="L756" s="11" t="n">
        <f aca="false">C756+F756</f>
        <v>100</v>
      </c>
    </row>
    <row r="757" customFormat="false" ht="15" hidden="false" customHeight="false" outlineLevel="0" collapsed="false">
      <c r="A757" s="11" t="n">
        <v>753</v>
      </c>
      <c r="B757" s="11" t="n">
        <f aca="false">MATCH(A757,월별!$C$6:$C$41,1)</f>
        <v>25</v>
      </c>
      <c r="C757" s="11" t="n">
        <f aca="false">L756</f>
        <v>100</v>
      </c>
      <c r="D757" s="24" t="n">
        <f aca="false">C757*가정!$B$8</f>
        <v>500</v>
      </c>
      <c r="E757" s="24" t="n">
        <f aca="false">H756+D756</f>
        <v>234553.668341709</v>
      </c>
      <c r="F757" s="11" t="n">
        <f aca="false">IF(가정!$B$11=1,MAX(0,MIN(가정!$B$16-C757,INT(E757/가정!$B$17))),0)</f>
        <v>0</v>
      </c>
      <c r="G757" s="24" t="n">
        <f aca="false">F757*가정!$B$17</f>
        <v>0</v>
      </c>
      <c r="H757" s="24" t="n">
        <f aca="false">E757-G757</f>
        <v>234553.668341709</v>
      </c>
      <c r="I757" s="24" t="n">
        <f aca="false">I756+D757</f>
        <v>261520</v>
      </c>
      <c r="J757" s="16" t="n">
        <f aca="false">(H757+D757)*가정!$B$10</f>
        <v>235053.668341709</v>
      </c>
      <c r="K757" s="24" t="n">
        <f aca="false">A757*가정!$B$8*가정!$B$7</f>
        <v>3765</v>
      </c>
      <c r="L757" s="11" t="n">
        <f aca="false">C757+F757</f>
        <v>100</v>
      </c>
    </row>
    <row r="758" customFormat="false" ht="15" hidden="false" customHeight="false" outlineLevel="0" collapsed="false">
      <c r="A758" s="11" t="n">
        <v>754</v>
      </c>
      <c r="B758" s="11" t="n">
        <f aca="false">MATCH(A758,월별!$C$6:$C$41,1)</f>
        <v>25</v>
      </c>
      <c r="C758" s="11" t="n">
        <f aca="false">L757</f>
        <v>100</v>
      </c>
      <c r="D758" s="24" t="n">
        <f aca="false">C758*가정!$B$8</f>
        <v>500</v>
      </c>
      <c r="E758" s="24" t="n">
        <f aca="false">H757+D757</f>
        <v>235053.668341709</v>
      </c>
      <c r="F758" s="11" t="n">
        <f aca="false">IF(가정!$B$11=1,MAX(0,MIN(가정!$B$16-C758,INT(E758/가정!$B$17))),0)</f>
        <v>0</v>
      </c>
      <c r="G758" s="24" t="n">
        <f aca="false">F758*가정!$B$17</f>
        <v>0</v>
      </c>
      <c r="H758" s="24" t="n">
        <f aca="false">E758-G758</f>
        <v>235053.668341709</v>
      </c>
      <c r="I758" s="24" t="n">
        <f aca="false">I757+D758</f>
        <v>262020</v>
      </c>
      <c r="J758" s="16" t="n">
        <f aca="false">(H758+D758)*가정!$B$10</f>
        <v>235553.668341709</v>
      </c>
      <c r="K758" s="24" t="n">
        <f aca="false">A758*가정!$B$8*가정!$B$7</f>
        <v>3770</v>
      </c>
      <c r="L758" s="11" t="n">
        <f aca="false">C758+F758</f>
        <v>100</v>
      </c>
    </row>
    <row r="759" customFormat="false" ht="15" hidden="false" customHeight="false" outlineLevel="0" collapsed="false">
      <c r="A759" s="11" t="n">
        <v>755</v>
      </c>
      <c r="B759" s="11" t="n">
        <f aca="false">MATCH(A759,월별!$C$6:$C$41,1)</f>
        <v>25</v>
      </c>
      <c r="C759" s="11" t="n">
        <f aca="false">L758</f>
        <v>100</v>
      </c>
      <c r="D759" s="24" t="n">
        <f aca="false">C759*가정!$B$8</f>
        <v>500</v>
      </c>
      <c r="E759" s="24" t="n">
        <f aca="false">H758+D758</f>
        <v>235553.668341709</v>
      </c>
      <c r="F759" s="11" t="n">
        <f aca="false">IF(가정!$B$11=1,MAX(0,MIN(가정!$B$16-C759,INT(E759/가정!$B$17))),0)</f>
        <v>0</v>
      </c>
      <c r="G759" s="24" t="n">
        <f aca="false">F759*가정!$B$17</f>
        <v>0</v>
      </c>
      <c r="H759" s="24" t="n">
        <f aca="false">E759-G759</f>
        <v>235553.668341709</v>
      </c>
      <c r="I759" s="24" t="n">
        <f aca="false">I758+D759</f>
        <v>262520</v>
      </c>
      <c r="J759" s="16" t="n">
        <f aca="false">(H759+D759)*가정!$B$10</f>
        <v>236053.668341709</v>
      </c>
      <c r="K759" s="24" t="n">
        <f aca="false">A759*가정!$B$8*가정!$B$7</f>
        <v>3775</v>
      </c>
      <c r="L759" s="11" t="n">
        <f aca="false">C759+F759</f>
        <v>100</v>
      </c>
    </row>
    <row r="760" customFormat="false" ht="15" hidden="false" customHeight="false" outlineLevel="0" collapsed="false">
      <c r="A760" s="11" t="n">
        <v>756</v>
      </c>
      <c r="B760" s="11" t="n">
        <f aca="false">MATCH(A760,월별!$C$6:$C$41,1)</f>
        <v>25</v>
      </c>
      <c r="C760" s="11" t="n">
        <f aca="false">L759</f>
        <v>100</v>
      </c>
      <c r="D760" s="24" t="n">
        <f aca="false">C760*가정!$B$8</f>
        <v>500</v>
      </c>
      <c r="E760" s="24" t="n">
        <f aca="false">H759+D759</f>
        <v>236053.668341709</v>
      </c>
      <c r="F760" s="11" t="n">
        <f aca="false">IF(가정!$B$11=1,MAX(0,MIN(가정!$B$16-C760,INT(E760/가정!$B$17))),0)</f>
        <v>0</v>
      </c>
      <c r="G760" s="24" t="n">
        <f aca="false">F760*가정!$B$17</f>
        <v>0</v>
      </c>
      <c r="H760" s="24" t="n">
        <f aca="false">E760-G760</f>
        <v>236053.668341709</v>
      </c>
      <c r="I760" s="24" t="n">
        <f aca="false">I759+D760</f>
        <v>263020</v>
      </c>
      <c r="J760" s="16" t="n">
        <f aca="false">(H760+D760)*가정!$B$10</f>
        <v>236553.668341709</v>
      </c>
      <c r="K760" s="24" t="n">
        <f aca="false">A760*가정!$B$8*가정!$B$7</f>
        <v>3780</v>
      </c>
      <c r="L760" s="11" t="n">
        <f aca="false">C760+F760</f>
        <v>100</v>
      </c>
    </row>
    <row r="761" customFormat="false" ht="15" hidden="false" customHeight="false" outlineLevel="0" collapsed="false">
      <c r="A761" s="11" t="n">
        <v>757</v>
      </c>
      <c r="B761" s="11" t="n">
        <f aca="false">MATCH(A761,월별!$C$6:$C$41,1)</f>
        <v>25</v>
      </c>
      <c r="C761" s="11" t="n">
        <f aca="false">L760</f>
        <v>100</v>
      </c>
      <c r="D761" s="24" t="n">
        <f aca="false">C761*가정!$B$8</f>
        <v>500</v>
      </c>
      <c r="E761" s="24" t="n">
        <f aca="false">H760+D760</f>
        <v>236553.668341709</v>
      </c>
      <c r="F761" s="11" t="n">
        <f aca="false">IF(가정!$B$11=1,MAX(0,MIN(가정!$B$16-C761,INT(E761/가정!$B$17))),0)</f>
        <v>0</v>
      </c>
      <c r="G761" s="24" t="n">
        <f aca="false">F761*가정!$B$17</f>
        <v>0</v>
      </c>
      <c r="H761" s="24" t="n">
        <f aca="false">E761-G761</f>
        <v>236553.668341709</v>
      </c>
      <c r="I761" s="24" t="n">
        <f aca="false">I760+D761</f>
        <v>263520</v>
      </c>
      <c r="J761" s="16" t="n">
        <f aca="false">(H761+D761)*가정!$B$10</f>
        <v>237053.668341709</v>
      </c>
      <c r="K761" s="24" t="n">
        <f aca="false">A761*가정!$B$8*가정!$B$7</f>
        <v>3785</v>
      </c>
      <c r="L761" s="11" t="n">
        <f aca="false">C761+F761</f>
        <v>100</v>
      </c>
    </row>
    <row r="762" customFormat="false" ht="15" hidden="false" customHeight="false" outlineLevel="0" collapsed="false">
      <c r="A762" s="11" t="n">
        <v>758</v>
      </c>
      <c r="B762" s="11" t="n">
        <f aca="false">MATCH(A762,월별!$C$6:$C$41,1)</f>
        <v>25</v>
      </c>
      <c r="C762" s="11" t="n">
        <f aca="false">L761</f>
        <v>100</v>
      </c>
      <c r="D762" s="24" t="n">
        <f aca="false">C762*가정!$B$8</f>
        <v>500</v>
      </c>
      <c r="E762" s="24" t="n">
        <f aca="false">H761+D761</f>
        <v>237053.668341709</v>
      </c>
      <c r="F762" s="11" t="n">
        <f aca="false">IF(가정!$B$11=1,MAX(0,MIN(가정!$B$16-C762,INT(E762/가정!$B$17))),0)</f>
        <v>0</v>
      </c>
      <c r="G762" s="24" t="n">
        <f aca="false">F762*가정!$B$17</f>
        <v>0</v>
      </c>
      <c r="H762" s="24" t="n">
        <f aca="false">E762-G762</f>
        <v>237053.668341709</v>
      </c>
      <c r="I762" s="24" t="n">
        <f aca="false">I761+D762</f>
        <v>264020</v>
      </c>
      <c r="J762" s="16" t="n">
        <f aca="false">(H762+D762)*가정!$B$10</f>
        <v>237553.668341709</v>
      </c>
      <c r="K762" s="24" t="n">
        <f aca="false">A762*가정!$B$8*가정!$B$7</f>
        <v>3790</v>
      </c>
      <c r="L762" s="11" t="n">
        <f aca="false">C762+F762</f>
        <v>100</v>
      </c>
    </row>
    <row r="763" customFormat="false" ht="15" hidden="false" customHeight="false" outlineLevel="0" collapsed="false">
      <c r="A763" s="11" t="n">
        <v>759</v>
      </c>
      <c r="B763" s="11" t="n">
        <f aca="false">MATCH(A763,월별!$C$6:$C$41,1)</f>
        <v>25</v>
      </c>
      <c r="C763" s="11" t="n">
        <f aca="false">L762</f>
        <v>100</v>
      </c>
      <c r="D763" s="24" t="n">
        <f aca="false">C763*가정!$B$8</f>
        <v>500</v>
      </c>
      <c r="E763" s="24" t="n">
        <f aca="false">H762+D762</f>
        <v>237553.668341709</v>
      </c>
      <c r="F763" s="11" t="n">
        <f aca="false">IF(가정!$B$11=1,MAX(0,MIN(가정!$B$16-C763,INT(E763/가정!$B$17))),0)</f>
        <v>0</v>
      </c>
      <c r="G763" s="24" t="n">
        <f aca="false">F763*가정!$B$17</f>
        <v>0</v>
      </c>
      <c r="H763" s="24" t="n">
        <f aca="false">E763-G763</f>
        <v>237553.668341709</v>
      </c>
      <c r="I763" s="24" t="n">
        <f aca="false">I762+D763</f>
        <v>264520</v>
      </c>
      <c r="J763" s="16" t="n">
        <f aca="false">(H763+D763)*가정!$B$10</f>
        <v>238053.668341709</v>
      </c>
      <c r="K763" s="24" t="n">
        <f aca="false">A763*가정!$B$8*가정!$B$7</f>
        <v>3795</v>
      </c>
      <c r="L763" s="11" t="n">
        <f aca="false">C763+F763</f>
        <v>100</v>
      </c>
    </row>
    <row r="764" customFormat="false" ht="15" hidden="false" customHeight="false" outlineLevel="0" collapsed="false">
      <c r="A764" s="11" t="n">
        <v>760</v>
      </c>
      <c r="B764" s="11" t="n">
        <f aca="false">MATCH(A764,월별!$C$6:$C$41,1)</f>
        <v>25</v>
      </c>
      <c r="C764" s="11" t="n">
        <f aca="false">L763</f>
        <v>100</v>
      </c>
      <c r="D764" s="24" t="n">
        <f aca="false">C764*가정!$B$8</f>
        <v>500</v>
      </c>
      <c r="E764" s="24" t="n">
        <f aca="false">H763+D763</f>
        <v>238053.668341709</v>
      </c>
      <c r="F764" s="11" t="n">
        <f aca="false">IF(가정!$B$11=1,MAX(0,MIN(가정!$B$16-C764,INT(E764/가정!$B$17))),0)</f>
        <v>0</v>
      </c>
      <c r="G764" s="24" t="n">
        <f aca="false">F764*가정!$B$17</f>
        <v>0</v>
      </c>
      <c r="H764" s="24" t="n">
        <f aca="false">E764-G764</f>
        <v>238053.668341709</v>
      </c>
      <c r="I764" s="24" t="n">
        <f aca="false">I763+D764</f>
        <v>265020</v>
      </c>
      <c r="J764" s="16" t="n">
        <f aca="false">(H764+D764)*가정!$B$10</f>
        <v>238553.668341709</v>
      </c>
      <c r="K764" s="24" t="n">
        <f aca="false">A764*가정!$B$8*가정!$B$7</f>
        <v>3800</v>
      </c>
      <c r="L764" s="11" t="n">
        <f aca="false">C764+F764</f>
        <v>100</v>
      </c>
    </row>
    <row r="765" customFormat="false" ht="15" hidden="false" customHeight="false" outlineLevel="0" collapsed="false">
      <c r="A765" s="11" t="n">
        <v>761</v>
      </c>
      <c r="B765" s="11" t="n">
        <f aca="false">MATCH(A765,월별!$C$6:$C$41,1)</f>
        <v>26</v>
      </c>
      <c r="C765" s="11" t="n">
        <f aca="false">L764</f>
        <v>100</v>
      </c>
      <c r="D765" s="24" t="n">
        <f aca="false">C765*가정!$B$8</f>
        <v>500</v>
      </c>
      <c r="E765" s="24" t="n">
        <f aca="false">H764+D764</f>
        <v>238553.668341709</v>
      </c>
      <c r="F765" s="11" t="n">
        <f aca="false">IF(가정!$B$11=1,MAX(0,MIN(가정!$B$16-C765,INT(E765/가정!$B$17))),0)</f>
        <v>0</v>
      </c>
      <c r="G765" s="24" t="n">
        <f aca="false">F765*가정!$B$17</f>
        <v>0</v>
      </c>
      <c r="H765" s="24" t="n">
        <f aca="false">E765-G765</f>
        <v>238553.668341709</v>
      </c>
      <c r="I765" s="24" t="n">
        <f aca="false">I764+D765</f>
        <v>265520</v>
      </c>
      <c r="J765" s="16" t="n">
        <f aca="false">(H765+D765)*가정!$B$10</f>
        <v>239053.668341709</v>
      </c>
      <c r="K765" s="24" t="n">
        <f aca="false">A765*가정!$B$8*가정!$B$7</f>
        <v>3805</v>
      </c>
      <c r="L765" s="11" t="n">
        <f aca="false">C765+F765</f>
        <v>100</v>
      </c>
    </row>
    <row r="766" customFormat="false" ht="15" hidden="false" customHeight="false" outlineLevel="0" collapsed="false">
      <c r="A766" s="11" t="n">
        <v>762</v>
      </c>
      <c r="B766" s="11" t="n">
        <f aca="false">MATCH(A766,월별!$C$6:$C$41,1)</f>
        <v>26</v>
      </c>
      <c r="C766" s="11" t="n">
        <f aca="false">L765</f>
        <v>100</v>
      </c>
      <c r="D766" s="24" t="n">
        <f aca="false">C766*가정!$B$8</f>
        <v>500</v>
      </c>
      <c r="E766" s="24" t="n">
        <f aca="false">H765+D765</f>
        <v>239053.668341709</v>
      </c>
      <c r="F766" s="11" t="n">
        <f aca="false">IF(가정!$B$11=1,MAX(0,MIN(가정!$B$16-C766,INT(E766/가정!$B$17))),0)</f>
        <v>0</v>
      </c>
      <c r="G766" s="24" t="n">
        <f aca="false">F766*가정!$B$17</f>
        <v>0</v>
      </c>
      <c r="H766" s="24" t="n">
        <f aca="false">E766-G766</f>
        <v>239053.668341709</v>
      </c>
      <c r="I766" s="24" t="n">
        <f aca="false">I765+D766</f>
        <v>266020</v>
      </c>
      <c r="J766" s="16" t="n">
        <f aca="false">(H766+D766)*가정!$B$10</f>
        <v>239553.668341709</v>
      </c>
      <c r="K766" s="24" t="n">
        <f aca="false">A766*가정!$B$8*가정!$B$7</f>
        <v>3810</v>
      </c>
      <c r="L766" s="11" t="n">
        <f aca="false">C766+F766</f>
        <v>100</v>
      </c>
    </row>
    <row r="767" customFormat="false" ht="15" hidden="false" customHeight="false" outlineLevel="0" collapsed="false">
      <c r="A767" s="11" t="n">
        <v>763</v>
      </c>
      <c r="B767" s="11" t="n">
        <f aca="false">MATCH(A767,월별!$C$6:$C$41,1)</f>
        <v>26</v>
      </c>
      <c r="C767" s="11" t="n">
        <f aca="false">L766</f>
        <v>100</v>
      </c>
      <c r="D767" s="24" t="n">
        <f aca="false">C767*가정!$B$8</f>
        <v>500</v>
      </c>
      <c r="E767" s="24" t="n">
        <f aca="false">H766+D766</f>
        <v>239553.668341709</v>
      </c>
      <c r="F767" s="11" t="n">
        <f aca="false">IF(가정!$B$11=1,MAX(0,MIN(가정!$B$16-C767,INT(E767/가정!$B$17))),0)</f>
        <v>0</v>
      </c>
      <c r="G767" s="24" t="n">
        <f aca="false">F767*가정!$B$17</f>
        <v>0</v>
      </c>
      <c r="H767" s="24" t="n">
        <f aca="false">E767-G767</f>
        <v>239553.668341709</v>
      </c>
      <c r="I767" s="24" t="n">
        <f aca="false">I766+D767</f>
        <v>266520</v>
      </c>
      <c r="J767" s="16" t="n">
        <f aca="false">(H767+D767)*가정!$B$10</f>
        <v>240053.668341709</v>
      </c>
      <c r="K767" s="24" t="n">
        <f aca="false">A767*가정!$B$8*가정!$B$7</f>
        <v>3815</v>
      </c>
      <c r="L767" s="11" t="n">
        <f aca="false">C767+F767</f>
        <v>100</v>
      </c>
    </row>
    <row r="768" customFormat="false" ht="15" hidden="false" customHeight="false" outlineLevel="0" collapsed="false">
      <c r="A768" s="11" t="n">
        <v>764</v>
      </c>
      <c r="B768" s="11" t="n">
        <f aca="false">MATCH(A768,월별!$C$6:$C$41,1)</f>
        <v>26</v>
      </c>
      <c r="C768" s="11" t="n">
        <f aca="false">L767</f>
        <v>100</v>
      </c>
      <c r="D768" s="24" t="n">
        <f aca="false">C768*가정!$B$8</f>
        <v>500</v>
      </c>
      <c r="E768" s="24" t="n">
        <f aca="false">H767+D767</f>
        <v>240053.668341709</v>
      </c>
      <c r="F768" s="11" t="n">
        <f aca="false">IF(가정!$B$11=1,MAX(0,MIN(가정!$B$16-C768,INT(E768/가정!$B$17))),0)</f>
        <v>0</v>
      </c>
      <c r="G768" s="24" t="n">
        <f aca="false">F768*가정!$B$17</f>
        <v>0</v>
      </c>
      <c r="H768" s="24" t="n">
        <f aca="false">E768-G768</f>
        <v>240053.668341709</v>
      </c>
      <c r="I768" s="24" t="n">
        <f aca="false">I767+D768</f>
        <v>267020</v>
      </c>
      <c r="J768" s="16" t="n">
        <f aca="false">(H768+D768)*가정!$B$10</f>
        <v>240553.668341709</v>
      </c>
      <c r="K768" s="24" t="n">
        <f aca="false">A768*가정!$B$8*가정!$B$7</f>
        <v>3820</v>
      </c>
      <c r="L768" s="11" t="n">
        <f aca="false">C768+F768</f>
        <v>100</v>
      </c>
    </row>
    <row r="769" customFormat="false" ht="15" hidden="false" customHeight="false" outlineLevel="0" collapsed="false">
      <c r="A769" s="11" t="n">
        <v>765</v>
      </c>
      <c r="B769" s="11" t="n">
        <f aca="false">MATCH(A769,월별!$C$6:$C$41,1)</f>
        <v>26</v>
      </c>
      <c r="C769" s="11" t="n">
        <f aca="false">L768</f>
        <v>100</v>
      </c>
      <c r="D769" s="24" t="n">
        <f aca="false">C769*가정!$B$8</f>
        <v>500</v>
      </c>
      <c r="E769" s="24" t="n">
        <f aca="false">H768+D768</f>
        <v>240553.668341709</v>
      </c>
      <c r="F769" s="11" t="n">
        <f aca="false">IF(가정!$B$11=1,MAX(0,MIN(가정!$B$16-C769,INT(E769/가정!$B$17))),0)</f>
        <v>0</v>
      </c>
      <c r="G769" s="24" t="n">
        <f aca="false">F769*가정!$B$17</f>
        <v>0</v>
      </c>
      <c r="H769" s="24" t="n">
        <f aca="false">E769-G769</f>
        <v>240553.668341709</v>
      </c>
      <c r="I769" s="24" t="n">
        <f aca="false">I768+D769</f>
        <v>267520</v>
      </c>
      <c r="J769" s="16" t="n">
        <f aca="false">(H769+D769)*가정!$B$10</f>
        <v>241053.668341709</v>
      </c>
      <c r="K769" s="24" t="n">
        <f aca="false">A769*가정!$B$8*가정!$B$7</f>
        <v>3825</v>
      </c>
      <c r="L769" s="11" t="n">
        <f aca="false">C769+F769</f>
        <v>100</v>
      </c>
    </row>
    <row r="770" customFormat="false" ht="15" hidden="false" customHeight="false" outlineLevel="0" collapsed="false">
      <c r="A770" s="11" t="n">
        <v>766</v>
      </c>
      <c r="B770" s="11" t="n">
        <f aca="false">MATCH(A770,월별!$C$6:$C$41,1)</f>
        <v>26</v>
      </c>
      <c r="C770" s="11" t="n">
        <f aca="false">L769</f>
        <v>100</v>
      </c>
      <c r="D770" s="24" t="n">
        <f aca="false">C770*가정!$B$8</f>
        <v>500</v>
      </c>
      <c r="E770" s="24" t="n">
        <f aca="false">H769+D769</f>
        <v>241053.668341709</v>
      </c>
      <c r="F770" s="11" t="n">
        <f aca="false">IF(가정!$B$11=1,MAX(0,MIN(가정!$B$16-C770,INT(E770/가정!$B$17))),0)</f>
        <v>0</v>
      </c>
      <c r="G770" s="24" t="n">
        <f aca="false">F770*가정!$B$17</f>
        <v>0</v>
      </c>
      <c r="H770" s="24" t="n">
        <f aca="false">E770-G770</f>
        <v>241053.668341709</v>
      </c>
      <c r="I770" s="24" t="n">
        <f aca="false">I769+D770</f>
        <v>268020</v>
      </c>
      <c r="J770" s="16" t="n">
        <f aca="false">(H770+D770)*가정!$B$10</f>
        <v>241553.668341709</v>
      </c>
      <c r="K770" s="24" t="n">
        <f aca="false">A770*가정!$B$8*가정!$B$7</f>
        <v>3830</v>
      </c>
      <c r="L770" s="11" t="n">
        <f aca="false">C770+F770</f>
        <v>100</v>
      </c>
    </row>
    <row r="771" customFormat="false" ht="15" hidden="false" customHeight="false" outlineLevel="0" collapsed="false">
      <c r="A771" s="11" t="n">
        <v>767</v>
      </c>
      <c r="B771" s="11" t="n">
        <f aca="false">MATCH(A771,월별!$C$6:$C$41,1)</f>
        <v>26</v>
      </c>
      <c r="C771" s="11" t="n">
        <f aca="false">L770</f>
        <v>100</v>
      </c>
      <c r="D771" s="24" t="n">
        <f aca="false">C771*가정!$B$8</f>
        <v>500</v>
      </c>
      <c r="E771" s="24" t="n">
        <f aca="false">H770+D770</f>
        <v>241553.668341709</v>
      </c>
      <c r="F771" s="11" t="n">
        <f aca="false">IF(가정!$B$11=1,MAX(0,MIN(가정!$B$16-C771,INT(E771/가정!$B$17))),0)</f>
        <v>0</v>
      </c>
      <c r="G771" s="24" t="n">
        <f aca="false">F771*가정!$B$17</f>
        <v>0</v>
      </c>
      <c r="H771" s="24" t="n">
        <f aca="false">E771-G771</f>
        <v>241553.668341709</v>
      </c>
      <c r="I771" s="24" t="n">
        <f aca="false">I770+D771</f>
        <v>268520</v>
      </c>
      <c r="J771" s="16" t="n">
        <f aca="false">(H771+D771)*가정!$B$10</f>
        <v>242053.668341709</v>
      </c>
      <c r="K771" s="24" t="n">
        <f aca="false">A771*가정!$B$8*가정!$B$7</f>
        <v>3835</v>
      </c>
      <c r="L771" s="11" t="n">
        <f aca="false">C771+F771</f>
        <v>100</v>
      </c>
    </row>
    <row r="772" customFormat="false" ht="15" hidden="false" customHeight="false" outlineLevel="0" collapsed="false">
      <c r="A772" s="11" t="n">
        <v>768</v>
      </c>
      <c r="B772" s="11" t="n">
        <f aca="false">MATCH(A772,월별!$C$6:$C$41,1)</f>
        <v>26</v>
      </c>
      <c r="C772" s="11" t="n">
        <f aca="false">L771</f>
        <v>100</v>
      </c>
      <c r="D772" s="24" t="n">
        <f aca="false">C772*가정!$B$8</f>
        <v>500</v>
      </c>
      <c r="E772" s="24" t="n">
        <f aca="false">H771+D771</f>
        <v>242053.668341709</v>
      </c>
      <c r="F772" s="11" t="n">
        <f aca="false">IF(가정!$B$11=1,MAX(0,MIN(가정!$B$16-C772,INT(E772/가정!$B$17))),0)</f>
        <v>0</v>
      </c>
      <c r="G772" s="24" t="n">
        <f aca="false">F772*가정!$B$17</f>
        <v>0</v>
      </c>
      <c r="H772" s="24" t="n">
        <f aca="false">E772-G772</f>
        <v>242053.668341709</v>
      </c>
      <c r="I772" s="24" t="n">
        <f aca="false">I771+D772</f>
        <v>269020</v>
      </c>
      <c r="J772" s="16" t="n">
        <f aca="false">(H772+D772)*가정!$B$10</f>
        <v>242553.668341709</v>
      </c>
      <c r="K772" s="24" t="n">
        <f aca="false">A772*가정!$B$8*가정!$B$7</f>
        <v>3840</v>
      </c>
      <c r="L772" s="11" t="n">
        <f aca="false">C772+F772</f>
        <v>100</v>
      </c>
    </row>
    <row r="773" customFormat="false" ht="15" hidden="false" customHeight="false" outlineLevel="0" collapsed="false">
      <c r="A773" s="11" t="n">
        <v>769</v>
      </c>
      <c r="B773" s="11" t="n">
        <f aca="false">MATCH(A773,월별!$C$6:$C$41,1)</f>
        <v>26</v>
      </c>
      <c r="C773" s="11" t="n">
        <f aca="false">L772</f>
        <v>100</v>
      </c>
      <c r="D773" s="24" t="n">
        <f aca="false">C773*가정!$B$8</f>
        <v>500</v>
      </c>
      <c r="E773" s="24" t="n">
        <f aca="false">H772+D772</f>
        <v>242553.668341709</v>
      </c>
      <c r="F773" s="11" t="n">
        <f aca="false">IF(가정!$B$11=1,MAX(0,MIN(가정!$B$16-C773,INT(E773/가정!$B$17))),0)</f>
        <v>0</v>
      </c>
      <c r="G773" s="24" t="n">
        <f aca="false">F773*가정!$B$17</f>
        <v>0</v>
      </c>
      <c r="H773" s="24" t="n">
        <f aca="false">E773-G773</f>
        <v>242553.668341709</v>
      </c>
      <c r="I773" s="24" t="n">
        <f aca="false">I772+D773</f>
        <v>269520</v>
      </c>
      <c r="J773" s="16" t="n">
        <f aca="false">(H773+D773)*가정!$B$10</f>
        <v>243053.668341709</v>
      </c>
      <c r="K773" s="24" t="n">
        <f aca="false">A773*가정!$B$8*가정!$B$7</f>
        <v>3845</v>
      </c>
      <c r="L773" s="11" t="n">
        <f aca="false">C773+F773</f>
        <v>100</v>
      </c>
    </row>
    <row r="774" customFormat="false" ht="15" hidden="false" customHeight="false" outlineLevel="0" collapsed="false">
      <c r="A774" s="11" t="n">
        <v>770</v>
      </c>
      <c r="B774" s="11" t="n">
        <f aca="false">MATCH(A774,월별!$C$6:$C$41,1)</f>
        <v>26</v>
      </c>
      <c r="C774" s="11" t="n">
        <f aca="false">L773</f>
        <v>100</v>
      </c>
      <c r="D774" s="24" t="n">
        <f aca="false">C774*가정!$B$8</f>
        <v>500</v>
      </c>
      <c r="E774" s="24" t="n">
        <f aca="false">H773+D773</f>
        <v>243053.668341709</v>
      </c>
      <c r="F774" s="11" t="n">
        <f aca="false">IF(가정!$B$11=1,MAX(0,MIN(가정!$B$16-C774,INT(E774/가정!$B$17))),0)</f>
        <v>0</v>
      </c>
      <c r="G774" s="24" t="n">
        <f aca="false">F774*가정!$B$17</f>
        <v>0</v>
      </c>
      <c r="H774" s="24" t="n">
        <f aca="false">E774-G774</f>
        <v>243053.668341709</v>
      </c>
      <c r="I774" s="24" t="n">
        <f aca="false">I773+D774</f>
        <v>270020</v>
      </c>
      <c r="J774" s="16" t="n">
        <f aca="false">(H774+D774)*가정!$B$10</f>
        <v>243553.668341709</v>
      </c>
      <c r="K774" s="24" t="n">
        <f aca="false">A774*가정!$B$8*가정!$B$7</f>
        <v>3850</v>
      </c>
      <c r="L774" s="11" t="n">
        <f aca="false">C774+F774</f>
        <v>100</v>
      </c>
    </row>
    <row r="775" customFormat="false" ht="15" hidden="false" customHeight="false" outlineLevel="0" collapsed="false">
      <c r="A775" s="11" t="n">
        <v>771</v>
      </c>
      <c r="B775" s="11" t="n">
        <f aca="false">MATCH(A775,월별!$C$6:$C$41,1)</f>
        <v>26</v>
      </c>
      <c r="C775" s="11" t="n">
        <f aca="false">L774</f>
        <v>100</v>
      </c>
      <c r="D775" s="24" t="n">
        <f aca="false">C775*가정!$B$8</f>
        <v>500</v>
      </c>
      <c r="E775" s="24" t="n">
        <f aca="false">H774+D774</f>
        <v>243553.668341709</v>
      </c>
      <c r="F775" s="11" t="n">
        <f aca="false">IF(가정!$B$11=1,MAX(0,MIN(가정!$B$16-C775,INT(E775/가정!$B$17))),0)</f>
        <v>0</v>
      </c>
      <c r="G775" s="24" t="n">
        <f aca="false">F775*가정!$B$17</f>
        <v>0</v>
      </c>
      <c r="H775" s="24" t="n">
        <f aca="false">E775-G775</f>
        <v>243553.668341709</v>
      </c>
      <c r="I775" s="24" t="n">
        <f aca="false">I774+D775</f>
        <v>270520</v>
      </c>
      <c r="J775" s="16" t="n">
        <f aca="false">(H775+D775)*가정!$B$10</f>
        <v>244053.668341709</v>
      </c>
      <c r="K775" s="24" t="n">
        <f aca="false">A775*가정!$B$8*가정!$B$7</f>
        <v>3855</v>
      </c>
      <c r="L775" s="11" t="n">
        <f aca="false">C775+F775</f>
        <v>100</v>
      </c>
    </row>
    <row r="776" customFormat="false" ht="15" hidden="false" customHeight="false" outlineLevel="0" collapsed="false">
      <c r="A776" s="11" t="n">
        <v>772</v>
      </c>
      <c r="B776" s="11" t="n">
        <f aca="false">MATCH(A776,월별!$C$6:$C$41,1)</f>
        <v>26</v>
      </c>
      <c r="C776" s="11" t="n">
        <f aca="false">L775</f>
        <v>100</v>
      </c>
      <c r="D776" s="24" t="n">
        <f aca="false">C776*가정!$B$8</f>
        <v>500</v>
      </c>
      <c r="E776" s="24" t="n">
        <f aca="false">H775+D775</f>
        <v>244053.668341709</v>
      </c>
      <c r="F776" s="11" t="n">
        <f aca="false">IF(가정!$B$11=1,MAX(0,MIN(가정!$B$16-C776,INT(E776/가정!$B$17))),0)</f>
        <v>0</v>
      </c>
      <c r="G776" s="24" t="n">
        <f aca="false">F776*가정!$B$17</f>
        <v>0</v>
      </c>
      <c r="H776" s="24" t="n">
        <f aca="false">E776-G776</f>
        <v>244053.668341709</v>
      </c>
      <c r="I776" s="24" t="n">
        <f aca="false">I775+D776</f>
        <v>271020</v>
      </c>
      <c r="J776" s="16" t="n">
        <f aca="false">(H776+D776)*가정!$B$10</f>
        <v>244553.668341709</v>
      </c>
      <c r="K776" s="24" t="n">
        <f aca="false">A776*가정!$B$8*가정!$B$7</f>
        <v>3860</v>
      </c>
      <c r="L776" s="11" t="n">
        <f aca="false">C776+F776</f>
        <v>100</v>
      </c>
    </row>
    <row r="777" customFormat="false" ht="15" hidden="false" customHeight="false" outlineLevel="0" collapsed="false">
      <c r="A777" s="11" t="n">
        <v>773</v>
      </c>
      <c r="B777" s="11" t="n">
        <f aca="false">MATCH(A777,월별!$C$6:$C$41,1)</f>
        <v>26</v>
      </c>
      <c r="C777" s="11" t="n">
        <f aca="false">L776</f>
        <v>100</v>
      </c>
      <c r="D777" s="24" t="n">
        <f aca="false">C777*가정!$B$8</f>
        <v>500</v>
      </c>
      <c r="E777" s="24" t="n">
        <f aca="false">H776+D776</f>
        <v>244553.668341709</v>
      </c>
      <c r="F777" s="11" t="n">
        <f aca="false">IF(가정!$B$11=1,MAX(0,MIN(가정!$B$16-C777,INT(E777/가정!$B$17))),0)</f>
        <v>0</v>
      </c>
      <c r="G777" s="24" t="n">
        <f aca="false">F777*가정!$B$17</f>
        <v>0</v>
      </c>
      <c r="H777" s="24" t="n">
        <f aca="false">E777-G777</f>
        <v>244553.668341709</v>
      </c>
      <c r="I777" s="24" t="n">
        <f aca="false">I776+D777</f>
        <v>271520</v>
      </c>
      <c r="J777" s="16" t="n">
        <f aca="false">(H777+D777)*가정!$B$10</f>
        <v>245053.668341709</v>
      </c>
      <c r="K777" s="24" t="n">
        <f aca="false">A777*가정!$B$8*가정!$B$7</f>
        <v>3865</v>
      </c>
      <c r="L777" s="11" t="n">
        <f aca="false">C777+F777</f>
        <v>100</v>
      </c>
    </row>
    <row r="778" customFormat="false" ht="15" hidden="false" customHeight="false" outlineLevel="0" collapsed="false">
      <c r="A778" s="11" t="n">
        <v>774</v>
      </c>
      <c r="B778" s="11" t="n">
        <f aca="false">MATCH(A778,월별!$C$6:$C$41,1)</f>
        <v>26</v>
      </c>
      <c r="C778" s="11" t="n">
        <f aca="false">L777</f>
        <v>100</v>
      </c>
      <c r="D778" s="24" t="n">
        <f aca="false">C778*가정!$B$8</f>
        <v>500</v>
      </c>
      <c r="E778" s="24" t="n">
        <f aca="false">H777+D777</f>
        <v>245053.668341709</v>
      </c>
      <c r="F778" s="11" t="n">
        <f aca="false">IF(가정!$B$11=1,MAX(0,MIN(가정!$B$16-C778,INT(E778/가정!$B$17))),0)</f>
        <v>0</v>
      </c>
      <c r="G778" s="24" t="n">
        <f aca="false">F778*가정!$B$17</f>
        <v>0</v>
      </c>
      <c r="H778" s="24" t="n">
        <f aca="false">E778-G778</f>
        <v>245053.668341709</v>
      </c>
      <c r="I778" s="24" t="n">
        <f aca="false">I777+D778</f>
        <v>272020</v>
      </c>
      <c r="J778" s="16" t="n">
        <f aca="false">(H778+D778)*가정!$B$10</f>
        <v>245553.668341709</v>
      </c>
      <c r="K778" s="24" t="n">
        <f aca="false">A778*가정!$B$8*가정!$B$7</f>
        <v>3870</v>
      </c>
      <c r="L778" s="11" t="n">
        <f aca="false">C778+F778</f>
        <v>100</v>
      </c>
    </row>
    <row r="779" customFormat="false" ht="15" hidden="false" customHeight="false" outlineLevel="0" collapsed="false">
      <c r="A779" s="11" t="n">
        <v>775</v>
      </c>
      <c r="B779" s="11" t="n">
        <f aca="false">MATCH(A779,월별!$C$6:$C$41,1)</f>
        <v>26</v>
      </c>
      <c r="C779" s="11" t="n">
        <f aca="false">L778</f>
        <v>100</v>
      </c>
      <c r="D779" s="24" t="n">
        <f aca="false">C779*가정!$B$8</f>
        <v>500</v>
      </c>
      <c r="E779" s="24" t="n">
        <f aca="false">H778+D778</f>
        <v>245553.668341709</v>
      </c>
      <c r="F779" s="11" t="n">
        <f aca="false">IF(가정!$B$11=1,MAX(0,MIN(가정!$B$16-C779,INT(E779/가정!$B$17))),0)</f>
        <v>0</v>
      </c>
      <c r="G779" s="24" t="n">
        <f aca="false">F779*가정!$B$17</f>
        <v>0</v>
      </c>
      <c r="H779" s="24" t="n">
        <f aca="false">E779-G779</f>
        <v>245553.668341709</v>
      </c>
      <c r="I779" s="24" t="n">
        <f aca="false">I778+D779</f>
        <v>272520</v>
      </c>
      <c r="J779" s="16" t="n">
        <f aca="false">(H779+D779)*가정!$B$10</f>
        <v>246053.668341709</v>
      </c>
      <c r="K779" s="24" t="n">
        <f aca="false">A779*가정!$B$8*가정!$B$7</f>
        <v>3875</v>
      </c>
      <c r="L779" s="11" t="n">
        <f aca="false">C779+F779</f>
        <v>100</v>
      </c>
    </row>
    <row r="780" customFormat="false" ht="15" hidden="false" customHeight="false" outlineLevel="0" collapsed="false">
      <c r="A780" s="11" t="n">
        <v>776</v>
      </c>
      <c r="B780" s="11" t="n">
        <f aca="false">MATCH(A780,월별!$C$6:$C$41,1)</f>
        <v>26</v>
      </c>
      <c r="C780" s="11" t="n">
        <f aca="false">L779</f>
        <v>100</v>
      </c>
      <c r="D780" s="24" t="n">
        <f aca="false">C780*가정!$B$8</f>
        <v>500</v>
      </c>
      <c r="E780" s="24" t="n">
        <f aca="false">H779+D779</f>
        <v>246053.668341709</v>
      </c>
      <c r="F780" s="11" t="n">
        <f aca="false">IF(가정!$B$11=1,MAX(0,MIN(가정!$B$16-C780,INT(E780/가정!$B$17))),0)</f>
        <v>0</v>
      </c>
      <c r="G780" s="24" t="n">
        <f aca="false">F780*가정!$B$17</f>
        <v>0</v>
      </c>
      <c r="H780" s="24" t="n">
        <f aca="false">E780-G780</f>
        <v>246053.668341709</v>
      </c>
      <c r="I780" s="24" t="n">
        <f aca="false">I779+D780</f>
        <v>273020</v>
      </c>
      <c r="J780" s="16" t="n">
        <f aca="false">(H780+D780)*가정!$B$10</f>
        <v>246553.668341709</v>
      </c>
      <c r="K780" s="24" t="n">
        <f aca="false">A780*가정!$B$8*가정!$B$7</f>
        <v>3880</v>
      </c>
      <c r="L780" s="11" t="n">
        <f aca="false">C780+F780</f>
        <v>100</v>
      </c>
    </row>
    <row r="781" customFormat="false" ht="15" hidden="false" customHeight="false" outlineLevel="0" collapsed="false">
      <c r="A781" s="11" t="n">
        <v>777</v>
      </c>
      <c r="B781" s="11" t="n">
        <f aca="false">MATCH(A781,월별!$C$6:$C$41,1)</f>
        <v>26</v>
      </c>
      <c r="C781" s="11" t="n">
        <f aca="false">L780</f>
        <v>100</v>
      </c>
      <c r="D781" s="24" t="n">
        <f aca="false">C781*가정!$B$8</f>
        <v>500</v>
      </c>
      <c r="E781" s="24" t="n">
        <f aca="false">H780+D780</f>
        <v>246553.668341709</v>
      </c>
      <c r="F781" s="11" t="n">
        <f aca="false">IF(가정!$B$11=1,MAX(0,MIN(가정!$B$16-C781,INT(E781/가정!$B$17))),0)</f>
        <v>0</v>
      </c>
      <c r="G781" s="24" t="n">
        <f aca="false">F781*가정!$B$17</f>
        <v>0</v>
      </c>
      <c r="H781" s="24" t="n">
        <f aca="false">E781-G781</f>
        <v>246553.668341709</v>
      </c>
      <c r="I781" s="24" t="n">
        <f aca="false">I780+D781</f>
        <v>273520</v>
      </c>
      <c r="J781" s="16" t="n">
        <f aca="false">(H781+D781)*가정!$B$10</f>
        <v>247053.668341709</v>
      </c>
      <c r="K781" s="24" t="n">
        <f aca="false">A781*가정!$B$8*가정!$B$7</f>
        <v>3885</v>
      </c>
      <c r="L781" s="11" t="n">
        <f aca="false">C781+F781</f>
        <v>100</v>
      </c>
    </row>
    <row r="782" customFormat="false" ht="15" hidden="false" customHeight="false" outlineLevel="0" collapsed="false">
      <c r="A782" s="11" t="n">
        <v>778</v>
      </c>
      <c r="B782" s="11" t="n">
        <f aca="false">MATCH(A782,월별!$C$6:$C$41,1)</f>
        <v>26</v>
      </c>
      <c r="C782" s="11" t="n">
        <f aca="false">L781</f>
        <v>100</v>
      </c>
      <c r="D782" s="24" t="n">
        <f aca="false">C782*가정!$B$8</f>
        <v>500</v>
      </c>
      <c r="E782" s="24" t="n">
        <f aca="false">H781+D781</f>
        <v>247053.668341709</v>
      </c>
      <c r="F782" s="11" t="n">
        <f aca="false">IF(가정!$B$11=1,MAX(0,MIN(가정!$B$16-C782,INT(E782/가정!$B$17))),0)</f>
        <v>0</v>
      </c>
      <c r="G782" s="24" t="n">
        <f aca="false">F782*가정!$B$17</f>
        <v>0</v>
      </c>
      <c r="H782" s="24" t="n">
        <f aca="false">E782-G782</f>
        <v>247053.668341709</v>
      </c>
      <c r="I782" s="24" t="n">
        <f aca="false">I781+D782</f>
        <v>274020</v>
      </c>
      <c r="J782" s="16" t="n">
        <f aca="false">(H782+D782)*가정!$B$10</f>
        <v>247553.668341709</v>
      </c>
      <c r="K782" s="24" t="n">
        <f aca="false">A782*가정!$B$8*가정!$B$7</f>
        <v>3890</v>
      </c>
      <c r="L782" s="11" t="n">
        <f aca="false">C782+F782</f>
        <v>100</v>
      </c>
    </row>
    <row r="783" customFormat="false" ht="15" hidden="false" customHeight="false" outlineLevel="0" collapsed="false">
      <c r="A783" s="11" t="n">
        <v>779</v>
      </c>
      <c r="B783" s="11" t="n">
        <f aca="false">MATCH(A783,월별!$C$6:$C$41,1)</f>
        <v>26</v>
      </c>
      <c r="C783" s="11" t="n">
        <f aca="false">L782</f>
        <v>100</v>
      </c>
      <c r="D783" s="24" t="n">
        <f aca="false">C783*가정!$B$8</f>
        <v>500</v>
      </c>
      <c r="E783" s="24" t="n">
        <f aca="false">H782+D782</f>
        <v>247553.668341709</v>
      </c>
      <c r="F783" s="11" t="n">
        <f aca="false">IF(가정!$B$11=1,MAX(0,MIN(가정!$B$16-C783,INT(E783/가정!$B$17))),0)</f>
        <v>0</v>
      </c>
      <c r="G783" s="24" t="n">
        <f aca="false">F783*가정!$B$17</f>
        <v>0</v>
      </c>
      <c r="H783" s="24" t="n">
        <f aca="false">E783-G783</f>
        <v>247553.668341709</v>
      </c>
      <c r="I783" s="24" t="n">
        <f aca="false">I782+D783</f>
        <v>274520</v>
      </c>
      <c r="J783" s="16" t="n">
        <f aca="false">(H783+D783)*가정!$B$10</f>
        <v>248053.668341709</v>
      </c>
      <c r="K783" s="24" t="n">
        <f aca="false">A783*가정!$B$8*가정!$B$7</f>
        <v>3895</v>
      </c>
      <c r="L783" s="11" t="n">
        <f aca="false">C783+F783</f>
        <v>100</v>
      </c>
    </row>
    <row r="784" customFormat="false" ht="15" hidden="false" customHeight="false" outlineLevel="0" collapsed="false">
      <c r="A784" s="11" t="n">
        <v>780</v>
      </c>
      <c r="B784" s="11" t="n">
        <f aca="false">MATCH(A784,월별!$C$6:$C$41,1)</f>
        <v>26</v>
      </c>
      <c r="C784" s="11" t="n">
        <f aca="false">L783</f>
        <v>100</v>
      </c>
      <c r="D784" s="24" t="n">
        <f aca="false">C784*가정!$B$8</f>
        <v>500</v>
      </c>
      <c r="E784" s="24" t="n">
        <f aca="false">H783+D783</f>
        <v>248053.668341709</v>
      </c>
      <c r="F784" s="11" t="n">
        <f aca="false">IF(가정!$B$11=1,MAX(0,MIN(가정!$B$16-C784,INT(E784/가정!$B$17))),0)</f>
        <v>0</v>
      </c>
      <c r="G784" s="24" t="n">
        <f aca="false">F784*가정!$B$17</f>
        <v>0</v>
      </c>
      <c r="H784" s="24" t="n">
        <f aca="false">E784-G784</f>
        <v>248053.668341709</v>
      </c>
      <c r="I784" s="24" t="n">
        <f aca="false">I783+D784</f>
        <v>275020</v>
      </c>
      <c r="J784" s="16" t="n">
        <f aca="false">(H784+D784)*가정!$B$10</f>
        <v>248553.668341709</v>
      </c>
      <c r="K784" s="24" t="n">
        <f aca="false">A784*가정!$B$8*가정!$B$7</f>
        <v>3900</v>
      </c>
      <c r="L784" s="11" t="n">
        <f aca="false">C784+F784</f>
        <v>100</v>
      </c>
    </row>
    <row r="785" customFormat="false" ht="15" hidden="false" customHeight="false" outlineLevel="0" collapsed="false">
      <c r="A785" s="11" t="n">
        <v>781</v>
      </c>
      <c r="B785" s="11" t="n">
        <f aca="false">MATCH(A785,월별!$C$6:$C$41,1)</f>
        <v>26</v>
      </c>
      <c r="C785" s="11" t="n">
        <f aca="false">L784</f>
        <v>100</v>
      </c>
      <c r="D785" s="24" t="n">
        <f aca="false">C785*가정!$B$8</f>
        <v>500</v>
      </c>
      <c r="E785" s="24" t="n">
        <f aca="false">H784+D784</f>
        <v>248553.668341709</v>
      </c>
      <c r="F785" s="11" t="n">
        <f aca="false">IF(가정!$B$11=1,MAX(0,MIN(가정!$B$16-C785,INT(E785/가정!$B$17))),0)</f>
        <v>0</v>
      </c>
      <c r="G785" s="24" t="n">
        <f aca="false">F785*가정!$B$17</f>
        <v>0</v>
      </c>
      <c r="H785" s="24" t="n">
        <f aca="false">E785-G785</f>
        <v>248553.668341709</v>
      </c>
      <c r="I785" s="24" t="n">
        <f aca="false">I784+D785</f>
        <v>275520</v>
      </c>
      <c r="J785" s="16" t="n">
        <f aca="false">(H785+D785)*가정!$B$10</f>
        <v>249053.668341709</v>
      </c>
      <c r="K785" s="24" t="n">
        <f aca="false">A785*가정!$B$8*가정!$B$7</f>
        <v>3905</v>
      </c>
      <c r="L785" s="11" t="n">
        <f aca="false">C785+F785</f>
        <v>100</v>
      </c>
    </row>
    <row r="786" customFormat="false" ht="15" hidden="false" customHeight="false" outlineLevel="0" collapsed="false">
      <c r="A786" s="11" t="n">
        <v>782</v>
      </c>
      <c r="B786" s="11" t="n">
        <f aca="false">MATCH(A786,월별!$C$6:$C$41,1)</f>
        <v>26</v>
      </c>
      <c r="C786" s="11" t="n">
        <f aca="false">L785</f>
        <v>100</v>
      </c>
      <c r="D786" s="24" t="n">
        <f aca="false">C786*가정!$B$8</f>
        <v>500</v>
      </c>
      <c r="E786" s="24" t="n">
        <f aca="false">H785+D785</f>
        <v>249053.668341709</v>
      </c>
      <c r="F786" s="11" t="n">
        <f aca="false">IF(가정!$B$11=1,MAX(0,MIN(가정!$B$16-C786,INT(E786/가정!$B$17))),0)</f>
        <v>0</v>
      </c>
      <c r="G786" s="24" t="n">
        <f aca="false">F786*가정!$B$17</f>
        <v>0</v>
      </c>
      <c r="H786" s="24" t="n">
        <f aca="false">E786-G786</f>
        <v>249053.668341709</v>
      </c>
      <c r="I786" s="24" t="n">
        <f aca="false">I785+D786</f>
        <v>276020</v>
      </c>
      <c r="J786" s="16" t="n">
        <f aca="false">(H786+D786)*가정!$B$10</f>
        <v>249553.668341709</v>
      </c>
      <c r="K786" s="24" t="n">
        <f aca="false">A786*가정!$B$8*가정!$B$7</f>
        <v>3910</v>
      </c>
      <c r="L786" s="11" t="n">
        <f aca="false">C786+F786</f>
        <v>100</v>
      </c>
    </row>
    <row r="787" customFormat="false" ht="15" hidden="false" customHeight="false" outlineLevel="0" collapsed="false">
      <c r="A787" s="11" t="n">
        <v>783</v>
      </c>
      <c r="B787" s="11" t="n">
        <f aca="false">MATCH(A787,월별!$C$6:$C$41,1)</f>
        <v>26</v>
      </c>
      <c r="C787" s="11" t="n">
        <f aca="false">L786</f>
        <v>100</v>
      </c>
      <c r="D787" s="24" t="n">
        <f aca="false">C787*가정!$B$8</f>
        <v>500</v>
      </c>
      <c r="E787" s="24" t="n">
        <f aca="false">H786+D786</f>
        <v>249553.668341709</v>
      </c>
      <c r="F787" s="11" t="n">
        <f aca="false">IF(가정!$B$11=1,MAX(0,MIN(가정!$B$16-C787,INT(E787/가정!$B$17))),0)</f>
        <v>0</v>
      </c>
      <c r="G787" s="24" t="n">
        <f aca="false">F787*가정!$B$17</f>
        <v>0</v>
      </c>
      <c r="H787" s="24" t="n">
        <f aca="false">E787-G787</f>
        <v>249553.668341709</v>
      </c>
      <c r="I787" s="24" t="n">
        <f aca="false">I786+D787</f>
        <v>276520</v>
      </c>
      <c r="J787" s="16" t="n">
        <f aca="false">(H787+D787)*가정!$B$10</f>
        <v>250053.668341709</v>
      </c>
      <c r="K787" s="24" t="n">
        <f aca="false">A787*가정!$B$8*가정!$B$7</f>
        <v>3915</v>
      </c>
      <c r="L787" s="11" t="n">
        <f aca="false">C787+F787</f>
        <v>100</v>
      </c>
    </row>
    <row r="788" customFormat="false" ht="15" hidden="false" customHeight="false" outlineLevel="0" collapsed="false">
      <c r="A788" s="11" t="n">
        <v>784</v>
      </c>
      <c r="B788" s="11" t="n">
        <f aca="false">MATCH(A788,월별!$C$6:$C$41,1)</f>
        <v>26</v>
      </c>
      <c r="C788" s="11" t="n">
        <f aca="false">L787</f>
        <v>100</v>
      </c>
      <c r="D788" s="24" t="n">
        <f aca="false">C788*가정!$B$8</f>
        <v>500</v>
      </c>
      <c r="E788" s="24" t="n">
        <f aca="false">H787+D787</f>
        <v>250053.668341709</v>
      </c>
      <c r="F788" s="11" t="n">
        <f aca="false">IF(가정!$B$11=1,MAX(0,MIN(가정!$B$16-C788,INT(E788/가정!$B$17))),0)</f>
        <v>0</v>
      </c>
      <c r="G788" s="24" t="n">
        <f aca="false">F788*가정!$B$17</f>
        <v>0</v>
      </c>
      <c r="H788" s="24" t="n">
        <f aca="false">E788-G788</f>
        <v>250053.668341709</v>
      </c>
      <c r="I788" s="24" t="n">
        <f aca="false">I787+D788</f>
        <v>277020</v>
      </c>
      <c r="J788" s="16" t="n">
        <f aca="false">(H788+D788)*가정!$B$10</f>
        <v>250553.668341709</v>
      </c>
      <c r="K788" s="24" t="n">
        <f aca="false">A788*가정!$B$8*가정!$B$7</f>
        <v>3920</v>
      </c>
      <c r="L788" s="11" t="n">
        <f aca="false">C788+F788</f>
        <v>100</v>
      </c>
    </row>
    <row r="789" customFormat="false" ht="15" hidden="false" customHeight="false" outlineLevel="0" collapsed="false">
      <c r="A789" s="11" t="n">
        <v>785</v>
      </c>
      <c r="B789" s="11" t="n">
        <f aca="false">MATCH(A789,월별!$C$6:$C$41,1)</f>
        <v>26</v>
      </c>
      <c r="C789" s="11" t="n">
        <f aca="false">L788</f>
        <v>100</v>
      </c>
      <c r="D789" s="24" t="n">
        <f aca="false">C789*가정!$B$8</f>
        <v>500</v>
      </c>
      <c r="E789" s="24" t="n">
        <f aca="false">H788+D788</f>
        <v>250553.668341709</v>
      </c>
      <c r="F789" s="11" t="n">
        <f aca="false">IF(가정!$B$11=1,MAX(0,MIN(가정!$B$16-C789,INT(E789/가정!$B$17))),0)</f>
        <v>0</v>
      </c>
      <c r="G789" s="24" t="n">
        <f aca="false">F789*가정!$B$17</f>
        <v>0</v>
      </c>
      <c r="H789" s="24" t="n">
        <f aca="false">E789-G789</f>
        <v>250553.668341709</v>
      </c>
      <c r="I789" s="24" t="n">
        <f aca="false">I788+D789</f>
        <v>277520</v>
      </c>
      <c r="J789" s="16" t="n">
        <f aca="false">(H789+D789)*가정!$B$10</f>
        <v>251053.668341709</v>
      </c>
      <c r="K789" s="24" t="n">
        <f aca="false">A789*가정!$B$8*가정!$B$7</f>
        <v>3925</v>
      </c>
      <c r="L789" s="11" t="n">
        <f aca="false">C789+F789</f>
        <v>100</v>
      </c>
    </row>
    <row r="790" customFormat="false" ht="15" hidden="false" customHeight="false" outlineLevel="0" collapsed="false">
      <c r="A790" s="11" t="n">
        <v>786</v>
      </c>
      <c r="B790" s="11" t="n">
        <f aca="false">MATCH(A790,월별!$C$6:$C$41,1)</f>
        <v>26</v>
      </c>
      <c r="C790" s="11" t="n">
        <f aca="false">L789</f>
        <v>100</v>
      </c>
      <c r="D790" s="24" t="n">
        <f aca="false">C790*가정!$B$8</f>
        <v>500</v>
      </c>
      <c r="E790" s="24" t="n">
        <f aca="false">H789+D789</f>
        <v>251053.668341709</v>
      </c>
      <c r="F790" s="11" t="n">
        <f aca="false">IF(가정!$B$11=1,MAX(0,MIN(가정!$B$16-C790,INT(E790/가정!$B$17))),0)</f>
        <v>0</v>
      </c>
      <c r="G790" s="24" t="n">
        <f aca="false">F790*가정!$B$17</f>
        <v>0</v>
      </c>
      <c r="H790" s="24" t="n">
        <f aca="false">E790-G790</f>
        <v>251053.668341709</v>
      </c>
      <c r="I790" s="24" t="n">
        <f aca="false">I789+D790</f>
        <v>278020</v>
      </c>
      <c r="J790" s="16" t="n">
        <f aca="false">(H790+D790)*가정!$B$10</f>
        <v>251553.668341709</v>
      </c>
      <c r="K790" s="24" t="n">
        <f aca="false">A790*가정!$B$8*가정!$B$7</f>
        <v>3930</v>
      </c>
      <c r="L790" s="11" t="n">
        <f aca="false">C790+F790</f>
        <v>100</v>
      </c>
    </row>
    <row r="791" customFormat="false" ht="15" hidden="false" customHeight="false" outlineLevel="0" collapsed="false">
      <c r="A791" s="11" t="n">
        <v>787</v>
      </c>
      <c r="B791" s="11" t="n">
        <f aca="false">MATCH(A791,월별!$C$6:$C$41,1)</f>
        <v>26</v>
      </c>
      <c r="C791" s="11" t="n">
        <f aca="false">L790</f>
        <v>100</v>
      </c>
      <c r="D791" s="24" t="n">
        <f aca="false">C791*가정!$B$8</f>
        <v>500</v>
      </c>
      <c r="E791" s="24" t="n">
        <f aca="false">H790+D790</f>
        <v>251553.668341709</v>
      </c>
      <c r="F791" s="11" t="n">
        <f aca="false">IF(가정!$B$11=1,MAX(0,MIN(가정!$B$16-C791,INT(E791/가정!$B$17))),0)</f>
        <v>0</v>
      </c>
      <c r="G791" s="24" t="n">
        <f aca="false">F791*가정!$B$17</f>
        <v>0</v>
      </c>
      <c r="H791" s="24" t="n">
        <f aca="false">E791-G791</f>
        <v>251553.668341709</v>
      </c>
      <c r="I791" s="24" t="n">
        <f aca="false">I790+D791</f>
        <v>278520</v>
      </c>
      <c r="J791" s="16" t="n">
        <f aca="false">(H791+D791)*가정!$B$10</f>
        <v>252053.668341709</v>
      </c>
      <c r="K791" s="24" t="n">
        <f aca="false">A791*가정!$B$8*가정!$B$7</f>
        <v>3935</v>
      </c>
      <c r="L791" s="11" t="n">
        <f aca="false">C791+F791</f>
        <v>100</v>
      </c>
    </row>
    <row r="792" customFormat="false" ht="15" hidden="false" customHeight="false" outlineLevel="0" collapsed="false">
      <c r="A792" s="11" t="n">
        <v>788</v>
      </c>
      <c r="B792" s="11" t="n">
        <f aca="false">MATCH(A792,월별!$C$6:$C$41,1)</f>
        <v>26</v>
      </c>
      <c r="C792" s="11" t="n">
        <f aca="false">L791</f>
        <v>100</v>
      </c>
      <c r="D792" s="24" t="n">
        <f aca="false">C792*가정!$B$8</f>
        <v>500</v>
      </c>
      <c r="E792" s="24" t="n">
        <f aca="false">H791+D791</f>
        <v>252053.668341709</v>
      </c>
      <c r="F792" s="11" t="n">
        <f aca="false">IF(가정!$B$11=1,MAX(0,MIN(가정!$B$16-C792,INT(E792/가정!$B$17))),0)</f>
        <v>0</v>
      </c>
      <c r="G792" s="24" t="n">
        <f aca="false">F792*가정!$B$17</f>
        <v>0</v>
      </c>
      <c r="H792" s="24" t="n">
        <f aca="false">E792-G792</f>
        <v>252053.668341709</v>
      </c>
      <c r="I792" s="24" t="n">
        <f aca="false">I791+D792</f>
        <v>279020</v>
      </c>
      <c r="J792" s="16" t="n">
        <f aca="false">(H792+D792)*가정!$B$10</f>
        <v>252553.668341709</v>
      </c>
      <c r="K792" s="24" t="n">
        <f aca="false">A792*가정!$B$8*가정!$B$7</f>
        <v>3940</v>
      </c>
      <c r="L792" s="11" t="n">
        <f aca="false">C792+F792</f>
        <v>100</v>
      </c>
    </row>
    <row r="793" customFormat="false" ht="15" hidden="false" customHeight="false" outlineLevel="0" collapsed="false">
      <c r="A793" s="11" t="n">
        <v>789</v>
      </c>
      <c r="B793" s="11" t="n">
        <f aca="false">MATCH(A793,월별!$C$6:$C$41,1)</f>
        <v>26</v>
      </c>
      <c r="C793" s="11" t="n">
        <f aca="false">L792</f>
        <v>100</v>
      </c>
      <c r="D793" s="24" t="n">
        <f aca="false">C793*가정!$B$8</f>
        <v>500</v>
      </c>
      <c r="E793" s="24" t="n">
        <f aca="false">H792+D792</f>
        <v>252553.668341709</v>
      </c>
      <c r="F793" s="11" t="n">
        <f aca="false">IF(가정!$B$11=1,MAX(0,MIN(가정!$B$16-C793,INT(E793/가정!$B$17))),0)</f>
        <v>0</v>
      </c>
      <c r="G793" s="24" t="n">
        <f aca="false">F793*가정!$B$17</f>
        <v>0</v>
      </c>
      <c r="H793" s="24" t="n">
        <f aca="false">E793-G793</f>
        <v>252553.668341709</v>
      </c>
      <c r="I793" s="24" t="n">
        <f aca="false">I792+D793</f>
        <v>279520</v>
      </c>
      <c r="J793" s="16" t="n">
        <f aca="false">(H793+D793)*가정!$B$10</f>
        <v>253053.668341709</v>
      </c>
      <c r="K793" s="24" t="n">
        <f aca="false">A793*가정!$B$8*가정!$B$7</f>
        <v>3945</v>
      </c>
      <c r="L793" s="11" t="n">
        <f aca="false">C793+F793</f>
        <v>100</v>
      </c>
    </row>
    <row r="794" customFormat="false" ht="15" hidden="false" customHeight="false" outlineLevel="0" collapsed="false">
      <c r="A794" s="11" t="n">
        <v>790</v>
      </c>
      <c r="B794" s="11" t="n">
        <f aca="false">MATCH(A794,월별!$C$6:$C$41,1)</f>
        <v>26</v>
      </c>
      <c r="C794" s="11" t="n">
        <f aca="false">L793</f>
        <v>100</v>
      </c>
      <c r="D794" s="24" t="n">
        <f aca="false">C794*가정!$B$8</f>
        <v>500</v>
      </c>
      <c r="E794" s="24" t="n">
        <f aca="false">H793+D793</f>
        <v>253053.668341709</v>
      </c>
      <c r="F794" s="11" t="n">
        <f aca="false">IF(가정!$B$11=1,MAX(0,MIN(가정!$B$16-C794,INT(E794/가정!$B$17))),0)</f>
        <v>0</v>
      </c>
      <c r="G794" s="24" t="n">
        <f aca="false">F794*가정!$B$17</f>
        <v>0</v>
      </c>
      <c r="H794" s="24" t="n">
        <f aca="false">E794-G794</f>
        <v>253053.668341709</v>
      </c>
      <c r="I794" s="24" t="n">
        <f aca="false">I793+D794</f>
        <v>280020</v>
      </c>
      <c r="J794" s="16" t="n">
        <f aca="false">(H794+D794)*가정!$B$10</f>
        <v>253553.668341709</v>
      </c>
      <c r="K794" s="24" t="n">
        <f aca="false">A794*가정!$B$8*가정!$B$7</f>
        <v>3950</v>
      </c>
      <c r="L794" s="11" t="n">
        <f aca="false">C794+F794</f>
        <v>100</v>
      </c>
    </row>
    <row r="795" customFormat="false" ht="15" hidden="false" customHeight="false" outlineLevel="0" collapsed="false">
      <c r="A795" s="11" t="n">
        <v>791</v>
      </c>
      <c r="B795" s="11" t="n">
        <f aca="false">MATCH(A795,월별!$C$6:$C$41,1)</f>
        <v>26</v>
      </c>
      <c r="C795" s="11" t="n">
        <f aca="false">L794</f>
        <v>100</v>
      </c>
      <c r="D795" s="24" t="n">
        <f aca="false">C795*가정!$B$8</f>
        <v>500</v>
      </c>
      <c r="E795" s="24" t="n">
        <f aca="false">H794+D794</f>
        <v>253553.668341709</v>
      </c>
      <c r="F795" s="11" t="n">
        <f aca="false">IF(가정!$B$11=1,MAX(0,MIN(가정!$B$16-C795,INT(E795/가정!$B$17))),0)</f>
        <v>0</v>
      </c>
      <c r="G795" s="24" t="n">
        <f aca="false">F795*가정!$B$17</f>
        <v>0</v>
      </c>
      <c r="H795" s="24" t="n">
        <f aca="false">E795-G795</f>
        <v>253553.668341709</v>
      </c>
      <c r="I795" s="24" t="n">
        <f aca="false">I794+D795</f>
        <v>280520</v>
      </c>
      <c r="J795" s="16" t="n">
        <f aca="false">(H795+D795)*가정!$B$10</f>
        <v>254053.668341709</v>
      </c>
      <c r="K795" s="24" t="n">
        <f aca="false">A795*가정!$B$8*가정!$B$7</f>
        <v>3955</v>
      </c>
      <c r="L795" s="11" t="n">
        <f aca="false">C795+F795</f>
        <v>100</v>
      </c>
    </row>
    <row r="796" customFormat="false" ht="15" hidden="false" customHeight="false" outlineLevel="0" collapsed="false">
      <c r="A796" s="11" t="n">
        <v>792</v>
      </c>
      <c r="B796" s="11" t="n">
        <f aca="false">MATCH(A796,월별!$C$6:$C$41,1)</f>
        <v>27</v>
      </c>
      <c r="C796" s="11" t="n">
        <f aca="false">L795</f>
        <v>100</v>
      </c>
      <c r="D796" s="24" t="n">
        <f aca="false">C796*가정!$B$8</f>
        <v>500</v>
      </c>
      <c r="E796" s="24" t="n">
        <f aca="false">H795+D795</f>
        <v>254053.668341709</v>
      </c>
      <c r="F796" s="11" t="n">
        <f aca="false">IF(가정!$B$11=1,MAX(0,MIN(가정!$B$16-C796,INT(E796/가정!$B$17))),0)</f>
        <v>0</v>
      </c>
      <c r="G796" s="24" t="n">
        <f aca="false">F796*가정!$B$17</f>
        <v>0</v>
      </c>
      <c r="H796" s="24" t="n">
        <f aca="false">E796-G796</f>
        <v>254053.668341709</v>
      </c>
      <c r="I796" s="24" t="n">
        <f aca="false">I795+D796</f>
        <v>281020</v>
      </c>
      <c r="J796" s="16" t="n">
        <f aca="false">(H796+D796)*가정!$B$10</f>
        <v>254553.668341709</v>
      </c>
      <c r="K796" s="24" t="n">
        <f aca="false">A796*가정!$B$8*가정!$B$7</f>
        <v>3960</v>
      </c>
      <c r="L796" s="11" t="n">
        <f aca="false">C796+F796</f>
        <v>100</v>
      </c>
    </row>
    <row r="797" customFormat="false" ht="15" hidden="false" customHeight="false" outlineLevel="0" collapsed="false">
      <c r="A797" s="11" t="n">
        <v>793</v>
      </c>
      <c r="B797" s="11" t="n">
        <f aca="false">MATCH(A797,월별!$C$6:$C$41,1)</f>
        <v>27</v>
      </c>
      <c r="C797" s="11" t="n">
        <f aca="false">L796</f>
        <v>100</v>
      </c>
      <c r="D797" s="24" t="n">
        <f aca="false">C797*가정!$B$8</f>
        <v>500</v>
      </c>
      <c r="E797" s="24" t="n">
        <f aca="false">H796+D796</f>
        <v>254553.668341709</v>
      </c>
      <c r="F797" s="11" t="n">
        <f aca="false">IF(가정!$B$11=1,MAX(0,MIN(가정!$B$16-C797,INT(E797/가정!$B$17))),0)</f>
        <v>0</v>
      </c>
      <c r="G797" s="24" t="n">
        <f aca="false">F797*가정!$B$17</f>
        <v>0</v>
      </c>
      <c r="H797" s="24" t="n">
        <f aca="false">E797-G797</f>
        <v>254553.668341709</v>
      </c>
      <c r="I797" s="24" t="n">
        <f aca="false">I796+D797</f>
        <v>281520</v>
      </c>
      <c r="J797" s="16" t="n">
        <f aca="false">(H797+D797)*가정!$B$10</f>
        <v>255053.668341709</v>
      </c>
      <c r="K797" s="24" t="n">
        <f aca="false">A797*가정!$B$8*가정!$B$7</f>
        <v>3965</v>
      </c>
      <c r="L797" s="11" t="n">
        <f aca="false">C797+F797</f>
        <v>100</v>
      </c>
    </row>
    <row r="798" customFormat="false" ht="15" hidden="false" customHeight="false" outlineLevel="0" collapsed="false">
      <c r="A798" s="11" t="n">
        <v>794</v>
      </c>
      <c r="B798" s="11" t="n">
        <f aca="false">MATCH(A798,월별!$C$6:$C$41,1)</f>
        <v>27</v>
      </c>
      <c r="C798" s="11" t="n">
        <f aca="false">L797</f>
        <v>100</v>
      </c>
      <c r="D798" s="24" t="n">
        <f aca="false">C798*가정!$B$8</f>
        <v>500</v>
      </c>
      <c r="E798" s="24" t="n">
        <f aca="false">H797+D797</f>
        <v>255053.668341709</v>
      </c>
      <c r="F798" s="11" t="n">
        <f aca="false">IF(가정!$B$11=1,MAX(0,MIN(가정!$B$16-C798,INT(E798/가정!$B$17))),0)</f>
        <v>0</v>
      </c>
      <c r="G798" s="24" t="n">
        <f aca="false">F798*가정!$B$17</f>
        <v>0</v>
      </c>
      <c r="H798" s="24" t="n">
        <f aca="false">E798-G798</f>
        <v>255053.668341709</v>
      </c>
      <c r="I798" s="24" t="n">
        <f aca="false">I797+D798</f>
        <v>282020</v>
      </c>
      <c r="J798" s="16" t="n">
        <f aca="false">(H798+D798)*가정!$B$10</f>
        <v>255553.668341709</v>
      </c>
      <c r="K798" s="24" t="n">
        <f aca="false">A798*가정!$B$8*가정!$B$7</f>
        <v>3970</v>
      </c>
      <c r="L798" s="11" t="n">
        <f aca="false">C798+F798</f>
        <v>100</v>
      </c>
    </row>
    <row r="799" customFormat="false" ht="15" hidden="false" customHeight="false" outlineLevel="0" collapsed="false">
      <c r="A799" s="11" t="n">
        <v>795</v>
      </c>
      <c r="B799" s="11" t="n">
        <f aca="false">MATCH(A799,월별!$C$6:$C$41,1)</f>
        <v>27</v>
      </c>
      <c r="C799" s="11" t="n">
        <f aca="false">L798</f>
        <v>100</v>
      </c>
      <c r="D799" s="24" t="n">
        <f aca="false">C799*가정!$B$8</f>
        <v>500</v>
      </c>
      <c r="E799" s="24" t="n">
        <f aca="false">H798+D798</f>
        <v>255553.668341709</v>
      </c>
      <c r="F799" s="11" t="n">
        <f aca="false">IF(가정!$B$11=1,MAX(0,MIN(가정!$B$16-C799,INT(E799/가정!$B$17))),0)</f>
        <v>0</v>
      </c>
      <c r="G799" s="24" t="n">
        <f aca="false">F799*가정!$B$17</f>
        <v>0</v>
      </c>
      <c r="H799" s="24" t="n">
        <f aca="false">E799-G799</f>
        <v>255553.668341709</v>
      </c>
      <c r="I799" s="24" t="n">
        <f aca="false">I798+D799</f>
        <v>282520</v>
      </c>
      <c r="J799" s="16" t="n">
        <f aca="false">(H799+D799)*가정!$B$10</f>
        <v>256053.668341709</v>
      </c>
      <c r="K799" s="24" t="n">
        <f aca="false">A799*가정!$B$8*가정!$B$7</f>
        <v>3975</v>
      </c>
      <c r="L799" s="11" t="n">
        <f aca="false">C799+F799</f>
        <v>100</v>
      </c>
    </row>
    <row r="800" customFormat="false" ht="15" hidden="false" customHeight="false" outlineLevel="0" collapsed="false">
      <c r="A800" s="11" t="n">
        <v>796</v>
      </c>
      <c r="B800" s="11" t="n">
        <f aca="false">MATCH(A800,월별!$C$6:$C$41,1)</f>
        <v>27</v>
      </c>
      <c r="C800" s="11" t="n">
        <f aca="false">L799</f>
        <v>100</v>
      </c>
      <c r="D800" s="24" t="n">
        <f aca="false">C800*가정!$B$8</f>
        <v>500</v>
      </c>
      <c r="E800" s="24" t="n">
        <f aca="false">H799+D799</f>
        <v>256053.668341709</v>
      </c>
      <c r="F800" s="11" t="n">
        <f aca="false">IF(가정!$B$11=1,MAX(0,MIN(가정!$B$16-C800,INT(E800/가정!$B$17))),0)</f>
        <v>0</v>
      </c>
      <c r="G800" s="24" t="n">
        <f aca="false">F800*가정!$B$17</f>
        <v>0</v>
      </c>
      <c r="H800" s="24" t="n">
        <f aca="false">E800-G800</f>
        <v>256053.668341709</v>
      </c>
      <c r="I800" s="24" t="n">
        <f aca="false">I799+D800</f>
        <v>283020</v>
      </c>
      <c r="J800" s="16" t="n">
        <f aca="false">(H800+D800)*가정!$B$10</f>
        <v>256553.668341709</v>
      </c>
      <c r="K800" s="24" t="n">
        <f aca="false">A800*가정!$B$8*가정!$B$7</f>
        <v>3980</v>
      </c>
      <c r="L800" s="11" t="n">
        <f aca="false">C800+F800</f>
        <v>100</v>
      </c>
    </row>
    <row r="801" customFormat="false" ht="15" hidden="false" customHeight="false" outlineLevel="0" collapsed="false">
      <c r="A801" s="11" t="n">
        <v>797</v>
      </c>
      <c r="B801" s="11" t="n">
        <f aca="false">MATCH(A801,월별!$C$6:$C$41,1)</f>
        <v>27</v>
      </c>
      <c r="C801" s="11" t="n">
        <f aca="false">L800</f>
        <v>100</v>
      </c>
      <c r="D801" s="24" t="n">
        <f aca="false">C801*가정!$B$8</f>
        <v>500</v>
      </c>
      <c r="E801" s="24" t="n">
        <f aca="false">H800+D800</f>
        <v>256553.668341709</v>
      </c>
      <c r="F801" s="11" t="n">
        <f aca="false">IF(가정!$B$11=1,MAX(0,MIN(가정!$B$16-C801,INT(E801/가정!$B$17))),0)</f>
        <v>0</v>
      </c>
      <c r="G801" s="24" t="n">
        <f aca="false">F801*가정!$B$17</f>
        <v>0</v>
      </c>
      <c r="H801" s="24" t="n">
        <f aca="false">E801-G801</f>
        <v>256553.668341709</v>
      </c>
      <c r="I801" s="24" t="n">
        <f aca="false">I800+D801</f>
        <v>283520</v>
      </c>
      <c r="J801" s="16" t="n">
        <f aca="false">(H801+D801)*가정!$B$10</f>
        <v>257053.668341709</v>
      </c>
      <c r="K801" s="24" t="n">
        <f aca="false">A801*가정!$B$8*가정!$B$7</f>
        <v>3985</v>
      </c>
      <c r="L801" s="11" t="n">
        <f aca="false">C801+F801</f>
        <v>100</v>
      </c>
    </row>
    <row r="802" customFormat="false" ht="15" hidden="false" customHeight="false" outlineLevel="0" collapsed="false">
      <c r="A802" s="11" t="n">
        <v>798</v>
      </c>
      <c r="B802" s="11" t="n">
        <f aca="false">MATCH(A802,월별!$C$6:$C$41,1)</f>
        <v>27</v>
      </c>
      <c r="C802" s="11" t="n">
        <f aca="false">L801</f>
        <v>100</v>
      </c>
      <c r="D802" s="24" t="n">
        <f aca="false">C802*가정!$B$8</f>
        <v>500</v>
      </c>
      <c r="E802" s="24" t="n">
        <f aca="false">H801+D801</f>
        <v>257053.668341709</v>
      </c>
      <c r="F802" s="11" t="n">
        <f aca="false">IF(가정!$B$11=1,MAX(0,MIN(가정!$B$16-C802,INT(E802/가정!$B$17))),0)</f>
        <v>0</v>
      </c>
      <c r="G802" s="24" t="n">
        <f aca="false">F802*가정!$B$17</f>
        <v>0</v>
      </c>
      <c r="H802" s="24" t="n">
        <f aca="false">E802-G802</f>
        <v>257053.668341709</v>
      </c>
      <c r="I802" s="24" t="n">
        <f aca="false">I801+D802</f>
        <v>284020</v>
      </c>
      <c r="J802" s="16" t="n">
        <f aca="false">(H802+D802)*가정!$B$10</f>
        <v>257553.668341709</v>
      </c>
      <c r="K802" s="24" t="n">
        <f aca="false">A802*가정!$B$8*가정!$B$7</f>
        <v>3990</v>
      </c>
      <c r="L802" s="11" t="n">
        <f aca="false">C802+F802</f>
        <v>100</v>
      </c>
    </row>
    <row r="803" customFormat="false" ht="15" hidden="false" customHeight="false" outlineLevel="0" collapsed="false">
      <c r="A803" s="11" t="n">
        <v>799</v>
      </c>
      <c r="B803" s="11" t="n">
        <f aca="false">MATCH(A803,월별!$C$6:$C$41,1)</f>
        <v>27</v>
      </c>
      <c r="C803" s="11" t="n">
        <f aca="false">L802</f>
        <v>100</v>
      </c>
      <c r="D803" s="24" t="n">
        <f aca="false">C803*가정!$B$8</f>
        <v>500</v>
      </c>
      <c r="E803" s="24" t="n">
        <f aca="false">H802+D802</f>
        <v>257553.668341709</v>
      </c>
      <c r="F803" s="11" t="n">
        <f aca="false">IF(가정!$B$11=1,MAX(0,MIN(가정!$B$16-C803,INT(E803/가정!$B$17))),0)</f>
        <v>0</v>
      </c>
      <c r="G803" s="24" t="n">
        <f aca="false">F803*가정!$B$17</f>
        <v>0</v>
      </c>
      <c r="H803" s="24" t="n">
        <f aca="false">E803-G803</f>
        <v>257553.668341709</v>
      </c>
      <c r="I803" s="24" t="n">
        <f aca="false">I802+D803</f>
        <v>284520</v>
      </c>
      <c r="J803" s="16" t="n">
        <f aca="false">(H803+D803)*가정!$B$10</f>
        <v>258053.668341709</v>
      </c>
      <c r="K803" s="24" t="n">
        <f aca="false">A803*가정!$B$8*가정!$B$7</f>
        <v>3995</v>
      </c>
      <c r="L803" s="11" t="n">
        <f aca="false">C803+F803</f>
        <v>100</v>
      </c>
    </row>
    <row r="804" customFormat="false" ht="15" hidden="false" customHeight="false" outlineLevel="0" collapsed="false">
      <c r="A804" s="11" t="n">
        <v>800</v>
      </c>
      <c r="B804" s="11" t="n">
        <f aca="false">MATCH(A804,월별!$C$6:$C$41,1)</f>
        <v>27</v>
      </c>
      <c r="C804" s="11" t="n">
        <f aca="false">L803</f>
        <v>100</v>
      </c>
      <c r="D804" s="24" t="n">
        <f aca="false">C804*가정!$B$8</f>
        <v>500</v>
      </c>
      <c r="E804" s="24" t="n">
        <f aca="false">H803+D803</f>
        <v>258053.668341709</v>
      </c>
      <c r="F804" s="11" t="n">
        <f aca="false">IF(가정!$B$11=1,MAX(0,MIN(가정!$B$16-C804,INT(E804/가정!$B$17))),0)</f>
        <v>0</v>
      </c>
      <c r="G804" s="24" t="n">
        <f aca="false">F804*가정!$B$17</f>
        <v>0</v>
      </c>
      <c r="H804" s="24" t="n">
        <f aca="false">E804-G804</f>
        <v>258053.668341709</v>
      </c>
      <c r="I804" s="24" t="n">
        <f aca="false">I803+D804</f>
        <v>285020</v>
      </c>
      <c r="J804" s="16" t="n">
        <f aca="false">(H804+D804)*가정!$B$10</f>
        <v>258553.668341709</v>
      </c>
      <c r="K804" s="24" t="n">
        <f aca="false">A804*가정!$B$8*가정!$B$7</f>
        <v>4000</v>
      </c>
      <c r="L804" s="11" t="n">
        <f aca="false">C804+F804</f>
        <v>100</v>
      </c>
    </row>
    <row r="805" customFormat="false" ht="15" hidden="false" customHeight="false" outlineLevel="0" collapsed="false">
      <c r="A805" s="11" t="n">
        <v>801</v>
      </c>
      <c r="B805" s="11" t="n">
        <f aca="false">MATCH(A805,월별!$C$6:$C$41,1)</f>
        <v>27</v>
      </c>
      <c r="C805" s="11" t="n">
        <f aca="false">L804</f>
        <v>100</v>
      </c>
      <c r="D805" s="24" t="n">
        <f aca="false">C805*가정!$B$8</f>
        <v>500</v>
      </c>
      <c r="E805" s="24" t="n">
        <f aca="false">H804+D804</f>
        <v>258553.668341709</v>
      </c>
      <c r="F805" s="11" t="n">
        <f aca="false">IF(가정!$B$11=1,MAX(0,MIN(가정!$B$16-C805,INT(E805/가정!$B$17))),0)</f>
        <v>0</v>
      </c>
      <c r="G805" s="24" t="n">
        <f aca="false">F805*가정!$B$17</f>
        <v>0</v>
      </c>
      <c r="H805" s="24" t="n">
        <f aca="false">E805-G805</f>
        <v>258553.668341709</v>
      </c>
      <c r="I805" s="24" t="n">
        <f aca="false">I804+D805</f>
        <v>285520</v>
      </c>
      <c r="J805" s="16" t="n">
        <f aca="false">(H805+D805)*가정!$B$10</f>
        <v>259053.668341709</v>
      </c>
      <c r="K805" s="24" t="n">
        <f aca="false">A805*가정!$B$8*가정!$B$7</f>
        <v>4005</v>
      </c>
      <c r="L805" s="11" t="n">
        <f aca="false">C805+F805</f>
        <v>100</v>
      </c>
    </row>
    <row r="806" customFormat="false" ht="15" hidden="false" customHeight="false" outlineLevel="0" collapsed="false">
      <c r="A806" s="11" t="n">
        <v>802</v>
      </c>
      <c r="B806" s="11" t="n">
        <f aca="false">MATCH(A806,월별!$C$6:$C$41,1)</f>
        <v>27</v>
      </c>
      <c r="C806" s="11" t="n">
        <f aca="false">L805</f>
        <v>100</v>
      </c>
      <c r="D806" s="24" t="n">
        <f aca="false">C806*가정!$B$8</f>
        <v>500</v>
      </c>
      <c r="E806" s="24" t="n">
        <f aca="false">H805+D805</f>
        <v>259053.668341709</v>
      </c>
      <c r="F806" s="11" t="n">
        <f aca="false">IF(가정!$B$11=1,MAX(0,MIN(가정!$B$16-C806,INT(E806/가정!$B$17))),0)</f>
        <v>0</v>
      </c>
      <c r="G806" s="24" t="n">
        <f aca="false">F806*가정!$B$17</f>
        <v>0</v>
      </c>
      <c r="H806" s="24" t="n">
        <f aca="false">E806-G806</f>
        <v>259053.668341709</v>
      </c>
      <c r="I806" s="24" t="n">
        <f aca="false">I805+D806</f>
        <v>286020</v>
      </c>
      <c r="J806" s="16" t="n">
        <f aca="false">(H806+D806)*가정!$B$10</f>
        <v>259553.668341709</v>
      </c>
      <c r="K806" s="24" t="n">
        <f aca="false">A806*가정!$B$8*가정!$B$7</f>
        <v>4010</v>
      </c>
      <c r="L806" s="11" t="n">
        <f aca="false">C806+F806</f>
        <v>100</v>
      </c>
    </row>
    <row r="807" customFormat="false" ht="15" hidden="false" customHeight="false" outlineLevel="0" collapsed="false">
      <c r="A807" s="11" t="n">
        <v>803</v>
      </c>
      <c r="B807" s="11" t="n">
        <f aca="false">MATCH(A807,월별!$C$6:$C$41,1)</f>
        <v>27</v>
      </c>
      <c r="C807" s="11" t="n">
        <f aca="false">L806</f>
        <v>100</v>
      </c>
      <c r="D807" s="24" t="n">
        <f aca="false">C807*가정!$B$8</f>
        <v>500</v>
      </c>
      <c r="E807" s="24" t="n">
        <f aca="false">H806+D806</f>
        <v>259553.668341709</v>
      </c>
      <c r="F807" s="11" t="n">
        <f aca="false">IF(가정!$B$11=1,MAX(0,MIN(가정!$B$16-C807,INT(E807/가정!$B$17))),0)</f>
        <v>0</v>
      </c>
      <c r="G807" s="24" t="n">
        <f aca="false">F807*가정!$B$17</f>
        <v>0</v>
      </c>
      <c r="H807" s="24" t="n">
        <f aca="false">E807-G807</f>
        <v>259553.668341709</v>
      </c>
      <c r="I807" s="24" t="n">
        <f aca="false">I806+D807</f>
        <v>286520</v>
      </c>
      <c r="J807" s="16" t="n">
        <f aca="false">(H807+D807)*가정!$B$10</f>
        <v>260053.668341709</v>
      </c>
      <c r="K807" s="24" t="n">
        <f aca="false">A807*가정!$B$8*가정!$B$7</f>
        <v>4015</v>
      </c>
      <c r="L807" s="11" t="n">
        <f aca="false">C807+F807</f>
        <v>100</v>
      </c>
    </row>
    <row r="808" customFormat="false" ht="15" hidden="false" customHeight="false" outlineLevel="0" collapsed="false">
      <c r="A808" s="11" t="n">
        <v>804</v>
      </c>
      <c r="B808" s="11" t="n">
        <f aca="false">MATCH(A808,월별!$C$6:$C$41,1)</f>
        <v>27</v>
      </c>
      <c r="C808" s="11" t="n">
        <f aca="false">L807</f>
        <v>100</v>
      </c>
      <c r="D808" s="24" t="n">
        <f aca="false">C808*가정!$B$8</f>
        <v>500</v>
      </c>
      <c r="E808" s="24" t="n">
        <f aca="false">H807+D807</f>
        <v>260053.668341709</v>
      </c>
      <c r="F808" s="11" t="n">
        <f aca="false">IF(가정!$B$11=1,MAX(0,MIN(가정!$B$16-C808,INT(E808/가정!$B$17))),0)</f>
        <v>0</v>
      </c>
      <c r="G808" s="24" t="n">
        <f aca="false">F808*가정!$B$17</f>
        <v>0</v>
      </c>
      <c r="H808" s="24" t="n">
        <f aca="false">E808-G808</f>
        <v>260053.668341709</v>
      </c>
      <c r="I808" s="24" t="n">
        <f aca="false">I807+D808</f>
        <v>287020</v>
      </c>
      <c r="J808" s="16" t="n">
        <f aca="false">(H808+D808)*가정!$B$10</f>
        <v>260553.668341709</v>
      </c>
      <c r="K808" s="24" t="n">
        <f aca="false">A808*가정!$B$8*가정!$B$7</f>
        <v>4020</v>
      </c>
      <c r="L808" s="11" t="n">
        <f aca="false">C808+F808</f>
        <v>100</v>
      </c>
    </row>
    <row r="809" customFormat="false" ht="15" hidden="false" customHeight="false" outlineLevel="0" collapsed="false">
      <c r="A809" s="11" t="n">
        <v>805</v>
      </c>
      <c r="B809" s="11" t="n">
        <f aca="false">MATCH(A809,월별!$C$6:$C$41,1)</f>
        <v>27</v>
      </c>
      <c r="C809" s="11" t="n">
        <f aca="false">L808</f>
        <v>100</v>
      </c>
      <c r="D809" s="24" t="n">
        <f aca="false">C809*가정!$B$8</f>
        <v>500</v>
      </c>
      <c r="E809" s="24" t="n">
        <f aca="false">H808+D808</f>
        <v>260553.668341709</v>
      </c>
      <c r="F809" s="11" t="n">
        <f aca="false">IF(가정!$B$11=1,MAX(0,MIN(가정!$B$16-C809,INT(E809/가정!$B$17))),0)</f>
        <v>0</v>
      </c>
      <c r="G809" s="24" t="n">
        <f aca="false">F809*가정!$B$17</f>
        <v>0</v>
      </c>
      <c r="H809" s="24" t="n">
        <f aca="false">E809-G809</f>
        <v>260553.668341709</v>
      </c>
      <c r="I809" s="24" t="n">
        <f aca="false">I808+D809</f>
        <v>287520</v>
      </c>
      <c r="J809" s="16" t="n">
        <f aca="false">(H809+D809)*가정!$B$10</f>
        <v>261053.668341709</v>
      </c>
      <c r="K809" s="24" t="n">
        <f aca="false">A809*가정!$B$8*가정!$B$7</f>
        <v>4025</v>
      </c>
      <c r="L809" s="11" t="n">
        <f aca="false">C809+F809</f>
        <v>100</v>
      </c>
    </row>
    <row r="810" customFormat="false" ht="15" hidden="false" customHeight="false" outlineLevel="0" collapsed="false">
      <c r="A810" s="11" t="n">
        <v>806</v>
      </c>
      <c r="B810" s="11" t="n">
        <f aca="false">MATCH(A810,월별!$C$6:$C$41,1)</f>
        <v>27</v>
      </c>
      <c r="C810" s="11" t="n">
        <f aca="false">L809</f>
        <v>100</v>
      </c>
      <c r="D810" s="24" t="n">
        <f aca="false">C810*가정!$B$8</f>
        <v>500</v>
      </c>
      <c r="E810" s="24" t="n">
        <f aca="false">H809+D809</f>
        <v>261053.668341709</v>
      </c>
      <c r="F810" s="11" t="n">
        <f aca="false">IF(가정!$B$11=1,MAX(0,MIN(가정!$B$16-C810,INT(E810/가정!$B$17))),0)</f>
        <v>0</v>
      </c>
      <c r="G810" s="24" t="n">
        <f aca="false">F810*가정!$B$17</f>
        <v>0</v>
      </c>
      <c r="H810" s="24" t="n">
        <f aca="false">E810-G810</f>
        <v>261053.668341709</v>
      </c>
      <c r="I810" s="24" t="n">
        <f aca="false">I809+D810</f>
        <v>288020</v>
      </c>
      <c r="J810" s="16" t="n">
        <f aca="false">(H810+D810)*가정!$B$10</f>
        <v>261553.668341709</v>
      </c>
      <c r="K810" s="24" t="n">
        <f aca="false">A810*가정!$B$8*가정!$B$7</f>
        <v>4030</v>
      </c>
      <c r="L810" s="11" t="n">
        <f aca="false">C810+F810</f>
        <v>100</v>
      </c>
    </row>
    <row r="811" customFormat="false" ht="15" hidden="false" customHeight="false" outlineLevel="0" collapsed="false">
      <c r="A811" s="11" t="n">
        <v>807</v>
      </c>
      <c r="B811" s="11" t="n">
        <f aca="false">MATCH(A811,월별!$C$6:$C$41,1)</f>
        <v>27</v>
      </c>
      <c r="C811" s="11" t="n">
        <f aca="false">L810</f>
        <v>100</v>
      </c>
      <c r="D811" s="24" t="n">
        <f aca="false">C811*가정!$B$8</f>
        <v>500</v>
      </c>
      <c r="E811" s="24" t="n">
        <f aca="false">H810+D810</f>
        <v>261553.668341709</v>
      </c>
      <c r="F811" s="11" t="n">
        <f aca="false">IF(가정!$B$11=1,MAX(0,MIN(가정!$B$16-C811,INT(E811/가정!$B$17))),0)</f>
        <v>0</v>
      </c>
      <c r="G811" s="24" t="n">
        <f aca="false">F811*가정!$B$17</f>
        <v>0</v>
      </c>
      <c r="H811" s="24" t="n">
        <f aca="false">E811-G811</f>
        <v>261553.668341709</v>
      </c>
      <c r="I811" s="24" t="n">
        <f aca="false">I810+D811</f>
        <v>288520</v>
      </c>
      <c r="J811" s="16" t="n">
        <f aca="false">(H811+D811)*가정!$B$10</f>
        <v>262053.668341709</v>
      </c>
      <c r="K811" s="24" t="n">
        <f aca="false">A811*가정!$B$8*가정!$B$7</f>
        <v>4035</v>
      </c>
      <c r="L811" s="11" t="n">
        <f aca="false">C811+F811</f>
        <v>100</v>
      </c>
    </row>
    <row r="812" customFormat="false" ht="15" hidden="false" customHeight="false" outlineLevel="0" collapsed="false">
      <c r="A812" s="11" t="n">
        <v>808</v>
      </c>
      <c r="B812" s="11" t="n">
        <f aca="false">MATCH(A812,월별!$C$6:$C$41,1)</f>
        <v>27</v>
      </c>
      <c r="C812" s="11" t="n">
        <f aca="false">L811</f>
        <v>100</v>
      </c>
      <c r="D812" s="24" t="n">
        <f aca="false">C812*가정!$B$8</f>
        <v>500</v>
      </c>
      <c r="E812" s="24" t="n">
        <f aca="false">H811+D811</f>
        <v>262053.668341709</v>
      </c>
      <c r="F812" s="11" t="n">
        <f aca="false">IF(가정!$B$11=1,MAX(0,MIN(가정!$B$16-C812,INT(E812/가정!$B$17))),0)</f>
        <v>0</v>
      </c>
      <c r="G812" s="24" t="n">
        <f aca="false">F812*가정!$B$17</f>
        <v>0</v>
      </c>
      <c r="H812" s="24" t="n">
        <f aca="false">E812-G812</f>
        <v>262053.668341709</v>
      </c>
      <c r="I812" s="24" t="n">
        <f aca="false">I811+D812</f>
        <v>289020</v>
      </c>
      <c r="J812" s="16" t="n">
        <f aca="false">(H812+D812)*가정!$B$10</f>
        <v>262553.668341709</v>
      </c>
      <c r="K812" s="24" t="n">
        <f aca="false">A812*가정!$B$8*가정!$B$7</f>
        <v>4040</v>
      </c>
      <c r="L812" s="11" t="n">
        <f aca="false">C812+F812</f>
        <v>100</v>
      </c>
    </row>
    <row r="813" customFormat="false" ht="15" hidden="false" customHeight="false" outlineLevel="0" collapsed="false">
      <c r="A813" s="11" t="n">
        <v>809</v>
      </c>
      <c r="B813" s="11" t="n">
        <f aca="false">MATCH(A813,월별!$C$6:$C$41,1)</f>
        <v>27</v>
      </c>
      <c r="C813" s="11" t="n">
        <f aca="false">L812</f>
        <v>100</v>
      </c>
      <c r="D813" s="24" t="n">
        <f aca="false">C813*가정!$B$8</f>
        <v>500</v>
      </c>
      <c r="E813" s="24" t="n">
        <f aca="false">H812+D812</f>
        <v>262553.668341709</v>
      </c>
      <c r="F813" s="11" t="n">
        <f aca="false">IF(가정!$B$11=1,MAX(0,MIN(가정!$B$16-C813,INT(E813/가정!$B$17))),0)</f>
        <v>0</v>
      </c>
      <c r="G813" s="24" t="n">
        <f aca="false">F813*가정!$B$17</f>
        <v>0</v>
      </c>
      <c r="H813" s="24" t="n">
        <f aca="false">E813-G813</f>
        <v>262553.668341709</v>
      </c>
      <c r="I813" s="24" t="n">
        <f aca="false">I812+D813</f>
        <v>289520</v>
      </c>
      <c r="J813" s="16" t="n">
        <f aca="false">(H813+D813)*가정!$B$10</f>
        <v>263053.668341709</v>
      </c>
      <c r="K813" s="24" t="n">
        <f aca="false">A813*가정!$B$8*가정!$B$7</f>
        <v>4045</v>
      </c>
      <c r="L813" s="11" t="n">
        <f aca="false">C813+F813</f>
        <v>100</v>
      </c>
    </row>
    <row r="814" customFormat="false" ht="15" hidden="false" customHeight="false" outlineLevel="0" collapsed="false">
      <c r="A814" s="11" t="n">
        <v>810</v>
      </c>
      <c r="B814" s="11" t="n">
        <f aca="false">MATCH(A814,월별!$C$6:$C$41,1)</f>
        <v>27</v>
      </c>
      <c r="C814" s="11" t="n">
        <f aca="false">L813</f>
        <v>100</v>
      </c>
      <c r="D814" s="24" t="n">
        <f aca="false">C814*가정!$B$8</f>
        <v>500</v>
      </c>
      <c r="E814" s="24" t="n">
        <f aca="false">H813+D813</f>
        <v>263053.668341709</v>
      </c>
      <c r="F814" s="11" t="n">
        <f aca="false">IF(가정!$B$11=1,MAX(0,MIN(가정!$B$16-C814,INT(E814/가정!$B$17))),0)</f>
        <v>0</v>
      </c>
      <c r="G814" s="24" t="n">
        <f aca="false">F814*가정!$B$17</f>
        <v>0</v>
      </c>
      <c r="H814" s="24" t="n">
        <f aca="false">E814-G814</f>
        <v>263053.668341709</v>
      </c>
      <c r="I814" s="24" t="n">
        <f aca="false">I813+D814</f>
        <v>290020</v>
      </c>
      <c r="J814" s="16" t="n">
        <f aca="false">(H814+D814)*가정!$B$10</f>
        <v>263553.668341709</v>
      </c>
      <c r="K814" s="24" t="n">
        <f aca="false">A814*가정!$B$8*가정!$B$7</f>
        <v>4050</v>
      </c>
      <c r="L814" s="11" t="n">
        <f aca="false">C814+F814</f>
        <v>100</v>
      </c>
    </row>
    <row r="815" customFormat="false" ht="15" hidden="false" customHeight="false" outlineLevel="0" collapsed="false">
      <c r="A815" s="11" t="n">
        <v>811</v>
      </c>
      <c r="B815" s="11" t="n">
        <f aca="false">MATCH(A815,월별!$C$6:$C$41,1)</f>
        <v>27</v>
      </c>
      <c r="C815" s="11" t="n">
        <f aca="false">L814</f>
        <v>100</v>
      </c>
      <c r="D815" s="24" t="n">
        <f aca="false">C815*가정!$B$8</f>
        <v>500</v>
      </c>
      <c r="E815" s="24" t="n">
        <f aca="false">H814+D814</f>
        <v>263553.668341709</v>
      </c>
      <c r="F815" s="11" t="n">
        <f aca="false">IF(가정!$B$11=1,MAX(0,MIN(가정!$B$16-C815,INT(E815/가정!$B$17))),0)</f>
        <v>0</v>
      </c>
      <c r="G815" s="24" t="n">
        <f aca="false">F815*가정!$B$17</f>
        <v>0</v>
      </c>
      <c r="H815" s="24" t="n">
        <f aca="false">E815-G815</f>
        <v>263553.668341709</v>
      </c>
      <c r="I815" s="24" t="n">
        <f aca="false">I814+D815</f>
        <v>290520</v>
      </c>
      <c r="J815" s="16" t="n">
        <f aca="false">(H815+D815)*가정!$B$10</f>
        <v>264053.668341709</v>
      </c>
      <c r="K815" s="24" t="n">
        <f aca="false">A815*가정!$B$8*가정!$B$7</f>
        <v>4055</v>
      </c>
      <c r="L815" s="11" t="n">
        <f aca="false">C815+F815</f>
        <v>100</v>
      </c>
    </row>
    <row r="816" customFormat="false" ht="15" hidden="false" customHeight="false" outlineLevel="0" collapsed="false">
      <c r="A816" s="11" t="n">
        <v>812</v>
      </c>
      <c r="B816" s="11" t="n">
        <f aca="false">MATCH(A816,월별!$C$6:$C$41,1)</f>
        <v>27</v>
      </c>
      <c r="C816" s="11" t="n">
        <f aca="false">L815</f>
        <v>100</v>
      </c>
      <c r="D816" s="24" t="n">
        <f aca="false">C816*가정!$B$8</f>
        <v>500</v>
      </c>
      <c r="E816" s="24" t="n">
        <f aca="false">H815+D815</f>
        <v>264053.668341709</v>
      </c>
      <c r="F816" s="11" t="n">
        <f aca="false">IF(가정!$B$11=1,MAX(0,MIN(가정!$B$16-C816,INT(E816/가정!$B$17))),0)</f>
        <v>0</v>
      </c>
      <c r="G816" s="24" t="n">
        <f aca="false">F816*가정!$B$17</f>
        <v>0</v>
      </c>
      <c r="H816" s="24" t="n">
        <f aca="false">E816-G816</f>
        <v>264053.668341709</v>
      </c>
      <c r="I816" s="24" t="n">
        <f aca="false">I815+D816</f>
        <v>291020</v>
      </c>
      <c r="J816" s="16" t="n">
        <f aca="false">(H816+D816)*가정!$B$10</f>
        <v>264553.668341709</v>
      </c>
      <c r="K816" s="24" t="n">
        <f aca="false">A816*가정!$B$8*가정!$B$7</f>
        <v>4060</v>
      </c>
      <c r="L816" s="11" t="n">
        <f aca="false">C816+F816</f>
        <v>100</v>
      </c>
    </row>
    <row r="817" customFormat="false" ht="15" hidden="false" customHeight="false" outlineLevel="0" collapsed="false">
      <c r="A817" s="11" t="n">
        <v>813</v>
      </c>
      <c r="B817" s="11" t="n">
        <f aca="false">MATCH(A817,월별!$C$6:$C$41,1)</f>
        <v>27</v>
      </c>
      <c r="C817" s="11" t="n">
        <f aca="false">L816</f>
        <v>100</v>
      </c>
      <c r="D817" s="24" t="n">
        <f aca="false">C817*가정!$B$8</f>
        <v>500</v>
      </c>
      <c r="E817" s="24" t="n">
        <f aca="false">H816+D816</f>
        <v>264553.668341709</v>
      </c>
      <c r="F817" s="11" t="n">
        <f aca="false">IF(가정!$B$11=1,MAX(0,MIN(가정!$B$16-C817,INT(E817/가정!$B$17))),0)</f>
        <v>0</v>
      </c>
      <c r="G817" s="24" t="n">
        <f aca="false">F817*가정!$B$17</f>
        <v>0</v>
      </c>
      <c r="H817" s="24" t="n">
        <f aca="false">E817-G817</f>
        <v>264553.668341709</v>
      </c>
      <c r="I817" s="24" t="n">
        <f aca="false">I816+D817</f>
        <v>291520</v>
      </c>
      <c r="J817" s="16" t="n">
        <f aca="false">(H817+D817)*가정!$B$10</f>
        <v>265053.668341709</v>
      </c>
      <c r="K817" s="24" t="n">
        <f aca="false">A817*가정!$B$8*가정!$B$7</f>
        <v>4065</v>
      </c>
      <c r="L817" s="11" t="n">
        <f aca="false">C817+F817</f>
        <v>100</v>
      </c>
    </row>
    <row r="818" customFormat="false" ht="15" hidden="false" customHeight="false" outlineLevel="0" collapsed="false">
      <c r="A818" s="11" t="n">
        <v>814</v>
      </c>
      <c r="B818" s="11" t="n">
        <f aca="false">MATCH(A818,월별!$C$6:$C$41,1)</f>
        <v>27</v>
      </c>
      <c r="C818" s="11" t="n">
        <f aca="false">L817</f>
        <v>100</v>
      </c>
      <c r="D818" s="24" t="n">
        <f aca="false">C818*가정!$B$8</f>
        <v>500</v>
      </c>
      <c r="E818" s="24" t="n">
        <f aca="false">H817+D817</f>
        <v>265053.668341709</v>
      </c>
      <c r="F818" s="11" t="n">
        <f aca="false">IF(가정!$B$11=1,MAX(0,MIN(가정!$B$16-C818,INT(E818/가정!$B$17))),0)</f>
        <v>0</v>
      </c>
      <c r="G818" s="24" t="n">
        <f aca="false">F818*가정!$B$17</f>
        <v>0</v>
      </c>
      <c r="H818" s="24" t="n">
        <f aca="false">E818-G818</f>
        <v>265053.668341709</v>
      </c>
      <c r="I818" s="24" t="n">
        <f aca="false">I817+D818</f>
        <v>292020</v>
      </c>
      <c r="J818" s="16" t="n">
        <f aca="false">(H818+D818)*가정!$B$10</f>
        <v>265553.668341709</v>
      </c>
      <c r="K818" s="24" t="n">
        <f aca="false">A818*가정!$B$8*가정!$B$7</f>
        <v>4070</v>
      </c>
      <c r="L818" s="11" t="n">
        <f aca="false">C818+F818</f>
        <v>100</v>
      </c>
    </row>
    <row r="819" customFormat="false" ht="15" hidden="false" customHeight="false" outlineLevel="0" collapsed="false">
      <c r="A819" s="11" t="n">
        <v>815</v>
      </c>
      <c r="B819" s="11" t="n">
        <f aca="false">MATCH(A819,월별!$C$6:$C$41,1)</f>
        <v>27</v>
      </c>
      <c r="C819" s="11" t="n">
        <f aca="false">L818</f>
        <v>100</v>
      </c>
      <c r="D819" s="24" t="n">
        <f aca="false">C819*가정!$B$8</f>
        <v>500</v>
      </c>
      <c r="E819" s="24" t="n">
        <f aca="false">H818+D818</f>
        <v>265553.668341709</v>
      </c>
      <c r="F819" s="11" t="n">
        <f aca="false">IF(가정!$B$11=1,MAX(0,MIN(가정!$B$16-C819,INT(E819/가정!$B$17))),0)</f>
        <v>0</v>
      </c>
      <c r="G819" s="24" t="n">
        <f aca="false">F819*가정!$B$17</f>
        <v>0</v>
      </c>
      <c r="H819" s="24" t="n">
        <f aca="false">E819-G819</f>
        <v>265553.668341709</v>
      </c>
      <c r="I819" s="24" t="n">
        <f aca="false">I818+D819</f>
        <v>292520</v>
      </c>
      <c r="J819" s="16" t="n">
        <f aca="false">(H819+D819)*가정!$B$10</f>
        <v>266053.668341709</v>
      </c>
      <c r="K819" s="24" t="n">
        <f aca="false">A819*가정!$B$8*가정!$B$7</f>
        <v>4075</v>
      </c>
      <c r="L819" s="11" t="n">
        <f aca="false">C819+F819</f>
        <v>100</v>
      </c>
    </row>
    <row r="820" customFormat="false" ht="15" hidden="false" customHeight="false" outlineLevel="0" collapsed="false">
      <c r="A820" s="11" t="n">
        <v>816</v>
      </c>
      <c r="B820" s="11" t="n">
        <f aca="false">MATCH(A820,월별!$C$6:$C$41,1)</f>
        <v>27</v>
      </c>
      <c r="C820" s="11" t="n">
        <f aca="false">L819</f>
        <v>100</v>
      </c>
      <c r="D820" s="24" t="n">
        <f aca="false">C820*가정!$B$8</f>
        <v>500</v>
      </c>
      <c r="E820" s="24" t="n">
        <f aca="false">H819+D819</f>
        <v>266053.668341709</v>
      </c>
      <c r="F820" s="11" t="n">
        <f aca="false">IF(가정!$B$11=1,MAX(0,MIN(가정!$B$16-C820,INT(E820/가정!$B$17))),0)</f>
        <v>0</v>
      </c>
      <c r="G820" s="24" t="n">
        <f aca="false">F820*가정!$B$17</f>
        <v>0</v>
      </c>
      <c r="H820" s="24" t="n">
        <f aca="false">E820-G820</f>
        <v>266053.668341709</v>
      </c>
      <c r="I820" s="24" t="n">
        <f aca="false">I819+D820</f>
        <v>293020</v>
      </c>
      <c r="J820" s="16" t="n">
        <f aca="false">(H820+D820)*가정!$B$10</f>
        <v>266553.668341709</v>
      </c>
      <c r="K820" s="24" t="n">
        <f aca="false">A820*가정!$B$8*가정!$B$7</f>
        <v>4080</v>
      </c>
      <c r="L820" s="11" t="n">
        <f aca="false">C820+F820</f>
        <v>100</v>
      </c>
    </row>
    <row r="821" customFormat="false" ht="15" hidden="false" customHeight="false" outlineLevel="0" collapsed="false">
      <c r="A821" s="11" t="n">
        <v>817</v>
      </c>
      <c r="B821" s="11" t="n">
        <f aca="false">MATCH(A821,월별!$C$6:$C$41,1)</f>
        <v>27</v>
      </c>
      <c r="C821" s="11" t="n">
        <f aca="false">L820</f>
        <v>100</v>
      </c>
      <c r="D821" s="24" t="n">
        <f aca="false">C821*가정!$B$8</f>
        <v>500</v>
      </c>
      <c r="E821" s="24" t="n">
        <f aca="false">H820+D820</f>
        <v>266553.668341709</v>
      </c>
      <c r="F821" s="11" t="n">
        <f aca="false">IF(가정!$B$11=1,MAX(0,MIN(가정!$B$16-C821,INT(E821/가정!$B$17))),0)</f>
        <v>0</v>
      </c>
      <c r="G821" s="24" t="n">
        <f aca="false">F821*가정!$B$17</f>
        <v>0</v>
      </c>
      <c r="H821" s="24" t="n">
        <f aca="false">E821-G821</f>
        <v>266553.668341709</v>
      </c>
      <c r="I821" s="24" t="n">
        <f aca="false">I820+D821</f>
        <v>293520</v>
      </c>
      <c r="J821" s="16" t="n">
        <f aca="false">(H821+D821)*가정!$B$10</f>
        <v>267053.668341709</v>
      </c>
      <c r="K821" s="24" t="n">
        <f aca="false">A821*가정!$B$8*가정!$B$7</f>
        <v>4085</v>
      </c>
      <c r="L821" s="11" t="n">
        <f aca="false">C821+F821</f>
        <v>100</v>
      </c>
    </row>
    <row r="822" customFormat="false" ht="15" hidden="false" customHeight="false" outlineLevel="0" collapsed="false">
      <c r="A822" s="11" t="n">
        <v>818</v>
      </c>
      <c r="B822" s="11" t="n">
        <f aca="false">MATCH(A822,월별!$C$6:$C$41,1)</f>
        <v>27</v>
      </c>
      <c r="C822" s="11" t="n">
        <f aca="false">L821</f>
        <v>100</v>
      </c>
      <c r="D822" s="24" t="n">
        <f aca="false">C822*가정!$B$8</f>
        <v>500</v>
      </c>
      <c r="E822" s="24" t="n">
        <f aca="false">H821+D821</f>
        <v>267053.668341709</v>
      </c>
      <c r="F822" s="11" t="n">
        <f aca="false">IF(가정!$B$11=1,MAX(0,MIN(가정!$B$16-C822,INT(E822/가정!$B$17))),0)</f>
        <v>0</v>
      </c>
      <c r="G822" s="24" t="n">
        <f aca="false">F822*가정!$B$17</f>
        <v>0</v>
      </c>
      <c r="H822" s="24" t="n">
        <f aca="false">E822-G822</f>
        <v>267053.668341709</v>
      </c>
      <c r="I822" s="24" t="n">
        <f aca="false">I821+D822</f>
        <v>294020</v>
      </c>
      <c r="J822" s="16" t="n">
        <f aca="false">(H822+D822)*가정!$B$10</f>
        <v>267553.668341709</v>
      </c>
      <c r="K822" s="24" t="n">
        <f aca="false">A822*가정!$B$8*가정!$B$7</f>
        <v>4090</v>
      </c>
      <c r="L822" s="11" t="n">
        <f aca="false">C822+F822</f>
        <v>100</v>
      </c>
    </row>
    <row r="823" customFormat="false" ht="15" hidden="false" customHeight="false" outlineLevel="0" collapsed="false">
      <c r="A823" s="11" t="n">
        <v>819</v>
      </c>
      <c r="B823" s="11" t="n">
        <f aca="false">MATCH(A823,월별!$C$6:$C$41,1)</f>
        <v>27</v>
      </c>
      <c r="C823" s="11" t="n">
        <f aca="false">L822</f>
        <v>100</v>
      </c>
      <c r="D823" s="24" t="n">
        <f aca="false">C823*가정!$B$8</f>
        <v>500</v>
      </c>
      <c r="E823" s="24" t="n">
        <f aca="false">H822+D822</f>
        <v>267553.668341709</v>
      </c>
      <c r="F823" s="11" t="n">
        <f aca="false">IF(가정!$B$11=1,MAX(0,MIN(가정!$B$16-C823,INT(E823/가정!$B$17))),0)</f>
        <v>0</v>
      </c>
      <c r="G823" s="24" t="n">
        <f aca="false">F823*가정!$B$17</f>
        <v>0</v>
      </c>
      <c r="H823" s="24" t="n">
        <f aca="false">E823-G823</f>
        <v>267553.668341709</v>
      </c>
      <c r="I823" s="24" t="n">
        <f aca="false">I822+D823</f>
        <v>294520</v>
      </c>
      <c r="J823" s="16" t="n">
        <f aca="false">(H823+D823)*가정!$B$10</f>
        <v>268053.668341709</v>
      </c>
      <c r="K823" s="24" t="n">
        <f aca="false">A823*가정!$B$8*가정!$B$7</f>
        <v>4095</v>
      </c>
      <c r="L823" s="11" t="n">
        <f aca="false">C823+F823</f>
        <v>100</v>
      </c>
    </row>
    <row r="824" customFormat="false" ht="15" hidden="false" customHeight="false" outlineLevel="0" collapsed="false">
      <c r="A824" s="11" t="n">
        <v>820</v>
      </c>
      <c r="B824" s="11" t="n">
        <f aca="false">MATCH(A824,월별!$C$6:$C$41,1)</f>
        <v>27</v>
      </c>
      <c r="C824" s="11" t="n">
        <f aca="false">L823</f>
        <v>100</v>
      </c>
      <c r="D824" s="24" t="n">
        <f aca="false">C824*가정!$B$8</f>
        <v>500</v>
      </c>
      <c r="E824" s="24" t="n">
        <f aca="false">H823+D823</f>
        <v>268053.668341709</v>
      </c>
      <c r="F824" s="11" t="n">
        <f aca="false">IF(가정!$B$11=1,MAX(0,MIN(가정!$B$16-C824,INT(E824/가정!$B$17))),0)</f>
        <v>0</v>
      </c>
      <c r="G824" s="24" t="n">
        <f aca="false">F824*가정!$B$17</f>
        <v>0</v>
      </c>
      <c r="H824" s="24" t="n">
        <f aca="false">E824-G824</f>
        <v>268053.668341709</v>
      </c>
      <c r="I824" s="24" t="n">
        <f aca="false">I823+D824</f>
        <v>295020</v>
      </c>
      <c r="J824" s="16" t="n">
        <f aca="false">(H824+D824)*가정!$B$10</f>
        <v>268553.668341709</v>
      </c>
      <c r="K824" s="24" t="n">
        <f aca="false">A824*가정!$B$8*가정!$B$7</f>
        <v>4100</v>
      </c>
      <c r="L824" s="11" t="n">
        <f aca="false">C824+F824</f>
        <v>100</v>
      </c>
    </row>
    <row r="825" customFormat="false" ht="15" hidden="false" customHeight="false" outlineLevel="0" collapsed="false">
      <c r="A825" s="11" t="n">
        <v>821</v>
      </c>
      <c r="B825" s="11" t="n">
        <f aca="false">MATCH(A825,월별!$C$6:$C$41,1)</f>
        <v>27</v>
      </c>
      <c r="C825" s="11" t="n">
        <f aca="false">L824</f>
        <v>100</v>
      </c>
      <c r="D825" s="24" t="n">
        <f aca="false">C825*가정!$B$8</f>
        <v>500</v>
      </c>
      <c r="E825" s="24" t="n">
        <f aca="false">H824+D824</f>
        <v>268553.668341709</v>
      </c>
      <c r="F825" s="11" t="n">
        <f aca="false">IF(가정!$B$11=1,MAX(0,MIN(가정!$B$16-C825,INT(E825/가정!$B$17))),0)</f>
        <v>0</v>
      </c>
      <c r="G825" s="24" t="n">
        <f aca="false">F825*가정!$B$17</f>
        <v>0</v>
      </c>
      <c r="H825" s="24" t="n">
        <f aca="false">E825-G825</f>
        <v>268553.668341709</v>
      </c>
      <c r="I825" s="24" t="n">
        <f aca="false">I824+D825</f>
        <v>295520</v>
      </c>
      <c r="J825" s="16" t="n">
        <f aca="false">(H825+D825)*가정!$B$10</f>
        <v>269053.668341709</v>
      </c>
      <c r="K825" s="24" t="n">
        <f aca="false">A825*가정!$B$8*가정!$B$7</f>
        <v>4105</v>
      </c>
      <c r="L825" s="11" t="n">
        <f aca="false">C825+F825</f>
        <v>100</v>
      </c>
    </row>
    <row r="826" customFormat="false" ht="15" hidden="false" customHeight="false" outlineLevel="0" collapsed="false">
      <c r="A826" s="11" t="n">
        <v>822</v>
      </c>
      <c r="B826" s="11" t="n">
        <f aca="false">MATCH(A826,월별!$C$6:$C$41,1)</f>
        <v>28</v>
      </c>
      <c r="C826" s="11" t="n">
        <f aca="false">L825</f>
        <v>100</v>
      </c>
      <c r="D826" s="24" t="n">
        <f aca="false">C826*가정!$B$8</f>
        <v>500</v>
      </c>
      <c r="E826" s="24" t="n">
        <f aca="false">H825+D825</f>
        <v>269053.668341709</v>
      </c>
      <c r="F826" s="11" t="n">
        <f aca="false">IF(가정!$B$11=1,MAX(0,MIN(가정!$B$16-C826,INT(E826/가정!$B$17))),0)</f>
        <v>0</v>
      </c>
      <c r="G826" s="24" t="n">
        <f aca="false">F826*가정!$B$17</f>
        <v>0</v>
      </c>
      <c r="H826" s="24" t="n">
        <f aca="false">E826-G826</f>
        <v>269053.668341709</v>
      </c>
      <c r="I826" s="24" t="n">
        <f aca="false">I825+D826</f>
        <v>296020</v>
      </c>
      <c r="J826" s="16" t="n">
        <f aca="false">(H826+D826)*가정!$B$10</f>
        <v>269553.668341709</v>
      </c>
      <c r="K826" s="24" t="n">
        <f aca="false">A826*가정!$B$8*가정!$B$7</f>
        <v>4110</v>
      </c>
      <c r="L826" s="11" t="n">
        <f aca="false">C826+F826</f>
        <v>100</v>
      </c>
    </row>
    <row r="827" customFormat="false" ht="15" hidden="false" customHeight="false" outlineLevel="0" collapsed="false">
      <c r="A827" s="11" t="n">
        <v>823</v>
      </c>
      <c r="B827" s="11" t="n">
        <f aca="false">MATCH(A827,월별!$C$6:$C$41,1)</f>
        <v>28</v>
      </c>
      <c r="C827" s="11" t="n">
        <f aca="false">L826</f>
        <v>100</v>
      </c>
      <c r="D827" s="24" t="n">
        <f aca="false">C827*가정!$B$8</f>
        <v>500</v>
      </c>
      <c r="E827" s="24" t="n">
        <f aca="false">H826+D826</f>
        <v>269553.668341709</v>
      </c>
      <c r="F827" s="11" t="n">
        <f aca="false">IF(가정!$B$11=1,MAX(0,MIN(가정!$B$16-C827,INT(E827/가정!$B$17))),0)</f>
        <v>0</v>
      </c>
      <c r="G827" s="24" t="n">
        <f aca="false">F827*가정!$B$17</f>
        <v>0</v>
      </c>
      <c r="H827" s="24" t="n">
        <f aca="false">E827-G827</f>
        <v>269553.668341709</v>
      </c>
      <c r="I827" s="24" t="n">
        <f aca="false">I826+D827</f>
        <v>296520</v>
      </c>
      <c r="J827" s="16" t="n">
        <f aca="false">(H827+D827)*가정!$B$10</f>
        <v>270053.668341709</v>
      </c>
      <c r="K827" s="24" t="n">
        <f aca="false">A827*가정!$B$8*가정!$B$7</f>
        <v>4115</v>
      </c>
      <c r="L827" s="11" t="n">
        <f aca="false">C827+F827</f>
        <v>100</v>
      </c>
    </row>
    <row r="828" customFormat="false" ht="15" hidden="false" customHeight="false" outlineLevel="0" collapsed="false">
      <c r="A828" s="11" t="n">
        <v>824</v>
      </c>
      <c r="B828" s="11" t="n">
        <f aca="false">MATCH(A828,월별!$C$6:$C$41,1)</f>
        <v>28</v>
      </c>
      <c r="C828" s="11" t="n">
        <f aca="false">L827</f>
        <v>100</v>
      </c>
      <c r="D828" s="24" t="n">
        <f aca="false">C828*가정!$B$8</f>
        <v>500</v>
      </c>
      <c r="E828" s="24" t="n">
        <f aca="false">H827+D827</f>
        <v>270053.668341709</v>
      </c>
      <c r="F828" s="11" t="n">
        <f aca="false">IF(가정!$B$11=1,MAX(0,MIN(가정!$B$16-C828,INT(E828/가정!$B$17))),0)</f>
        <v>0</v>
      </c>
      <c r="G828" s="24" t="n">
        <f aca="false">F828*가정!$B$17</f>
        <v>0</v>
      </c>
      <c r="H828" s="24" t="n">
        <f aca="false">E828-G828</f>
        <v>270053.668341709</v>
      </c>
      <c r="I828" s="24" t="n">
        <f aca="false">I827+D828</f>
        <v>297020</v>
      </c>
      <c r="J828" s="16" t="n">
        <f aca="false">(H828+D828)*가정!$B$10</f>
        <v>270553.668341709</v>
      </c>
      <c r="K828" s="24" t="n">
        <f aca="false">A828*가정!$B$8*가정!$B$7</f>
        <v>4120</v>
      </c>
      <c r="L828" s="11" t="n">
        <f aca="false">C828+F828</f>
        <v>100</v>
      </c>
    </row>
    <row r="829" customFormat="false" ht="15" hidden="false" customHeight="false" outlineLevel="0" collapsed="false">
      <c r="A829" s="11" t="n">
        <v>825</v>
      </c>
      <c r="B829" s="11" t="n">
        <f aca="false">MATCH(A829,월별!$C$6:$C$41,1)</f>
        <v>28</v>
      </c>
      <c r="C829" s="11" t="n">
        <f aca="false">L828</f>
        <v>100</v>
      </c>
      <c r="D829" s="24" t="n">
        <f aca="false">C829*가정!$B$8</f>
        <v>500</v>
      </c>
      <c r="E829" s="24" t="n">
        <f aca="false">H828+D828</f>
        <v>270553.668341709</v>
      </c>
      <c r="F829" s="11" t="n">
        <f aca="false">IF(가정!$B$11=1,MAX(0,MIN(가정!$B$16-C829,INT(E829/가정!$B$17))),0)</f>
        <v>0</v>
      </c>
      <c r="G829" s="24" t="n">
        <f aca="false">F829*가정!$B$17</f>
        <v>0</v>
      </c>
      <c r="H829" s="24" t="n">
        <f aca="false">E829-G829</f>
        <v>270553.668341709</v>
      </c>
      <c r="I829" s="24" t="n">
        <f aca="false">I828+D829</f>
        <v>297520</v>
      </c>
      <c r="J829" s="16" t="n">
        <f aca="false">(H829+D829)*가정!$B$10</f>
        <v>271053.668341709</v>
      </c>
      <c r="K829" s="24" t="n">
        <f aca="false">A829*가정!$B$8*가정!$B$7</f>
        <v>4125</v>
      </c>
      <c r="L829" s="11" t="n">
        <f aca="false">C829+F829</f>
        <v>100</v>
      </c>
    </row>
    <row r="830" customFormat="false" ht="15" hidden="false" customHeight="false" outlineLevel="0" collapsed="false">
      <c r="A830" s="11" t="n">
        <v>826</v>
      </c>
      <c r="B830" s="11" t="n">
        <f aca="false">MATCH(A830,월별!$C$6:$C$41,1)</f>
        <v>28</v>
      </c>
      <c r="C830" s="11" t="n">
        <f aca="false">L829</f>
        <v>100</v>
      </c>
      <c r="D830" s="24" t="n">
        <f aca="false">C830*가정!$B$8</f>
        <v>500</v>
      </c>
      <c r="E830" s="24" t="n">
        <f aca="false">H829+D829</f>
        <v>271053.668341709</v>
      </c>
      <c r="F830" s="11" t="n">
        <f aca="false">IF(가정!$B$11=1,MAX(0,MIN(가정!$B$16-C830,INT(E830/가정!$B$17))),0)</f>
        <v>0</v>
      </c>
      <c r="G830" s="24" t="n">
        <f aca="false">F830*가정!$B$17</f>
        <v>0</v>
      </c>
      <c r="H830" s="24" t="n">
        <f aca="false">E830-G830</f>
        <v>271053.668341709</v>
      </c>
      <c r="I830" s="24" t="n">
        <f aca="false">I829+D830</f>
        <v>298020</v>
      </c>
      <c r="J830" s="16" t="n">
        <f aca="false">(H830+D830)*가정!$B$10</f>
        <v>271553.668341709</v>
      </c>
      <c r="K830" s="24" t="n">
        <f aca="false">A830*가정!$B$8*가정!$B$7</f>
        <v>4130</v>
      </c>
      <c r="L830" s="11" t="n">
        <f aca="false">C830+F830</f>
        <v>100</v>
      </c>
    </row>
    <row r="831" customFormat="false" ht="15" hidden="false" customHeight="false" outlineLevel="0" collapsed="false">
      <c r="A831" s="11" t="n">
        <v>827</v>
      </c>
      <c r="B831" s="11" t="n">
        <f aca="false">MATCH(A831,월별!$C$6:$C$41,1)</f>
        <v>28</v>
      </c>
      <c r="C831" s="11" t="n">
        <f aca="false">L830</f>
        <v>100</v>
      </c>
      <c r="D831" s="24" t="n">
        <f aca="false">C831*가정!$B$8</f>
        <v>500</v>
      </c>
      <c r="E831" s="24" t="n">
        <f aca="false">H830+D830</f>
        <v>271553.668341709</v>
      </c>
      <c r="F831" s="11" t="n">
        <f aca="false">IF(가정!$B$11=1,MAX(0,MIN(가정!$B$16-C831,INT(E831/가정!$B$17))),0)</f>
        <v>0</v>
      </c>
      <c r="G831" s="24" t="n">
        <f aca="false">F831*가정!$B$17</f>
        <v>0</v>
      </c>
      <c r="H831" s="24" t="n">
        <f aca="false">E831-G831</f>
        <v>271553.668341709</v>
      </c>
      <c r="I831" s="24" t="n">
        <f aca="false">I830+D831</f>
        <v>298520</v>
      </c>
      <c r="J831" s="16" t="n">
        <f aca="false">(H831+D831)*가정!$B$10</f>
        <v>272053.668341709</v>
      </c>
      <c r="K831" s="24" t="n">
        <f aca="false">A831*가정!$B$8*가정!$B$7</f>
        <v>4135</v>
      </c>
      <c r="L831" s="11" t="n">
        <f aca="false">C831+F831</f>
        <v>100</v>
      </c>
    </row>
    <row r="832" customFormat="false" ht="15" hidden="false" customHeight="false" outlineLevel="0" collapsed="false">
      <c r="A832" s="11" t="n">
        <v>828</v>
      </c>
      <c r="B832" s="11" t="n">
        <f aca="false">MATCH(A832,월별!$C$6:$C$41,1)</f>
        <v>28</v>
      </c>
      <c r="C832" s="11" t="n">
        <f aca="false">L831</f>
        <v>100</v>
      </c>
      <c r="D832" s="24" t="n">
        <f aca="false">C832*가정!$B$8</f>
        <v>500</v>
      </c>
      <c r="E832" s="24" t="n">
        <f aca="false">H831+D831</f>
        <v>272053.668341709</v>
      </c>
      <c r="F832" s="11" t="n">
        <f aca="false">IF(가정!$B$11=1,MAX(0,MIN(가정!$B$16-C832,INT(E832/가정!$B$17))),0)</f>
        <v>0</v>
      </c>
      <c r="G832" s="24" t="n">
        <f aca="false">F832*가정!$B$17</f>
        <v>0</v>
      </c>
      <c r="H832" s="24" t="n">
        <f aca="false">E832-G832</f>
        <v>272053.668341709</v>
      </c>
      <c r="I832" s="24" t="n">
        <f aca="false">I831+D832</f>
        <v>299020</v>
      </c>
      <c r="J832" s="16" t="n">
        <f aca="false">(H832+D832)*가정!$B$10</f>
        <v>272553.668341709</v>
      </c>
      <c r="K832" s="24" t="n">
        <f aca="false">A832*가정!$B$8*가정!$B$7</f>
        <v>4140</v>
      </c>
      <c r="L832" s="11" t="n">
        <f aca="false">C832+F832</f>
        <v>100</v>
      </c>
    </row>
    <row r="833" customFormat="false" ht="15" hidden="false" customHeight="false" outlineLevel="0" collapsed="false">
      <c r="A833" s="11" t="n">
        <v>829</v>
      </c>
      <c r="B833" s="11" t="n">
        <f aca="false">MATCH(A833,월별!$C$6:$C$41,1)</f>
        <v>28</v>
      </c>
      <c r="C833" s="11" t="n">
        <f aca="false">L832</f>
        <v>100</v>
      </c>
      <c r="D833" s="24" t="n">
        <f aca="false">C833*가정!$B$8</f>
        <v>500</v>
      </c>
      <c r="E833" s="24" t="n">
        <f aca="false">H832+D832</f>
        <v>272553.668341709</v>
      </c>
      <c r="F833" s="11" t="n">
        <f aca="false">IF(가정!$B$11=1,MAX(0,MIN(가정!$B$16-C833,INT(E833/가정!$B$17))),0)</f>
        <v>0</v>
      </c>
      <c r="G833" s="24" t="n">
        <f aca="false">F833*가정!$B$17</f>
        <v>0</v>
      </c>
      <c r="H833" s="24" t="n">
        <f aca="false">E833-G833</f>
        <v>272553.668341709</v>
      </c>
      <c r="I833" s="24" t="n">
        <f aca="false">I832+D833</f>
        <v>299520</v>
      </c>
      <c r="J833" s="16" t="n">
        <f aca="false">(H833+D833)*가정!$B$10</f>
        <v>273053.668341709</v>
      </c>
      <c r="K833" s="24" t="n">
        <f aca="false">A833*가정!$B$8*가정!$B$7</f>
        <v>4145</v>
      </c>
      <c r="L833" s="11" t="n">
        <f aca="false">C833+F833</f>
        <v>100</v>
      </c>
    </row>
    <row r="834" customFormat="false" ht="15" hidden="false" customHeight="false" outlineLevel="0" collapsed="false">
      <c r="A834" s="11" t="n">
        <v>830</v>
      </c>
      <c r="B834" s="11" t="n">
        <f aca="false">MATCH(A834,월별!$C$6:$C$41,1)</f>
        <v>28</v>
      </c>
      <c r="C834" s="11" t="n">
        <f aca="false">L833</f>
        <v>100</v>
      </c>
      <c r="D834" s="24" t="n">
        <f aca="false">C834*가정!$B$8</f>
        <v>500</v>
      </c>
      <c r="E834" s="24" t="n">
        <f aca="false">H833+D833</f>
        <v>273053.668341709</v>
      </c>
      <c r="F834" s="11" t="n">
        <f aca="false">IF(가정!$B$11=1,MAX(0,MIN(가정!$B$16-C834,INT(E834/가정!$B$17))),0)</f>
        <v>0</v>
      </c>
      <c r="G834" s="24" t="n">
        <f aca="false">F834*가정!$B$17</f>
        <v>0</v>
      </c>
      <c r="H834" s="24" t="n">
        <f aca="false">E834-G834</f>
        <v>273053.668341709</v>
      </c>
      <c r="I834" s="24" t="n">
        <f aca="false">I833+D834</f>
        <v>300020</v>
      </c>
      <c r="J834" s="16" t="n">
        <f aca="false">(H834+D834)*가정!$B$10</f>
        <v>273553.668341709</v>
      </c>
      <c r="K834" s="24" t="n">
        <f aca="false">A834*가정!$B$8*가정!$B$7</f>
        <v>4150</v>
      </c>
      <c r="L834" s="11" t="n">
        <f aca="false">C834+F834</f>
        <v>100</v>
      </c>
    </row>
    <row r="835" customFormat="false" ht="15" hidden="false" customHeight="false" outlineLevel="0" collapsed="false">
      <c r="A835" s="11" t="n">
        <v>831</v>
      </c>
      <c r="B835" s="11" t="n">
        <f aca="false">MATCH(A835,월별!$C$6:$C$41,1)</f>
        <v>28</v>
      </c>
      <c r="C835" s="11" t="n">
        <f aca="false">L834</f>
        <v>100</v>
      </c>
      <c r="D835" s="24" t="n">
        <f aca="false">C835*가정!$B$8</f>
        <v>500</v>
      </c>
      <c r="E835" s="24" t="n">
        <f aca="false">H834+D834</f>
        <v>273553.668341709</v>
      </c>
      <c r="F835" s="11" t="n">
        <f aca="false">IF(가정!$B$11=1,MAX(0,MIN(가정!$B$16-C835,INT(E835/가정!$B$17))),0)</f>
        <v>0</v>
      </c>
      <c r="G835" s="24" t="n">
        <f aca="false">F835*가정!$B$17</f>
        <v>0</v>
      </c>
      <c r="H835" s="24" t="n">
        <f aca="false">E835-G835</f>
        <v>273553.668341709</v>
      </c>
      <c r="I835" s="24" t="n">
        <f aca="false">I834+D835</f>
        <v>300520</v>
      </c>
      <c r="J835" s="16" t="n">
        <f aca="false">(H835+D835)*가정!$B$10</f>
        <v>274053.668341709</v>
      </c>
      <c r="K835" s="24" t="n">
        <f aca="false">A835*가정!$B$8*가정!$B$7</f>
        <v>4155</v>
      </c>
      <c r="L835" s="11" t="n">
        <f aca="false">C835+F835</f>
        <v>100</v>
      </c>
    </row>
    <row r="836" customFormat="false" ht="15" hidden="false" customHeight="false" outlineLevel="0" collapsed="false">
      <c r="A836" s="11" t="n">
        <v>832</v>
      </c>
      <c r="B836" s="11" t="n">
        <f aca="false">MATCH(A836,월별!$C$6:$C$41,1)</f>
        <v>28</v>
      </c>
      <c r="C836" s="11" t="n">
        <f aca="false">L835</f>
        <v>100</v>
      </c>
      <c r="D836" s="24" t="n">
        <f aca="false">C836*가정!$B$8</f>
        <v>500</v>
      </c>
      <c r="E836" s="24" t="n">
        <f aca="false">H835+D835</f>
        <v>274053.668341709</v>
      </c>
      <c r="F836" s="11" t="n">
        <f aca="false">IF(가정!$B$11=1,MAX(0,MIN(가정!$B$16-C836,INT(E836/가정!$B$17))),0)</f>
        <v>0</v>
      </c>
      <c r="G836" s="24" t="n">
        <f aca="false">F836*가정!$B$17</f>
        <v>0</v>
      </c>
      <c r="H836" s="24" t="n">
        <f aca="false">E836-G836</f>
        <v>274053.668341709</v>
      </c>
      <c r="I836" s="24" t="n">
        <f aca="false">I835+D836</f>
        <v>301020</v>
      </c>
      <c r="J836" s="16" t="n">
        <f aca="false">(H836+D836)*가정!$B$10</f>
        <v>274553.668341709</v>
      </c>
      <c r="K836" s="24" t="n">
        <f aca="false">A836*가정!$B$8*가정!$B$7</f>
        <v>4160</v>
      </c>
      <c r="L836" s="11" t="n">
        <f aca="false">C836+F836</f>
        <v>100</v>
      </c>
    </row>
    <row r="837" customFormat="false" ht="15" hidden="false" customHeight="false" outlineLevel="0" collapsed="false">
      <c r="A837" s="11" t="n">
        <v>833</v>
      </c>
      <c r="B837" s="11" t="n">
        <f aca="false">MATCH(A837,월별!$C$6:$C$41,1)</f>
        <v>28</v>
      </c>
      <c r="C837" s="11" t="n">
        <f aca="false">L836</f>
        <v>100</v>
      </c>
      <c r="D837" s="24" t="n">
        <f aca="false">C837*가정!$B$8</f>
        <v>500</v>
      </c>
      <c r="E837" s="24" t="n">
        <f aca="false">H836+D836</f>
        <v>274553.668341709</v>
      </c>
      <c r="F837" s="11" t="n">
        <f aca="false">IF(가정!$B$11=1,MAX(0,MIN(가정!$B$16-C837,INT(E837/가정!$B$17))),0)</f>
        <v>0</v>
      </c>
      <c r="G837" s="24" t="n">
        <f aca="false">F837*가정!$B$17</f>
        <v>0</v>
      </c>
      <c r="H837" s="24" t="n">
        <f aca="false">E837-G837</f>
        <v>274553.668341709</v>
      </c>
      <c r="I837" s="24" t="n">
        <f aca="false">I836+D837</f>
        <v>301520</v>
      </c>
      <c r="J837" s="16" t="n">
        <f aca="false">(H837+D837)*가정!$B$10</f>
        <v>275053.668341709</v>
      </c>
      <c r="K837" s="24" t="n">
        <f aca="false">A837*가정!$B$8*가정!$B$7</f>
        <v>4165</v>
      </c>
      <c r="L837" s="11" t="n">
        <f aca="false">C837+F837</f>
        <v>100</v>
      </c>
    </row>
    <row r="838" customFormat="false" ht="15" hidden="false" customHeight="false" outlineLevel="0" collapsed="false">
      <c r="A838" s="11" t="n">
        <v>834</v>
      </c>
      <c r="B838" s="11" t="n">
        <f aca="false">MATCH(A838,월별!$C$6:$C$41,1)</f>
        <v>28</v>
      </c>
      <c r="C838" s="11" t="n">
        <f aca="false">L837</f>
        <v>100</v>
      </c>
      <c r="D838" s="24" t="n">
        <f aca="false">C838*가정!$B$8</f>
        <v>500</v>
      </c>
      <c r="E838" s="24" t="n">
        <f aca="false">H837+D837</f>
        <v>275053.668341709</v>
      </c>
      <c r="F838" s="11" t="n">
        <f aca="false">IF(가정!$B$11=1,MAX(0,MIN(가정!$B$16-C838,INT(E838/가정!$B$17))),0)</f>
        <v>0</v>
      </c>
      <c r="G838" s="24" t="n">
        <f aca="false">F838*가정!$B$17</f>
        <v>0</v>
      </c>
      <c r="H838" s="24" t="n">
        <f aca="false">E838-G838</f>
        <v>275053.668341709</v>
      </c>
      <c r="I838" s="24" t="n">
        <f aca="false">I837+D838</f>
        <v>302020</v>
      </c>
      <c r="J838" s="16" t="n">
        <f aca="false">(H838+D838)*가정!$B$10</f>
        <v>275553.668341709</v>
      </c>
      <c r="K838" s="24" t="n">
        <f aca="false">A838*가정!$B$8*가정!$B$7</f>
        <v>4170</v>
      </c>
      <c r="L838" s="11" t="n">
        <f aca="false">C838+F838</f>
        <v>100</v>
      </c>
    </row>
    <row r="839" customFormat="false" ht="15" hidden="false" customHeight="false" outlineLevel="0" collapsed="false">
      <c r="A839" s="11" t="n">
        <v>835</v>
      </c>
      <c r="B839" s="11" t="n">
        <f aca="false">MATCH(A839,월별!$C$6:$C$41,1)</f>
        <v>28</v>
      </c>
      <c r="C839" s="11" t="n">
        <f aca="false">L838</f>
        <v>100</v>
      </c>
      <c r="D839" s="24" t="n">
        <f aca="false">C839*가정!$B$8</f>
        <v>500</v>
      </c>
      <c r="E839" s="24" t="n">
        <f aca="false">H838+D838</f>
        <v>275553.668341709</v>
      </c>
      <c r="F839" s="11" t="n">
        <f aca="false">IF(가정!$B$11=1,MAX(0,MIN(가정!$B$16-C839,INT(E839/가정!$B$17))),0)</f>
        <v>0</v>
      </c>
      <c r="G839" s="24" t="n">
        <f aca="false">F839*가정!$B$17</f>
        <v>0</v>
      </c>
      <c r="H839" s="24" t="n">
        <f aca="false">E839-G839</f>
        <v>275553.668341709</v>
      </c>
      <c r="I839" s="24" t="n">
        <f aca="false">I838+D839</f>
        <v>302520</v>
      </c>
      <c r="J839" s="16" t="n">
        <f aca="false">(H839+D839)*가정!$B$10</f>
        <v>276053.668341709</v>
      </c>
      <c r="K839" s="24" t="n">
        <f aca="false">A839*가정!$B$8*가정!$B$7</f>
        <v>4175</v>
      </c>
      <c r="L839" s="11" t="n">
        <f aca="false">C839+F839</f>
        <v>100</v>
      </c>
    </row>
    <row r="840" customFormat="false" ht="15" hidden="false" customHeight="false" outlineLevel="0" collapsed="false">
      <c r="A840" s="11" t="n">
        <v>836</v>
      </c>
      <c r="B840" s="11" t="n">
        <f aca="false">MATCH(A840,월별!$C$6:$C$41,1)</f>
        <v>28</v>
      </c>
      <c r="C840" s="11" t="n">
        <f aca="false">L839</f>
        <v>100</v>
      </c>
      <c r="D840" s="24" t="n">
        <f aca="false">C840*가정!$B$8</f>
        <v>500</v>
      </c>
      <c r="E840" s="24" t="n">
        <f aca="false">H839+D839</f>
        <v>276053.668341709</v>
      </c>
      <c r="F840" s="11" t="n">
        <f aca="false">IF(가정!$B$11=1,MAX(0,MIN(가정!$B$16-C840,INT(E840/가정!$B$17))),0)</f>
        <v>0</v>
      </c>
      <c r="G840" s="24" t="n">
        <f aca="false">F840*가정!$B$17</f>
        <v>0</v>
      </c>
      <c r="H840" s="24" t="n">
        <f aca="false">E840-G840</f>
        <v>276053.668341709</v>
      </c>
      <c r="I840" s="24" t="n">
        <f aca="false">I839+D840</f>
        <v>303020</v>
      </c>
      <c r="J840" s="16" t="n">
        <f aca="false">(H840+D840)*가정!$B$10</f>
        <v>276553.668341709</v>
      </c>
      <c r="K840" s="24" t="n">
        <f aca="false">A840*가정!$B$8*가정!$B$7</f>
        <v>4180</v>
      </c>
      <c r="L840" s="11" t="n">
        <f aca="false">C840+F840</f>
        <v>100</v>
      </c>
    </row>
    <row r="841" customFormat="false" ht="15" hidden="false" customHeight="false" outlineLevel="0" collapsed="false">
      <c r="A841" s="11" t="n">
        <v>837</v>
      </c>
      <c r="B841" s="11" t="n">
        <f aca="false">MATCH(A841,월별!$C$6:$C$41,1)</f>
        <v>28</v>
      </c>
      <c r="C841" s="11" t="n">
        <f aca="false">L840</f>
        <v>100</v>
      </c>
      <c r="D841" s="24" t="n">
        <f aca="false">C841*가정!$B$8</f>
        <v>500</v>
      </c>
      <c r="E841" s="24" t="n">
        <f aca="false">H840+D840</f>
        <v>276553.668341709</v>
      </c>
      <c r="F841" s="11" t="n">
        <f aca="false">IF(가정!$B$11=1,MAX(0,MIN(가정!$B$16-C841,INT(E841/가정!$B$17))),0)</f>
        <v>0</v>
      </c>
      <c r="G841" s="24" t="n">
        <f aca="false">F841*가정!$B$17</f>
        <v>0</v>
      </c>
      <c r="H841" s="24" t="n">
        <f aca="false">E841-G841</f>
        <v>276553.668341709</v>
      </c>
      <c r="I841" s="24" t="n">
        <f aca="false">I840+D841</f>
        <v>303520</v>
      </c>
      <c r="J841" s="16" t="n">
        <f aca="false">(H841+D841)*가정!$B$10</f>
        <v>277053.668341709</v>
      </c>
      <c r="K841" s="24" t="n">
        <f aca="false">A841*가정!$B$8*가정!$B$7</f>
        <v>4185</v>
      </c>
      <c r="L841" s="11" t="n">
        <f aca="false">C841+F841</f>
        <v>100</v>
      </c>
    </row>
    <row r="842" customFormat="false" ht="15" hidden="false" customHeight="false" outlineLevel="0" collapsed="false">
      <c r="A842" s="11" t="n">
        <v>838</v>
      </c>
      <c r="B842" s="11" t="n">
        <f aca="false">MATCH(A842,월별!$C$6:$C$41,1)</f>
        <v>28</v>
      </c>
      <c r="C842" s="11" t="n">
        <f aca="false">L841</f>
        <v>100</v>
      </c>
      <c r="D842" s="24" t="n">
        <f aca="false">C842*가정!$B$8</f>
        <v>500</v>
      </c>
      <c r="E842" s="24" t="n">
        <f aca="false">H841+D841</f>
        <v>277053.668341709</v>
      </c>
      <c r="F842" s="11" t="n">
        <f aca="false">IF(가정!$B$11=1,MAX(0,MIN(가정!$B$16-C842,INT(E842/가정!$B$17))),0)</f>
        <v>0</v>
      </c>
      <c r="G842" s="24" t="n">
        <f aca="false">F842*가정!$B$17</f>
        <v>0</v>
      </c>
      <c r="H842" s="24" t="n">
        <f aca="false">E842-G842</f>
        <v>277053.668341709</v>
      </c>
      <c r="I842" s="24" t="n">
        <f aca="false">I841+D842</f>
        <v>304020</v>
      </c>
      <c r="J842" s="16" t="n">
        <f aca="false">(H842+D842)*가정!$B$10</f>
        <v>277553.668341709</v>
      </c>
      <c r="K842" s="24" t="n">
        <f aca="false">A842*가정!$B$8*가정!$B$7</f>
        <v>4190</v>
      </c>
      <c r="L842" s="11" t="n">
        <f aca="false">C842+F842</f>
        <v>100</v>
      </c>
    </row>
    <row r="843" customFormat="false" ht="15" hidden="false" customHeight="false" outlineLevel="0" collapsed="false">
      <c r="A843" s="11" t="n">
        <v>839</v>
      </c>
      <c r="B843" s="11" t="n">
        <f aca="false">MATCH(A843,월별!$C$6:$C$41,1)</f>
        <v>28</v>
      </c>
      <c r="C843" s="11" t="n">
        <f aca="false">L842</f>
        <v>100</v>
      </c>
      <c r="D843" s="24" t="n">
        <f aca="false">C843*가정!$B$8</f>
        <v>500</v>
      </c>
      <c r="E843" s="24" t="n">
        <f aca="false">H842+D842</f>
        <v>277553.668341709</v>
      </c>
      <c r="F843" s="11" t="n">
        <f aca="false">IF(가정!$B$11=1,MAX(0,MIN(가정!$B$16-C843,INT(E843/가정!$B$17))),0)</f>
        <v>0</v>
      </c>
      <c r="G843" s="24" t="n">
        <f aca="false">F843*가정!$B$17</f>
        <v>0</v>
      </c>
      <c r="H843" s="24" t="n">
        <f aca="false">E843-G843</f>
        <v>277553.668341709</v>
      </c>
      <c r="I843" s="24" t="n">
        <f aca="false">I842+D843</f>
        <v>304520</v>
      </c>
      <c r="J843" s="16" t="n">
        <f aca="false">(H843+D843)*가정!$B$10</f>
        <v>278053.668341709</v>
      </c>
      <c r="K843" s="24" t="n">
        <f aca="false">A843*가정!$B$8*가정!$B$7</f>
        <v>4195</v>
      </c>
      <c r="L843" s="11" t="n">
        <f aca="false">C843+F843</f>
        <v>100</v>
      </c>
    </row>
    <row r="844" customFormat="false" ht="15" hidden="false" customHeight="false" outlineLevel="0" collapsed="false">
      <c r="A844" s="11" t="n">
        <v>840</v>
      </c>
      <c r="B844" s="11" t="n">
        <f aca="false">MATCH(A844,월별!$C$6:$C$41,1)</f>
        <v>28</v>
      </c>
      <c r="C844" s="11" t="n">
        <f aca="false">L843</f>
        <v>100</v>
      </c>
      <c r="D844" s="24" t="n">
        <f aca="false">C844*가정!$B$8</f>
        <v>500</v>
      </c>
      <c r="E844" s="24" t="n">
        <f aca="false">H843+D843</f>
        <v>278053.668341709</v>
      </c>
      <c r="F844" s="11" t="n">
        <f aca="false">IF(가정!$B$11=1,MAX(0,MIN(가정!$B$16-C844,INT(E844/가정!$B$17))),0)</f>
        <v>0</v>
      </c>
      <c r="G844" s="24" t="n">
        <f aca="false">F844*가정!$B$17</f>
        <v>0</v>
      </c>
      <c r="H844" s="24" t="n">
        <f aca="false">E844-G844</f>
        <v>278053.668341709</v>
      </c>
      <c r="I844" s="24" t="n">
        <f aca="false">I843+D844</f>
        <v>305020</v>
      </c>
      <c r="J844" s="16" t="n">
        <f aca="false">(H844+D844)*가정!$B$10</f>
        <v>278553.668341709</v>
      </c>
      <c r="K844" s="24" t="n">
        <f aca="false">A844*가정!$B$8*가정!$B$7</f>
        <v>4200</v>
      </c>
      <c r="L844" s="11" t="n">
        <f aca="false">C844+F844</f>
        <v>100</v>
      </c>
    </row>
    <row r="845" customFormat="false" ht="15" hidden="false" customHeight="false" outlineLevel="0" collapsed="false">
      <c r="A845" s="11" t="n">
        <v>841</v>
      </c>
      <c r="B845" s="11" t="n">
        <f aca="false">MATCH(A845,월별!$C$6:$C$41,1)</f>
        <v>28</v>
      </c>
      <c r="C845" s="11" t="n">
        <f aca="false">L844</f>
        <v>100</v>
      </c>
      <c r="D845" s="24" t="n">
        <f aca="false">C845*가정!$B$8</f>
        <v>500</v>
      </c>
      <c r="E845" s="24" t="n">
        <f aca="false">H844+D844</f>
        <v>278553.668341709</v>
      </c>
      <c r="F845" s="11" t="n">
        <f aca="false">IF(가정!$B$11=1,MAX(0,MIN(가정!$B$16-C845,INT(E845/가정!$B$17))),0)</f>
        <v>0</v>
      </c>
      <c r="G845" s="24" t="n">
        <f aca="false">F845*가정!$B$17</f>
        <v>0</v>
      </c>
      <c r="H845" s="24" t="n">
        <f aca="false">E845-G845</f>
        <v>278553.668341709</v>
      </c>
      <c r="I845" s="24" t="n">
        <f aca="false">I844+D845</f>
        <v>305520</v>
      </c>
      <c r="J845" s="16" t="n">
        <f aca="false">(H845+D845)*가정!$B$10</f>
        <v>279053.668341709</v>
      </c>
      <c r="K845" s="24" t="n">
        <f aca="false">A845*가정!$B$8*가정!$B$7</f>
        <v>4205</v>
      </c>
      <c r="L845" s="11" t="n">
        <f aca="false">C845+F845</f>
        <v>100</v>
      </c>
    </row>
    <row r="846" customFormat="false" ht="15" hidden="false" customHeight="false" outlineLevel="0" collapsed="false">
      <c r="A846" s="11" t="n">
        <v>842</v>
      </c>
      <c r="B846" s="11" t="n">
        <f aca="false">MATCH(A846,월별!$C$6:$C$41,1)</f>
        <v>28</v>
      </c>
      <c r="C846" s="11" t="n">
        <f aca="false">L845</f>
        <v>100</v>
      </c>
      <c r="D846" s="24" t="n">
        <f aca="false">C846*가정!$B$8</f>
        <v>500</v>
      </c>
      <c r="E846" s="24" t="n">
        <f aca="false">H845+D845</f>
        <v>279053.668341709</v>
      </c>
      <c r="F846" s="11" t="n">
        <f aca="false">IF(가정!$B$11=1,MAX(0,MIN(가정!$B$16-C846,INT(E846/가정!$B$17))),0)</f>
        <v>0</v>
      </c>
      <c r="G846" s="24" t="n">
        <f aca="false">F846*가정!$B$17</f>
        <v>0</v>
      </c>
      <c r="H846" s="24" t="n">
        <f aca="false">E846-G846</f>
        <v>279053.668341709</v>
      </c>
      <c r="I846" s="24" t="n">
        <f aca="false">I845+D846</f>
        <v>306020</v>
      </c>
      <c r="J846" s="16" t="n">
        <f aca="false">(H846+D846)*가정!$B$10</f>
        <v>279553.668341709</v>
      </c>
      <c r="K846" s="24" t="n">
        <f aca="false">A846*가정!$B$8*가정!$B$7</f>
        <v>4210</v>
      </c>
      <c r="L846" s="11" t="n">
        <f aca="false">C846+F846</f>
        <v>100</v>
      </c>
    </row>
    <row r="847" customFormat="false" ht="15" hidden="false" customHeight="false" outlineLevel="0" collapsed="false">
      <c r="A847" s="11" t="n">
        <v>843</v>
      </c>
      <c r="B847" s="11" t="n">
        <f aca="false">MATCH(A847,월별!$C$6:$C$41,1)</f>
        <v>28</v>
      </c>
      <c r="C847" s="11" t="n">
        <f aca="false">L846</f>
        <v>100</v>
      </c>
      <c r="D847" s="24" t="n">
        <f aca="false">C847*가정!$B$8</f>
        <v>500</v>
      </c>
      <c r="E847" s="24" t="n">
        <f aca="false">H846+D846</f>
        <v>279553.668341709</v>
      </c>
      <c r="F847" s="11" t="n">
        <f aca="false">IF(가정!$B$11=1,MAX(0,MIN(가정!$B$16-C847,INT(E847/가정!$B$17))),0)</f>
        <v>0</v>
      </c>
      <c r="G847" s="24" t="n">
        <f aca="false">F847*가정!$B$17</f>
        <v>0</v>
      </c>
      <c r="H847" s="24" t="n">
        <f aca="false">E847-G847</f>
        <v>279553.668341709</v>
      </c>
      <c r="I847" s="24" t="n">
        <f aca="false">I846+D847</f>
        <v>306520</v>
      </c>
      <c r="J847" s="16" t="n">
        <f aca="false">(H847+D847)*가정!$B$10</f>
        <v>280053.668341709</v>
      </c>
      <c r="K847" s="24" t="n">
        <f aca="false">A847*가정!$B$8*가정!$B$7</f>
        <v>4215</v>
      </c>
      <c r="L847" s="11" t="n">
        <f aca="false">C847+F847</f>
        <v>100</v>
      </c>
    </row>
    <row r="848" customFormat="false" ht="15" hidden="false" customHeight="false" outlineLevel="0" collapsed="false">
      <c r="A848" s="11" t="n">
        <v>844</v>
      </c>
      <c r="B848" s="11" t="n">
        <f aca="false">MATCH(A848,월별!$C$6:$C$41,1)</f>
        <v>28</v>
      </c>
      <c r="C848" s="11" t="n">
        <f aca="false">L847</f>
        <v>100</v>
      </c>
      <c r="D848" s="24" t="n">
        <f aca="false">C848*가정!$B$8</f>
        <v>500</v>
      </c>
      <c r="E848" s="24" t="n">
        <f aca="false">H847+D847</f>
        <v>280053.668341709</v>
      </c>
      <c r="F848" s="11" t="n">
        <f aca="false">IF(가정!$B$11=1,MAX(0,MIN(가정!$B$16-C848,INT(E848/가정!$B$17))),0)</f>
        <v>0</v>
      </c>
      <c r="G848" s="24" t="n">
        <f aca="false">F848*가정!$B$17</f>
        <v>0</v>
      </c>
      <c r="H848" s="24" t="n">
        <f aca="false">E848-G848</f>
        <v>280053.668341709</v>
      </c>
      <c r="I848" s="24" t="n">
        <f aca="false">I847+D848</f>
        <v>307020</v>
      </c>
      <c r="J848" s="16" t="n">
        <f aca="false">(H848+D848)*가정!$B$10</f>
        <v>280553.668341709</v>
      </c>
      <c r="K848" s="24" t="n">
        <f aca="false">A848*가정!$B$8*가정!$B$7</f>
        <v>4220</v>
      </c>
      <c r="L848" s="11" t="n">
        <f aca="false">C848+F848</f>
        <v>100</v>
      </c>
    </row>
    <row r="849" customFormat="false" ht="15" hidden="false" customHeight="false" outlineLevel="0" collapsed="false">
      <c r="A849" s="11" t="n">
        <v>845</v>
      </c>
      <c r="B849" s="11" t="n">
        <f aca="false">MATCH(A849,월별!$C$6:$C$41,1)</f>
        <v>28</v>
      </c>
      <c r="C849" s="11" t="n">
        <f aca="false">L848</f>
        <v>100</v>
      </c>
      <c r="D849" s="24" t="n">
        <f aca="false">C849*가정!$B$8</f>
        <v>500</v>
      </c>
      <c r="E849" s="24" t="n">
        <f aca="false">H848+D848</f>
        <v>280553.668341709</v>
      </c>
      <c r="F849" s="11" t="n">
        <f aca="false">IF(가정!$B$11=1,MAX(0,MIN(가정!$B$16-C849,INT(E849/가정!$B$17))),0)</f>
        <v>0</v>
      </c>
      <c r="G849" s="24" t="n">
        <f aca="false">F849*가정!$B$17</f>
        <v>0</v>
      </c>
      <c r="H849" s="24" t="n">
        <f aca="false">E849-G849</f>
        <v>280553.668341709</v>
      </c>
      <c r="I849" s="24" t="n">
        <f aca="false">I848+D849</f>
        <v>307520</v>
      </c>
      <c r="J849" s="16" t="n">
        <f aca="false">(H849+D849)*가정!$B$10</f>
        <v>281053.668341709</v>
      </c>
      <c r="K849" s="24" t="n">
        <f aca="false">A849*가정!$B$8*가정!$B$7</f>
        <v>4225</v>
      </c>
      <c r="L849" s="11" t="n">
        <f aca="false">C849+F849</f>
        <v>100</v>
      </c>
    </row>
    <row r="850" customFormat="false" ht="15" hidden="false" customHeight="false" outlineLevel="0" collapsed="false">
      <c r="A850" s="11" t="n">
        <v>846</v>
      </c>
      <c r="B850" s="11" t="n">
        <f aca="false">MATCH(A850,월별!$C$6:$C$41,1)</f>
        <v>28</v>
      </c>
      <c r="C850" s="11" t="n">
        <f aca="false">L849</f>
        <v>100</v>
      </c>
      <c r="D850" s="24" t="n">
        <f aca="false">C850*가정!$B$8</f>
        <v>500</v>
      </c>
      <c r="E850" s="24" t="n">
        <f aca="false">H849+D849</f>
        <v>281053.668341709</v>
      </c>
      <c r="F850" s="11" t="n">
        <f aca="false">IF(가정!$B$11=1,MAX(0,MIN(가정!$B$16-C850,INT(E850/가정!$B$17))),0)</f>
        <v>0</v>
      </c>
      <c r="G850" s="24" t="n">
        <f aca="false">F850*가정!$B$17</f>
        <v>0</v>
      </c>
      <c r="H850" s="24" t="n">
        <f aca="false">E850-G850</f>
        <v>281053.668341709</v>
      </c>
      <c r="I850" s="24" t="n">
        <f aca="false">I849+D850</f>
        <v>308020</v>
      </c>
      <c r="J850" s="16" t="n">
        <f aca="false">(H850+D850)*가정!$B$10</f>
        <v>281553.668341709</v>
      </c>
      <c r="K850" s="24" t="n">
        <f aca="false">A850*가정!$B$8*가정!$B$7</f>
        <v>4230</v>
      </c>
      <c r="L850" s="11" t="n">
        <f aca="false">C850+F850</f>
        <v>100</v>
      </c>
    </row>
    <row r="851" customFormat="false" ht="15" hidden="false" customHeight="false" outlineLevel="0" collapsed="false">
      <c r="A851" s="11" t="n">
        <v>847</v>
      </c>
      <c r="B851" s="11" t="n">
        <f aca="false">MATCH(A851,월별!$C$6:$C$41,1)</f>
        <v>28</v>
      </c>
      <c r="C851" s="11" t="n">
        <f aca="false">L850</f>
        <v>100</v>
      </c>
      <c r="D851" s="24" t="n">
        <f aca="false">C851*가정!$B$8</f>
        <v>500</v>
      </c>
      <c r="E851" s="24" t="n">
        <f aca="false">H850+D850</f>
        <v>281553.668341709</v>
      </c>
      <c r="F851" s="11" t="n">
        <f aca="false">IF(가정!$B$11=1,MAX(0,MIN(가정!$B$16-C851,INT(E851/가정!$B$17))),0)</f>
        <v>0</v>
      </c>
      <c r="G851" s="24" t="n">
        <f aca="false">F851*가정!$B$17</f>
        <v>0</v>
      </c>
      <c r="H851" s="24" t="n">
        <f aca="false">E851-G851</f>
        <v>281553.668341709</v>
      </c>
      <c r="I851" s="24" t="n">
        <f aca="false">I850+D851</f>
        <v>308520</v>
      </c>
      <c r="J851" s="16" t="n">
        <f aca="false">(H851+D851)*가정!$B$10</f>
        <v>282053.668341709</v>
      </c>
      <c r="K851" s="24" t="n">
        <f aca="false">A851*가정!$B$8*가정!$B$7</f>
        <v>4235</v>
      </c>
      <c r="L851" s="11" t="n">
        <f aca="false">C851+F851</f>
        <v>100</v>
      </c>
    </row>
    <row r="852" customFormat="false" ht="15" hidden="false" customHeight="false" outlineLevel="0" collapsed="false">
      <c r="A852" s="11" t="n">
        <v>848</v>
      </c>
      <c r="B852" s="11" t="n">
        <f aca="false">MATCH(A852,월별!$C$6:$C$41,1)</f>
        <v>28</v>
      </c>
      <c r="C852" s="11" t="n">
        <f aca="false">L851</f>
        <v>100</v>
      </c>
      <c r="D852" s="24" t="n">
        <f aca="false">C852*가정!$B$8</f>
        <v>500</v>
      </c>
      <c r="E852" s="24" t="n">
        <f aca="false">H851+D851</f>
        <v>282053.668341709</v>
      </c>
      <c r="F852" s="11" t="n">
        <f aca="false">IF(가정!$B$11=1,MAX(0,MIN(가정!$B$16-C852,INT(E852/가정!$B$17))),0)</f>
        <v>0</v>
      </c>
      <c r="G852" s="24" t="n">
        <f aca="false">F852*가정!$B$17</f>
        <v>0</v>
      </c>
      <c r="H852" s="24" t="n">
        <f aca="false">E852-G852</f>
        <v>282053.668341709</v>
      </c>
      <c r="I852" s="24" t="n">
        <f aca="false">I851+D852</f>
        <v>309020</v>
      </c>
      <c r="J852" s="16" t="n">
        <f aca="false">(H852+D852)*가정!$B$10</f>
        <v>282553.668341709</v>
      </c>
      <c r="K852" s="24" t="n">
        <f aca="false">A852*가정!$B$8*가정!$B$7</f>
        <v>4240</v>
      </c>
      <c r="L852" s="11" t="n">
        <f aca="false">C852+F852</f>
        <v>100</v>
      </c>
    </row>
    <row r="853" customFormat="false" ht="15" hidden="false" customHeight="false" outlineLevel="0" collapsed="false">
      <c r="A853" s="11" t="n">
        <v>849</v>
      </c>
      <c r="B853" s="11" t="n">
        <f aca="false">MATCH(A853,월별!$C$6:$C$41,1)</f>
        <v>28</v>
      </c>
      <c r="C853" s="11" t="n">
        <f aca="false">L852</f>
        <v>100</v>
      </c>
      <c r="D853" s="24" t="n">
        <f aca="false">C853*가정!$B$8</f>
        <v>500</v>
      </c>
      <c r="E853" s="24" t="n">
        <f aca="false">H852+D852</f>
        <v>282553.668341709</v>
      </c>
      <c r="F853" s="11" t="n">
        <f aca="false">IF(가정!$B$11=1,MAX(0,MIN(가정!$B$16-C853,INT(E853/가정!$B$17))),0)</f>
        <v>0</v>
      </c>
      <c r="G853" s="24" t="n">
        <f aca="false">F853*가정!$B$17</f>
        <v>0</v>
      </c>
      <c r="H853" s="24" t="n">
        <f aca="false">E853-G853</f>
        <v>282553.668341709</v>
      </c>
      <c r="I853" s="24" t="n">
        <f aca="false">I852+D853</f>
        <v>309520</v>
      </c>
      <c r="J853" s="16" t="n">
        <f aca="false">(H853+D853)*가정!$B$10</f>
        <v>283053.668341709</v>
      </c>
      <c r="K853" s="24" t="n">
        <f aca="false">A853*가정!$B$8*가정!$B$7</f>
        <v>4245</v>
      </c>
      <c r="L853" s="11" t="n">
        <f aca="false">C853+F853</f>
        <v>100</v>
      </c>
    </row>
    <row r="854" customFormat="false" ht="15" hidden="false" customHeight="false" outlineLevel="0" collapsed="false">
      <c r="A854" s="11" t="n">
        <v>850</v>
      </c>
      <c r="B854" s="11" t="n">
        <f aca="false">MATCH(A854,월별!$C$6:$C$41,1)</f>
        <v>28</v>
      </c>
      <c r="C854" s="11" t="n">
        <f aca="false">L853</f>
        <v>100</v>
      </c>
      <c r="D854" s="24" t="n">
        <f aca="false">C854*가정!$B$8</f>
        <v>500</v>
      </c>
      <c r="E854" s="24" t="n">
        <f aca="false">H853+D853</f>
        <v>283053.668341709</v>
      </c>
      <c r="F854" s="11" t="n">
        <f aca="false">IF(가정!$B$11=1,MAX(0,MIN(가정!$B$16-C854,INT(E854/가정!$B$17))),0)</f>
        <v>0</v>
      </c>
      <c r="G854" s="24" t="n">
        <f aca="false">F854*가정!$B$17</f>
        <v>0</v>
      </c>
      <c r="H854" s="24" t="n">
        <f aca="false">E854-G854</f>
        <v>283053.668341709</v>
      </c>
      <c r="I854" s="24" t="n">
        <f aca="false">I853+D854</f>
        <v>310020</v>
      </c>
      <c r="J854" s="16" t="n">
        <f aca="false">(H854+D854)*가정!$B$10</f>
        <v>283553.668341709</v>
      </c>
      <c r="K854" s="24" t="n">
        <f aca="false">A854*가정!$B$8*가정!$B$7</f>
        <v>4250</v>
      </c>
      <c r="L854" s="11" t="n">
        <f aca="false">C854+F854</f>
        <v>100</v>
      </c>
    </row>
    <row r="855" customFormat="false" ht="15" hidden="false" customHeight="false" outlineLevel="0" collapsed="false">
      <c r="A855" s="11" t="n">
        <v>851</v>
      </c>
      <c r="B855" s="11" t="n">
        <f aca="false">MATCH(A855,월별!$C$6:$C$41,1)</f>
        <v>28</v>
      </c>
      <c r="C855" s="11" t="n">
        <f aca="false">L854</f>
        <v>100</v>
      </c>
      <c r="D855" s="24" t="n">
        <f aca="false">C855*가정!$B$8</f>
        <v>500</v>
      </c>
      <c r="E855" s="24" t="n">
        <f aca="false">H854+D854</f>
        <v>283553.668341709</v>
      </c>
      <c r="F855" s="11" t="n">
        <f aca="false">IF(가정!$B$11=1,MAX(0,MIN(가정!$B$16-C855,INT(E855/가정!$B$17))),0)</f>
        <v>0</v>
      </c>
      <c r="G855" s="24" t="n">
        <f aca="false">F855*가정!$B$17</f>
        <v>0</v>
      </c>
      <c r="H855" s="24" t="n">
        <f aca="false">E855-G855</f>
        <v>283553.668341709</v>
      </c>
      <c r="I855" s="24" t="n">
        <f aca="false">I854+D855</f>
        <v>310520</v>
      </c>
      <c r="J855" s="16" t="n">
        <f aca="false">(H855+D855)*가정!$B$10</f>
        <v>284053.668341709</v>
      </c>
      <c r="K855" s="24" t="n">
        <f aca="false">A855*가정!$B$8*가정!$B$7</f>
        <v>4255</v>
      </c>
      <c r="L855" s="11" t="n">
        <f aca="false">C855+F855</f>
        <v>100</v>
      </c>
    </row>
    <row r="856" customFormat="false" ht="15" hidden="false" customHeight="false" outlineLevel="0" collapsed="false">
      <c r="A856" s="11" t="n">
        <v>852</v>
      </c>
      <c r="B856" s="11" t="n">
        <f aca="false">MATCH(A856,월별!$C$6:$C$41,1)</f>
        <v>28</v>
      </c>
      <c r="C856" s="11" t="n">
        <f aca="false">L855</f>
        <v>100</v>
      </c>
      <c r="D856" s="24" t="n">
        <f aca="false">C856*가정!$B$8</f>
        <v>500</v>
      </c>
      <c r="E856" s="24" t="n">
        <f aca="false">H855+D855</f>
        <v>284053.668341709</v>
      </c>
      <c r="F856" s="11" t="n">
        <f aca="false">IF(가정!$B$11=1,MAX(0,MIN(가정!$B$16-C856,INT(E856/가정!$B$17))),0)</f>
        <v>0</v>
      </c>
      <c r="G856" s="24" t="n">
        <f aca="false">F856*가정!$B$17</f>
        <v>0</v>
      </c>
      <c r="H856" s="24" t="n">
        <f aca="false">E856-G856</f>
        <v>284053.668341709</v>
      </c>
      <c r="I856" s="24" t="n">
        <f aca="false">I855+D856</f>
        <v>311020</v>
      </c>
      <c r="J856" s="16" t="n">
        <f aca="false">(H856+D856)*가정!$B$10</f>
        <v>284553.668341709</v>
      </c>
      <c r="K856" s="24" t="n">
        <f aca="false">A856*가정!$B$8*가정!$B$7</f>
        <v>4260</v>
      </c>
      <c r="L856" s="11" t="n">
        <f aca="false">C856+F856</f>
        <v>100</v>
      </c>
    </row>
    <row r="857" customFormat="false" ht="15" hidden="false" customHeight="false" outlineLevel="0" collapsed="false">
      <c r="A857" s="11" t="n">
        <v>853</v>
      </c>
      <c r="B857" s="11" t="n">
        <f aca="false">MATCH(A857,월별!$C$6:$C$41,1)</f>
        <v>29</v>
      </c>
      <c r="C857" s="11" t="n">
        <f aca="false">L856</f>
        <v>100</v>
      </c>
      <c r="D857" s="24" t="n">
        <f aca="false">C857*가정!$B$8</f>
        <v>500</v>
      </c>
      <c r="E857" s="24" t="n">
        <f aca="false">H856+D856</f>
        <v>284553.668341709</v>
      </c>
      <c r="F857" s="11" t="n">
        <f aca="false">IF(가정!$B$11=1,MAX(0,MIN(가정!$B$16-C857,INT(E857/가정!$B$17))),0)</f>
        <v>0</v>
      </c>
      <c r="G857" s="24" t="n">
        <f aca="false">F857*가정!$B$17</f>
        <v>0</v>
      </c>
      <c r="H857" s="24" t="n">
        <f aca="false">E857-G857</f>
        <v>284553.668341709</v>
      </c>
      <c r="I857" s="24" t="n">
        <f aca="false">I856+D857</f>
        <v>311520</v>
      </c>
      <c r="J857" s="16" t="n">
        <f aca="false">(H857+D857)*가정!$B$10</f>
        <v>285053.668341709</v>
      </c>
      <c r="K857" s="24" t="n">
        <f aca="false">A857*가정!$B$8*가정!$B$7</f>
        <v>4265</v>
      </c>
      <c r="L857" s="11" t="n">
        <f aca="false">C857+F857</f>
        <v>100</v>
      </c>
    </row>
    <row r="858" customFormat="false" ht="15" hidden="false" customHeight="false" outlineLevel="0" collapsed="false">
      <c r="A858" s="11" t="n">
        <v>854</v>
      </c>
      <c r="B858" s="11" t="n">
        <f aca="false">MATCH(A858,월별!$C$6:$C$41,1)</f>
        <v>29</v>
      </c>
      <c r="C858" s="11" t="n">
        <f aca="false">L857</f>
        <v>100</v>
      </c>
      <c r="D858" s="24" t="n">
        <f aca="false">C858*가정!$B$8</f>
        <v>500</v>
      </c>
      <c r="E858" s="24" t="n">
        <f aca="false">H857+D857</f>
        <v>285053.668341709</v>
      </c>
      <c r="F858" s="11" t="n">
        <f aca="false">IF(가정!$B$11=1,MAX(0,MIN(가정!$B$16-C858,INT(E858/가정!$B$17))),0)</f>
        <v>0</v>
      </c>
      <c r="G858" s="24" t="n">
        <f aca="false">F858*가정!$B$17</f>
        <v>0</v>
      </c>
      <c r="H858" s="24" t="n">
        <f aca="false">E858-G858</f>
        <v>285053.668341709</v>
      </c>
      <c r="I858" s="24" t="n">
        <f aca="false">I857+D858</f>
        <v>312020</v>
      </c>
      <c r="J858" s="16" t="n">
        <f aca="false">(H858+D858)*가정!$B$10</f>
        <v>285553.668341709</v>
      </c>
      <c r="K858" s="24" t="n">
        <f aca="false">A858*가정!$B$8*가정!$B$7</f>
        <v>4270</v>
      </c>
      <c r="L858" s="11" t="n">
        <f aca="false">C858+F858</f>
        <v>100</v>
      </c>
    </row>
    <row r="859" customFormat="false" ht="15" hidden="false" customHeight="false" outlineLevel="0" collapsed="false">
      <c r="A859" s="11" t="n">
        <v>855</v>
      </c>
      <c r="B859" s="11" t="n">
        <f aca="false">MATCH(A859,월별!$C$6:$C$41,1)</f>
        <v>29</v>
      </c>
      <c r="C859" s="11" t="n">
        <f aca="false">L858</f>
        <v>100</v>
      </c>
      <c r="D859" s="24" t="n">
        <f aca="false">C859*가정!$B$8</f>
        <v>500</v>
      </c>
      <c r="E859" s="24" t="n">
        <f aca="false">H858+D858</f>
        <v>285553.668341709</v>
      </c>
      <c r="F859" s="11" t="n">
        <f aca="false">IF(가정!$B$11=1,MAX(0,MIN(가정!$B$16-C859,INT(E859/가정!$B$17))),0)</f>
        <v>0</v>
      </c>
      <c r="G859" s="24" t="n">
        <f aca="false">F859*가정!$B$17</f>
        <v>0</v>
      </c>
      <c r="H859" s="24" t="n">
        <f aca="false">E859-G859</f>
        <v>285553.668341709</v>
      </c>
      <c r="I859" s="24" t="n">
        <f aca="false">I858+D859</f>
        <v>312520</v>
      </c>
      <c r="J859" s="16" t="n">
        <f aca="false">(H859+D859)*가정!$B$10</f>
        <v>286053.668341709</v>
      </c>
      <c r="K859" s="24" t="n">
        <f aca="false">A859*가정!$B$8*가정!$B$7</f>
        <v>4275</v>
      </c>
      <c r="L859" s="11" t="n">
        <f aca="false">C859+F859</f>
        <v>100</v>
      </c>
    </row>
    <row r="860" customFormat="false" ht="15" hidden="false" customHeight="false" outlineLevel="0" collapsed="false">
      <c r="A860" s="11" t="n">
        <v>856</v>
      </c>
      <c r="B860" s="11" t="n">
        <f aca="false">MATCH(A860,월별!$C$6:$C$41,1)</f>
        <v>29</v>
      </c>
      <c r="C860" s="11" t="n">
        <f aca="false">L859</f>
        <v>100</v>
      </c>
      <c r="D860" s="24" t="n">
        <f aca="false">C860*가정!$B$8</f>
        <v>500</v>
      </c>
      <c r="E860" s="24" t="n">
        <f aca="false">H859+D859</f>
        <v>286053.668341709</v>
      </c>
      <c r="F860" s="11" t="n">
        <f aca="false">IF(가정!$B$11=1,MAX(0,MIN(가정!$B$16-C860,INT(E860/가정!$B$17))),0)</f>
        <v>0</v>
      </c>
      <c r="G860" s="24" t="n">
        <f aca="false">F860*가정!$B$17</f>
        <v>0</v>
      </c>
      <c r="H860" s="24" t="n">
        <f aca="false">E860-G860</f>
        <v>286053.668341709</v>
      </c>
      <c r="I860" s="24" t="n">
        <f aca="false">I859+D860</f>
        <v>313020</v>
      </c>
      <c r="J860" s="16" t="n">
        <f aca="false">(H860+D860)*가정!$B$10</f>
        <v>286553.668341709</v>
      </c>
      <c r="K860" s="24" t="n">
        <f aca="false">A860*가정!$B$8*가정!$B$7</f>
        <v>4280</v>
      </c>
      <c r="L860" s="11" t="n">
        <f aca="false">C860+F860</f>
        <v>100</v>
      </c>
    </row>
    <row r="861" customFormat="false" ht="15" hidden="false" customHeight="false" outlineLevel="0" collapsed="false">
      <c r="A861" s="11" t="n">
        <v>857</v>
      </c>
      <c r="B861" s="11" t="n">
        <f aca="false">MATCH(A861,월별!$C$6:$C$41,1)</f>
        <v>29</v>
      </c>
      <c r="C861" s="11" t="n">
        <f aca="false">L860</f>
        <v>100</v>
      </c>
      <c r="D861" s="24" t="n">
        <f aca="false">C861*가정!$B$8</f>
        <v>500</v>
      </c>
      <c r="E861" s="24" t="n">
        <f aca="false">H860+D860</f>
        <v>286553.668341709</v>
      </c>
      <c r="F861" s="11" t="n">
        <f aca="false">IF(가정!$B$11=1,MAX(0,MIN(가정!$B$16-C861,INT(E861/가정!$B$17))),0)</f>
        <v>0</v>
      </c>
      <c r="G861" s="24" t="n">
        <f aca="false">F861*가정!$B$17</f>
        <v>0</v>
      </c>
      <c r="H861" s="24" t="n">
        <f aca="false">E861-G861</f>
        <v>286553.668341709</v>
      </c>
      <c r="I861" s="24" t="n">
        <f aca="false">I860+D861</f>
        <v>313520</v>
      </c>
      <c r="J861" s="16" t="n">
        <f aca="false">(H861+D861)*가정!$B$10</f>
        <v>287053.668341709</v>
      </c>
      <c r="K861" s="24" t="n">
        <f aca="false">A861*가정!$B$8*가정!$B$7</f>
        <v>4285</v>
      </c>
      <c r="L861" s="11" t="n">
        <f aca="false">C861+F861</f>
        <v>100</v>
      </c>
    </row>
    <row r="862" customFormat="false" ht="15" hidden="false" customHeight="false" outlineLevel="0" collapsed="false">
      <c r="A862" s="11" t="n">
        <v>858</v>
      </c>
      <c r="B862" s="11" t="n">
        <f aca="false">MATCH(A862,월별!$C$6:$C$41,1)</f>
        <v>29</v>
      </c>
      <c r="C862" s="11" t="n">
        <f aca="false">L861</f>
        <v>100</v>
      </c>
      <c r="D862" s="24" t="n">
        <f aca="false">C862*가정!$B$8</f>
        <v>500</v>
      </c>
      <c r="E862" s="24" t="n">
        <f aca="false">H861+D861</f>
        <v>287053.668341709</v>
      </c>
      <c r="F862" s="11" t="n">
        <f aca="false">IF(가정!$B$11=1,MAX(0,MIN(가정!$B$16-C862,INT(E862/가정!$B$17))),0)</f>
        <v>0</v>
      </c>
      <c r="G862" s="24" t="n">
        <f aca="false">F862*가정!$B$17</f>
        <v>0</v>
      </c>
      <c r="H862" s="24" t="n">
        <f aca="false">E862-G862</f>
        <v>287053.668341709</v>
      </c>
      <c r="I862" s="24" t="n">
        <f aca="false">I861+D862</f>
        <v>314020</v>
      </c>
      <c r="J862" s="16" t="n">
        <f aca="false">(H862+D862)*가정!$B$10</f>
        <v>287553.668341709</v>
      </c>
      <c r="K862" s="24" t="n">
        <f aca="false">A862*가정!$B$8*가정!$B$7</f>
        <v>4290</v>
      </c>
      <c r="L862" s="11" t="n">
        <f aca="false">C862+F862</f>
        <v>100</v>
      </c>
    </row>
    <row r="863" customFormat="false" ht="15" hidden="false" customHeight="false" outlineLevel="0" collapsed="false">
      <c r="A863" s="11" t="n">
        <v>859</v>
      </c>
      <c r="B863" s="11" t="n">
        <f aca="false">MATCH(A863,월별!$C$6:$C$41,1)</f>
        <v>29</v>
      </c>
      <c r="C863" s="11" t="n">
        <f aca="false">L862</f>
        <v>100</v>
      </c>
      <c r="D863" s="24" t="n">
        <f aca="false">C863*가정!$B$8</f>
        <v>500</v>
      </c>
      <c r="E863" s="24" t="n">
        <f aca="false">H862+D862</f>
        <v>287553.668341709</v>
      </c>
      <c r="F863" s="11" t="n">
        <f aca="false">IF(가정!$B$11=1,MAX(0,MIN(가정!$B$16-C863,INT(E863/가정!$B$17))),0)</f>
        <v>0</v>
      </c>
      <c r="G863" s="24" t="n">
        <f aca="false">F863*가정!$B$17</f>
        <v>0</v>
      </c>
      <c r="H863" s="24" t="n">
        <f aca="false">E863-G863</f>
        <v>287553.668341709</v>
      </c>
      <c r="I863" s="24" t="n">
        <f aca="false">I862+D863</f>
        <v>314520</v>
      </c>
      <c r="J863" s="16" t="n">
        <f aca="false">(H863+D863)*가정!$B$10</f>
        <v>288053.668341709</v>
      </c>
      <c r="K863" s="24" t="n">
        <f aca="false">A863*가정!$B$8*가정!$B$7</f>
        <v>4295</v>
      </c>
      <c r="L863" s="11" t="n">
        <f aca="false">C863+F863</f>
        <v>100</v>
      </c>
    </row>
    <row r="864" customFormat="false" ht="15" hidden="false" customHeight="false" outlineLevel="0" collapsed="false">
      <c r="A864" s="11" t="n">
        <v>860</v>
      </c>
      <c r="B864" s="11" t="n">
        <f aca="false">MATCH(A864,월별!$C$6:$C$41,1)</f>
        <v>29</v>
      </c>
      <c r="C864" s="11" t="n">
        <f aca="false">L863</f>
        <v>100</v>
      </c>
      <c r="D864" s="24" t="n">
        <f aca="false">C864*가정!$B$8</f>
        <v>500</v>
      </c>
      <c r="E864" s="24" t="n">
        <f aca="false">H863+D863</f>
        <v>288053.668341709</v>
      </c>
      <c r="F864" s="11" t="n">
        <f aca="false">IF(가정!$B$11=1,MAX(0,MIN(가정!$B$16-C864,INT(E864/가정!$B$17))),0)</f>
        <v>0</v>
      </c>
      <c r="G864" s="24" t="n">
        <f aca="false">F864*가정!$B$17</f>
        <v>0</v>
      </c>
      <c r="H864" s="24" t="n">
        <f aca="false">E864-G864</f>
        <v>288053.668341709</v>
      </c>
      <c r="I864" s="24" t="n">
        <f aca="false">I863+D864</f>
        <v>315020</v>
      </c>
      <c r="J864" s="16" t="n">
        <f aca="false">(H864+D864)*가정!$B$10</f>
        <v>288553.668341709</v>
      </c>
      <c r="K864" s="24" t="n">
        <f aca="false">A864*가정!$B$8*가정!$B$7</f>
        <v>4300</v>
      </c>
      <c r="L864" s="11" t="n">
        <f aca="false">C864+F864</f>
        <v>100</v>
      </c>
    </row>
    <row r="865" customFormat="false" ht="15" hidden="false" customHeight="false" outlineLevel="0" collapsed="false">
      <c r="A865" s="11" t="n">
        <v>861</v>
      </c>
      <c r="B865" s="11" t="n">
        <f aca="false">MATCH(A865,월별!$C$6:$C$41,1)</f>
        <v>29</v>
      </c>
      <c r="C865" s="11" t="n">
        <f aca="false">L864</f>
        <v>100</v>
      </c>
      <c r="D865" s="24" t="n">
        <f aca="false">C865*가정!$B$8</f>
        <v>500</v>
      </c>
      <c r="E865" s="24" t="n">
        <f aca="false">H864+D864</f>
        <v>288553.668341709</v>
      </c>
      <c r="F865" s="11" t="n">
        <f aca="false">IF(가정!$B$11=1,MAX(0,MIN(가정!$B$16-C865,INT(E865/가정!$B$17))),0)</f>
        <v>0</v>
      </c>
      <c r="G865" s="24" t="n">
        <f aca="false">F865*가정!$B$17</f>
        <v>0</v>
      </c>
      <c r="H865" s="24" t="n">
        <f aca="false">E865-G865</f>
        <v>288553.668341709</v>
      </c>
      <c r="I865" s="24" t="n">
        <f aca="false">I864+D865</f>
        <v>315520</v>
      </c>
      <c r="J865" s="16" t="n">
        <f aca="false">(H865+D865)*가정!$B$10</f>
        <v>289053.668341709</v>
      </c>
      <c r="K865" s="24" t="n">
        <f aca="false">A865*가정!$B$8*가정!$B$7</f>
        <v>4305</v>
      </c>
      <c r="L865" s="11" t="n">
        <f aca="false">C865+F865</f>
        <v>100</v>
      </c>
    </row>
    <row r="866" customFormat="false" ht="15" hidden="false" customHeight="false" outlineLevel="0" collapsed="false">
      <c r="A866" s="11" t="n">
        <v>862</v>
      </c>
      <c r="B866" s="11" t="n">
        <f aca="false">MATCH(A866,월별!$C$6:$C$41,1)</f>
        <v>29</v>
      </c>
      <c r="C866" s="11" t="n">
        <f aca="false">L865</f>
        <v>100</v>
      </c>
      <c r="D866" s="24" t="n">
        <f aca="false">C866*가정!$B$8</f>
        <v>500</v>
      </c>
      <c r="E866" s="24" t="n">
        <f aca="false">H865+D865</f>
        <v>289053.668341709</v>
      </c>
      <c r="F866" s="11" t="n">
        <f aca="false">IF(가정!$B$11=1,MAX(0,MIN(가정!$B$16-C866,INT(E866/가정!$B$17))),0)</f>
        <v>0</v>
      </c>
      <c r="G866" s="24" t="n">
        <f aca="false">F866*가정!$B$17</f>
        <v>0</v>
      </c>
      <c r="H866" s="24" t="n">
        <f aca="false">E866-G866</f>
        <v>289053.668341709</v>
      </c>
      <c r="I866" s="24" t="n">
        <f aca="false">I865+D866</f>
        <v>316020</v>
      </c>
      <c r="J866" s="16" t="n">
        <f aca="false">(H866+D866)*가정!$B$10</f>
        <v>289553.668341709</v>
      </c>
      <c r="K866" s="24" t="n">
        <f aca="false">A866*가정!$B$8*가정!$B$7</f>
        <v>4310</v>
      </c>
      <c r="L866" s="11" t="n">
        <f aca="false">C866+F866</f>
        <v>100</v>
      </c>
    </row>
    <row r="867" customFormat="false" ht="15" hidden="false" customHeight="false" outlineLevel="0" collapsed="false">
      <c r="A867" s="11" t="n">
        <v>863</v>
      </c>
      <c r="B867" s="11" t="n">
        <f aca="false">MATCH(A867,월별!$C$6:$C$41,1)</f>
        <v>29</v>
      </c>
      <c r="C867" s="11" t="n">
        <f aca="false">L866</f>
        <v>100</v>
      </c>
      <c r="D867" s="24" t="n">
        <f aca="false">C867*가정!$B$8</f>
        <v>500</v>
      </c>
      <c r="E867" s="24" t="n">
        <f aca="false">H866+D866</f>
        <v>289553.668341709</v>
      </c>
      <c r="F867" s="11" t="n">
        <f aca="false">IF(가정!$B$11=1,MAX(0,MIN(가정!$B$16-C867,INT(E867/가정!$B$17))),0)</f>
        <v>0</v>
      </c>
      <c r="G867" s="24" t="n">
        <f aca="false">F867*가정!$B$17</f>
        <v>0</v>
      </c>
      <c r="H867" s="24" t="n">
        <f aca="false">E867-G867</f>
        <v>289553.668341709</v>
      </c>
      <c r="I867" s="24" t="n">
        <f aca="false">I866+D867</f>
        <v>316520</v>
      </c>
      <c r="J867" s="16" t="n">
        <f aca="false">(H867+D867)*가정!$B$10</f>
        <v>290053.668341709</v>
      </c>
      <c r="K867" s="24" t="n">
        <f aca="false">A867*가정!$B$8*가정!$B$7</f>
        <v>4315</v>
      </c>
      <c r="L867" s="11" t="n">
        <f aca="false">C867+F867</f>
        <v>100</v>
      </c>
    </row>
    <row r="868" customFormat="false" ht="15" hidden="false" customHeight="false" outlineLevel="0" collapsed="false">
      <c r="A868" s="11" t="n">
        <v>864</v>
      </c>
      <c r="B868" s="11" t="n">
        <f aca="false">MATCH(A868,월별!$C$6:$C$41,1)</f>
        <v>29</v>
      </c>
      <c r="C868" s="11" t="n">
        <f aca="false">L867</f>
        <v>100</v>
      </c>
      <c r="D868" s="24" t="n">
        <f aca="false">C868*가정!$B$8</f>
        <v>500</v>
      </c>
      <c r="E868" s="24" t="n">
        <f aca="false">H867+D867</f>
        <v>290053.668341709</v>
      </c>
      <c r="F868" s="11" t="n">
        <f aca="false">IF(가정!$B$11=1,MAX(0,MIN(가정!$B$16-C868,INT(E868/가정!$B$17))),0)</f>
        <v>0</v>
      </c>
      <c r="G868" s="24" t="n">
        <f aca="false">F868*가정!$B$17</f>
        <v>0</v>
      </c>
      <c r="H868" s="24" t="n">
        <f aca="false">E868-G868</f>
        <v>290053.668341709</v>
      </c>
      <c r="I868" s="24" t="n">
        <f aca="false">I867+D868</f>
        <v>317020</v>
      </c>
      <c r="J868" s="16" t="n">
        <f aca="false">(H868+D868)*가정!$B$10</f>
        <v>290553.668341709</v>
      </c>
      <c r="K868" s="24" t="n">
        <f aca="false">A868*가정!$B$8*가정!$B$7</f>
        <v>4320</v>
      </c>
      <c r="L868" s="11" t="n">
        <f aca="false">C868+F868</f>
        <v>100</v>
      </c>
    </row>
    <row r="869" customFormat="false" ht="15" hidden="false" customHeight="false" outlineLevel="0" collapsed="false">
      <c r="A869" s="11" t="n">
        <v>865</v>
      </c>
      <c r="B869" s="11" t="n">
        <f aca="false">MATCH(A869,월별!$C$6:$C$41,1)</f>
        <v>29</v>
      </c>
      <c r="C869" s="11" t="n">
        <f aca="false">L868</f>
        <v>100</v>
      </c>
      <c r="D869" s="24" t="n">
        <f aca="false">C869*가정!$B$8</f>
        <v>500</v>
      </c>
      <c r="E869" s="24" t="n">
        <f aca="false">H868+D868</f>
        <v>290553.668341709</v>
      </c>
      <c r="F869" s="11" t="n">
        <f aca="false">IF(가정!$B$11=1,MAX(0,MIN(가정!$B$16-C869,INT(E869/가정!$B$17))),0)</f>
        <v>0</v>
      </c>
      <c r="G869" s="24" t="n">
        <f aca="false">F869*가정!$B$17</f>
        <v>0</v>
      </c>
      <c r="H869" s="24" t="n">
        <f aca="false">E869-G869</f>
        <v>290553.668341709</v>
      </c>
      <c r="I869" s="24" t="n">
        <f aca="false">I868+D869</f>
        <v>317520</v>
      </c>
      <c r="J869" s="16" t="n">
        <f aca="false">(H869+D869)*가정!$B$10</f>
        <v>291053.668341709</v>
      </c>
      <c r="K869" s="24" t="n">
        <f aca="false">A869*가정!$B$8*가정!$B$7</f>
        <v>4325</v>
      </c>
      <c r="L869" s="11" t="n">
        <f aca="false">C869+F869</f>
        <v>100</v>
      </c>
    </row>
    <row r="870" customFormat="false" ht="15" hidden="false" customHeight="false" outlineLevel="0" collapsed="false">
      <c r="A870" s="11" t="n">
        <v>866</v>
      </c>
      <c r="B870" s="11" t="n">
        <f aca="false">MATCH(A870,월별!$C$6:$C$41,1)</f>
        <v>29</v>
      </c>
      <c r="C870" s="11" t="n">
        <f aca="false">L869</f>
        <v>100</v>
      </c>
      <c r="D870" s="24" t="n">
        <f aca="false">C870*가정!$B$8</f>
        <v>500</v>
      </c>
      <c r="E870" s="24" t="n">
        <f aca="false">H869+D869</f>
        <v>291053.668341709</v>
      </c>
      <c r="F870" s="11" t="n">
        <f aca="false">IF(가정!$B$11=1,MAX(0,MIN(가정!$B$16-C870,INT(E870/가정!$B$17))),0)</f>
        <v>0</v>
      </c>
      <c r="G870" s="24" t="n">
        <f aca="false">F870*가정!$B$17</f>
        <v>0</v>
      </c>
      <c r="H870" s="24" t="n">
        <f aca="false">E870-G870</f>
        <v>291053.668341709</v>
      </c>
      <c r="I870" s="24" t="n">
        <f aca="false">I869+D870</f>
        <v>318020</v>
      </c>
      <c r="J870" s="16" t="n">
        <f aca="false">(H870+D870)*가정!$B$10</f>
        <v>291553.668341709</v>
      </c>
      <c r="K870" s="24" t="n">
        <f aca="false">A870*가정!$B$8*가정!$B$7</f>
        <v>4330</v>
      </c>
      <c r="L870" s="11" t="n">
        <f aca="false">C870+F870</f>
        <v>100</v>
      </c>
    </row>
    <row r="871" customFormat="false" ht="15" hidden="false" customHeight="false" outlineLevel="0" collapsed="false">
      <c r="A871" s="11" t="n">
        <v>867</v>
      </c>
      <c r="B871" s="11" t="n">
        <f aca="false">MATCH(A871,월별!$C$6:$C$41,1)</f>
        <v>29</v>
      </c>
      <c r="C871" s="11" t="n">
        <f aca="false">L870</f>
        <v>100</v>
      </c>
      <c r="D871" s="24" t="n">
        <f aca="false">C871*가정!$B$8</f>
        <v>500</v>
      </c>
      <c r="E871" s="24" t="n">
        <f aca="false">H870+D870</f>
        <v>291553.668341709</v>
      </c>
      <c r="F871" s="11" t="n">
        <f aca="false">IF(가정!$B$11=1,MAX(0,MIN(가정!$B$16-C871,INT(E871/가정!$B$17))),0)</f>
        <v>0</v>
      </c>
      <c r="G871" s="24" t="n">
        <f aca="false">F871*가정!$B$17</f>
        <v>0</v>
      </c>
      <c r="H871" s="24" t="n">
        <f aca="false">E871-G871</f>
        <v>291553.668341709</v>
      </c>
      <c r="I871" s="24" t="n">
        <f aca="false">I870+D871</f>
        <v>318520</v>
      </c>
      <c r="J871" s="16" t="n">
        <f aca="false">(H871+D871)*가정!$B$10</f>
        <v>292053.668341709</v>
      </c>
      <c r="K871" s="24" t="n">
        <f aca="false">A871*가정!$B$8*가정!$B$7</f>
        <v>4335</v>
      </c>
      <c r="L871" s="11" t="n">
        <f aca="false">C871+F871</f>
        <v>100</v>
      </c>
    </row>
    <row r="872" customFormat="false" ht="15" hidden="false" customHeight="false" outlineLevel="0" collapsed="false">
      <c r="A872" s="11" t="n">
        <v>868</v>
      </c>
      <c r="B872" s="11" t="n">
        <f aca="false">MATCH(A872,월별!$C$6:$C$41,1)</f>
        <v>29</v>
      </c>
      <c r="C872" s="11" t="n">
        <f aca="false">L871</f>
        <v>100</v>
      </c>
      <c r="D872" s="24" t="n">
        <f aca="false">C872*가정!$B$8</f>
        <v>500</v>
      </c>
      <c r="E872" s="24" t="n">
        <f aca="false">H871+D871</f>
        <v>292053.668341709</v>
      </c>
      <c r="F872" s="11" t="n">
        <f aca="false">IF(가정!$B$11=1,MAX(0,MIN(가정!$B$16-C872,INT(E872/가정!$B$17))),0)</f>
        <v>0</v>
      </c>
      <c r="G872" s="24" t="n">
        <f aca="false">F872*가정!$B$17</f>
        <v>0</v>
      </c>
      <c r="H872" s="24" t="n">
        <f aca="false">E872-G872</f>
        <v>292053.668341709</v>
      </c>
      <c r="I872" s="24" t="n">
        <f aca="false">I871+D872</f>
        <v>319020</v>
      </c>
      <c r="J872" s="16" t="n">
        <f aca="false">(H872+D872)*가정!$B$10</f>
        <v>292553.668341709</v>
      </c>
      <c r="K872" s="24" t="n">
        <f aca="false">A872*가정!$B$8*가정!$B$7</f>
        <v>4340</v>
      </c>
      <c r="L872" s="11" t="n">
        <f aca="false">C872+F872</f>
        <v>100</v>
      </c>
    </row>
    <row r="873" customFormat="false" ht="15" hidden="false" customHeight="false" outlineLevel="0" collapsed="false">
      <c r="A873" s="11" t="n">
        <v>869</v>
      </c>
      <c r="B873" s="11" t="n">
        <f aca="false">MATCH(A873,월별!$C$6:$C$41,1)</f>
        <v>29</v>
      </c>
      <c r="C873" s="11" t="n">
        <f aca="false">L872</f>
        <v>100</v>
      </c>
      <c r="D873" s="24" t="n">
        <f aca="false">C873*가정!$B$8</f>
        <v>500</v>
      </c>
      <c r="E873" s="24" t="n">
        <f aca="false">H872+D872</f>
        <v>292553.668341709</v>
      </c>
      <c r="F873" s="11" t="n">
        <f aca="false">IF(가정!$B$11=1,MAX(0,MIN(가정!$B$16-C873,INT(E873/가정!$B$17))),0)</f>
        <v>0</v>
      </c>
      <c r="G873" s="24" t="n">
        <f aca="false">F873*가정!$B$17</f>
        <v>0</v>
      </c>
      <c r="H873" s="24" t="n">
        <f aca="false">E873-G873</f>
        <v>292553.668341709</v>
      </c>
      <c r="I873" s="24" t="n">
        <f aca="false">I872+D873</f>
        <v>319520</v>
      </c>
      <c r="J873" s="16" t="n">
        <f aca="false">(H873+D873)*가정!$B$10</f>
        <v>293053.668341709</v>
      </c>
      <c r="K873" s="24" t="n">
        <f aca="false">A873*가정!$B$8*가정!$B$7</f>
        <v>4345</v>
      </c>
      <c r="L873" s="11" t="n">
        <f aca="false">C873+F873</f>
        <v>100</v>
      </c>
    </row>
    <row r="874" customFormat="false" ht="15" hidden="false" customHeight="false" outlineLevel="0" collapsed="false">
      <c r="A874" s="11" t="n">
        <v>870</v>
      </c>
      <c r="B874" s="11" t="n">
        <f aca="false">MATCH(A874,월별!$C$6:$C$41,1)</f>
        <v>29</v>
      </c>
      <c r="C874" s="11" t="n">
        <f aca="false">L873</f>
        <v>100</v>
      </c>
      <c r="D874" s="24" t="n">
        <f aca="false">C874*가정!$B$8</f>
        <v>500</v>
      </c>
      <c r="E874" s="24" t="n">
        <f aca="false">H873+D873</f>
        <v>293053.668341709</v>
      </c>
      <c r="F874" s="11" t="n">
        <f aca="false">IF(가정!$B$11=1,MAX(0,MIN(가정!$B$16-C874,INT(E874/가정!$B$17))),0)</f>
        <v>0</v>
      </c>
      <c r="G874" s="24" t="n">
        <f aca="false">F874*가정!$B$17</f>
        <v>0</v>
      </c>
      <c r="H874" s="24" t="n">
        <f aca="false">E874-G874</f>
        <v>293053.668341709</v>
      </c>
      <c r="I874" s="24" t="n">
        <f aca="false">I873+D874</f>
        <v>320020</v>
      </c>
      <c r="J874" s="16" t="n">
        <f aca="false">(H874+D874)*가정!$B$10</f>
        <v>293553.668341709</v>
      </c>
      <c r="K874" s="24" t="n">
        <f aca="false">A874*가정!$B$8*가정!$B$7</f>
        <v>4350</v>
      </c>
      <c r="L874" s="11" t="n">
        <f aca="false">C874+F874</f>
        <v>100</v>
      </c>
    </row>
    <row r="875" customFormat="false" ht="15" hidden="false" customHeight="false" outlineLevel="0" collapsed="false">
      <c r="A875" s="11" t="n">
        <v>871</v>
      </c>
      <c r="B875" s="11" t="n">
        <f aca="false">MATCH(A875,월별!$C$6:$C$41,1)</f>
        <v>29</v>
      </c>
      <c r="C875" s="11" t="n">
        <f aca="false">L874</f>
        <v>100</v>
      </c>
      <c r="D875" s="24" t="n">
        <f aca="false">C875*가정!$B$8</f>
        <v>500</v>
      </c>
      <c r="E875" s="24" t="n">
        <f aca="false">H874+D874</f>
        <v>293553.668341709</v>
      </c>
      <c r="F875" s="11" t="n">
        <f aca="false">IF(가정!$B$11=1,MAX(0,MIN(가정!$B$16-C875,INT(E875/가정!$B$17))),0)</f>
        <v>0</v>
      </c>
      <c r="G875" s="24" t="n">
        <f aca="false">F875*가정!$B$17</f>
        <v>0</v>
      </c>
      <c r="H875" s="24" t="n">
        <f aca="false">E875-G875</f>
        <v>293553.668341709</v>
      </c>
      <c r="I875" s="24" t="n">
        <f aca="false">I874+D875</f>
        <v>320520</v>
      </c>
      <c r="J875" s="16" t="n">
        <f aca="false">(H875+D875)*가정!$B$10</f>
        <v>294053.668341709</v>
      </c>
      <c r="K875" s="24" t="n">
        <f aca="false">A875*가정!$B$8*가정!$B$7</f>
        <v>4355</v>
      </c>
      <c r="L875" s="11" t="n">
        <f aca="false">C875+F875</f>
        <v>100</v>
      </c>
    </row>
    <row r="876" customFormat="false" ht="15" hidden="false" customHeight="false" outlineLevel="0" collapsed="false">
      <c r="A876" s="11" t="n">
        <v>872</v>
      </c>
      <c r="B876" s="11" t="n">
        <f aca="false">MATCH(A876,월별!$C$6:$C$41,1)</f>
        <v>29</v>
      </c>
      <c r="C876" s="11" t="n">
        <f aca="false">L875</f>
        <v>100</v>
      </c>
      <c r="D876" s="24" t="n">
        <f aca="false">C876*가정!$B$8</f>
        <v>500</v>
      </c>
      <c r="E876" s="24" t="n">
        <f aca="false">H875+D875</f>
        <v>294053.668341709</v>
      </c>
      <c r="F876" s="11" t="n">
        <f aca="false">IF(가정!$B$11=1,MAX(0,MIN(가정!$B$16-C876,INT(E876/가정!$B$17))),0)</f>
        <v>0</v>
      </c>
      <c r="G876" s="24" t="n">
        <f aca="false">F876*가정!$B$17</f>
        <v>0</v>
      </c>
      <c r="H876" s="24" t="n">
        <f aca="false">E876-G876</f>
        <v>294053.668341709</v>
      </c>
      <c r="I876" s="24" t="n">
        <f aca="false">I875+D876</f>
        <v>321020</v>
      </c>
      <c r="J876" s="16" t="n">
        <f aca="false">(H876+D876)*가정!$B$10</f>
        <v>294553.668341709</v>
      </c>
      <c r="K876" s="24" t="n">
        <f aca="false">A876*가정!$B$8*가정!$B$7</f>
        <v>4360</v>
      </c>
      <c r="L876" s="11" t="n">
        <f aca="false">C876+F876</f>
        <v>100</v>
      </c>
    </row>
    <row r="877" customFormat="false" ht="15" hidden="false" customHeight="false" outlineLevel="0" collapsed="false">
      <c r="A877" s="11" t="n">
        <v>873</v>
      </c>
      <c r="B877" s="11" t="n">
        <f aca="false">MATCH(A877,월별!$C$6:$C$41,1)</f>
        <v>29</v>
      </c>
      <c r="C877" s="11" t="n">
        <f aca="false">L876</f>
        <v>100</v>
      </c>
      <c r="D877" s="24" t="n">
        <f aca="false">C877*가정!$B$8</f>
        <v>500</v>
      </c>
      <c r="E877" s="24" t="n">
        <f aca="false">H876+D876</f>
        <v>294553.668341709</v>
      </c>
      <c r="F877" s="11" t="n">
        <f aca="false">IF(가정!$B$11=1,MAX(0,MIN(가정!$B$16-C877,INT(E877/가정!$B$17))),0)</f>
        <v>0</v>
      </c>
      <c r="G877" s="24" t="n">
        <f aca="false">F877*가정!$B$17</f>
        <v>0</v>
      </c>
      <c r="H877" s="24" t="n">
        <f aca="false">E877-G877</f>
        <v>294553.668341709</v>
      </c>
      <c r="I877" s="24" t="n">
        <f aca="false">I876+D877</f>
        <v>321520</v>
      </c>
      <c r="J877" s="16" t="n">
        <f aca="false">(H877+D877)*가정!$B$10</f>
        <v>295053.668341709</v>
      </c>
      <c r="K877" s="24" t="n">
        <f aca="false">A877*가정!$B$8*가정!$B$7</f>
        <v>4365</v>
      </c>
      <c r="L877" s="11" t="n">
        <f aca="false">C877+F877</f>
        <v>100</v>
      </c>
    </row>
    <row r="878" customFormat="false" ht="15" hidden="false" customHeight="false" outlineLevel="0" collapsed="false">
      <c r="A878" s="11" t="n">
        <v>874</v>
      </c>
      <c r="B878" s="11" t="n">
        <f aca="false">MATCH(A878,월별!$C$6:$C$41,1)</f>
        <v>29</v>
      </c>
      <c r="C878" s="11" t="n">
        <f aca="false">L877</f>
        <v>100</v>
      </c>
      <c r="D878" s="24" t="n">
        <f aca="false">C878*가정!$B$8</f>
        <v>500</v>
      </c>
      <c r="E878" s="24" t="n">
        <f aca="false">H877+D877</f>
        <v>295053.668341709</v>
      </c>
      <c r="F878" s="11" t="n">
        <f aca="false">IF(가정!$B$11=1,MAX(0,MIN(가정!$B$16-C878,INT(E878/가정!$B$17))),0)</f>
        <v>0</v>
      </c>
      <c r="G878" s="24" t="n">
        <f aca="false">F878*가정!$B$17</f>
        <v>0</v>
      </c>
      <c r="H878" s="24" t="n">
        <f aca="false">E878-G878</f>
        <v>295053.668341709</v>
      </c>
      <c r="I878" s="24" t="n">
        <f aca="false">I877+D878</f>
        <v>322020</v>
      </c>
      <c r="J878" s="16" t="n">
        <f aca="false">(H878+D878)*가정!$B$10</f>
        <v>295553.668341709</v>
      </c>
      <c r="K878" s="24" t="n">
        <f aca="false">A878*가정!$B$8*가정!$B$7</f>
        <v>4370</v>
      </c>
      <c r="L878" s="11" t="n">
        <f aca="false">C878+F878</f>
        <v>100</v>
      </c>
    </row>
    <row r="879" customFormat="false" ht="15" hidden="false" customHeight="false" outlineLevel="0" collapsed="false">
      <c r="A879" s="11" t="n">
        <v>875</v>
      </c>
      <c r="B879" s="11" t="n">
        <f aca="false">MATCH(A879,월별!$C$6:$C$41,1)</f>
        <v>29</v>
      </c>
      <c r="C879" s="11" t="n">
        <f aca="false">L878</f>
        <v>100</v>
      </c>
      <c r="D879" s="24" t="n">
        <f aca="false">C879*가정!$B$8</f>
        <v>500</v>
      </c>
      <c r="E879" s="24" t="n">
        <f aca="false">H878+D878</f>
        <v>295553.668341709</v>
      </c>
      <c r="F879" s="11" t="n">
        <f aca="false">IF(가정!$B$11=1,MAX(0,MIN(가정!$B$16-C879,INT(E879/가정!$B$17))),0)</f>
        <v>0</v>
      </c>
      <c r="G879" s="24" t="n">
        <f aca="false">F879*가정!$B$17</f>
        <v>0</v>
      </c>
      <c r="H879" s="24" t="n">
        <f aca="false">E879-G879</f>
        <v>295553.668341709</v>
      </c>
      <c r="I879" s="24" t="n">
        <f aca="false">I878+D879</f>
        <v>322520</v>
      </c>
      <c r="J879" s="16" t="n">
        <f aca="false">(H879+D879)*가정!$B$10</f>
        <v>296053.668341709</v>
      </c>
      <c r="K879" s="24" t="n">
        <f aca="false">A879*가정!$B$8*가정!$B$7</f>
        <v>4375</v>
      </c>
      <c r="L879" s="11" t="n">
        <f aca="false">C879+F879</f>
        <v>100</v>
      </c>
    </row>
    <row r="880" customFormat="false" ht="15" hidden="false" customHeight="false" outlineLevel="0" collapsed="false">
      <c r="A880" s="11" t="n">
        <v>876</v>
      </c>
      <c r="B880" s="11" t="n">
        <f aca="false">MATCH(A880,월별!$C$6:$C$41,1)</f>
        <v>29</v>
      </c>
      <c r="C880" s="11" t="n">
        <f aca="false">L879</f>
        <v>100</v>
      </c>
      <c r="D880" s="24" t="n">
        <f aca="false">C880*가정!$B$8</f>
        <v>500</v>
      </c>
      <c r="E880" s="24" t="n">
        <f aca="false">H879+D879</f>
        <v>296053.668341709</v>
      </c>
      <c r="F880" s="11" t="n">
        <f aca="false">IF(가정!$B$11=1,MAX(0,MIN(가정!$B$16-C880,INT(E880/가정!$B$17))),0)</f>
        <v>0</v>
      </c>
      <c r="G880" s="24" t="n">
        <f aca="false">F880*가정!$B$17</f>
        <v>0</v>
      </c>
      <c r="H880" s="24" t="n">
        <f aca="false">E880-G880</f>
        <v>296053.668341709</v>
      </c>
      <c r="I880" s="24" t="n">
        <f aca="false">I879+D880</f>
        <v>323020</v>
      </c>
      <c r="J880" s="16" t="n">
        <f aca="false">(H880+D880)*가정!$B$10</f>
        <v>296553.668341709</v>
      </c>
      <c r="K880" s="24" t="n">
        <f aca="false">A880*가정!$B$8*가정!$B$7</f>
        <v>4380</v>
      </c>
      <c r="L880" s="11" t="n">
        <f aca="false">C880+F880</f>
        <v>100</v>
      </c>
    </row>
    <row r="881" customFormat="false" ht="15" hidden="false" customHeight="false" outlineLevel="0" collapsed="false">
      <c r="A881" s="11" t="n">
        <v>877</v>
      </c>
      <c r="B881" s="11" t="n">
        <f aca="false">MATCH(A881,월별!$C$6:$C$41,1)</f>
        <v>29</v>
      </c>
      <c r="C881" s="11" t="n">
        <f aca="false">L880</f>
        <v>100</v>
      </c>
      <c r="D881" s="24" t="n">
        <f aca="false">C881*가정!$B$8</f>
        <v>500</v>
      </c>
      <c r="E881" s="24" t="n">
        <f aca="false">H880+D880</f>
        <v>296553.668341709</v>
      </c>
      <c r="F881" s="11" t="n">
        <f aca="false">IF(가정!$B$11=1,MAX(0,MIN(가정!$B$16-C881,INT(E881/가정!$B$17))),0)</f>
        <v>0</v>
      </c>
      <c r="G881" s="24" t="n">
        <f aca="false">F881*가정!$B$17</f>
        <v>0</v>
      </c>
      <c r="H881" s="24" t="n">
        <f aca="false">E881-G881</f>
        <v>296553.668341709</v>
      </c>
      <c r="I881" s="24" t="n">
        <f aca="false">I880+D881</f>
        <v>323520</v>
      </c>
      <c r="J881" s="16" t="n">
        <f aca="false">(H881+D881)*가정!$B$10</f>
        <v>297053.668341709</v>
      </c>
      <c r="K881" s="24" t="n">
        <f aca="false">A881*가정!$B$8*가정!$B$7</f>
        <v>4385</v>
      </c>
      <c r="L881" s="11" t="n">
        <f aca="false">C881+F881</f>
        <v>100</v>
      </c>
    </row>
    <row r="882" customFormat="false" ht="15" hidden="false" customHeight="false" outlineLevel="0" collapsed="false">
      <c r="A882" s="11" t="n">
        <v>878</v>
      </c>
      <c r="B882" s="11" t="n">
        <f aca="false">MATCH(A882,월별!$C$6:$C$41,1)</f>
        <v>29</v>
      </c>
      <c r="C882" s="11" t="n">
        <f aca="false">L881</f>
        <v>100</v>
      </c>
      <c r="D882" s="24" t="n">
        <f aca="false">C882*가정!$B$8</f>
        <v>500</v>
      </c>
      <c r="E882" s="24" t="n">
        <f aca="false">H881+D881</f>
        <v>297053.668341709</v>
      </c>
      <c r="F882" s="11" t="n">
        <f aca="false">IF(가정!$B$11=1,MAX(0,MIN(가정!$B$16-C882,INT(E882/가정!$B$17))),0)</f>
        <v>0</v>
      </c>
      <c r="G882" s="24" t="n">
        <f aca="false">F882*가정!$B$17</f>
        <v>0</v>
      </c>
      <c r="H882" s="24" t="n">
        <f aca="false">E882-G882</f>
        <v>297053.668341709</v>
      </c>
      <c r="I882" s="24" t="n">
        <f aca="false">I881+D882</f>
        <v>324020</v>
      </c>
      <c r="J882" s="16" t="n">
        <f aca="false">(H882+D882)*가정!$B$10</f>
        <v>297553.668341709</v>
      </c>
      <c r="K882" s="24" t="n">
        <f aca="false">A882*가정!$B$8*가정!$B$7</f>
        <v>4390</v>
      </c>
      <c r="L882" s="11" t="n">
        <f aca="false">C882+F882</f>
        <v>100</v>
      </c>
    </row>
    <row r="883" customFormat="false" ht="15" hidden="false" customHeight="false" outlineLevel="0" collapsed="false">
      <c r="A883" s="11" t="n">
        <v>879</v>
      </c>
      <c r="B883" s="11" t="n">
        <f aca="false">MATCH(A883,월별!$C$6:$C$41,1)</f>
        <v>29</v>
      </c>
      <c r="C883" s="11" t="n">
        <f aca="false">L882</f>
        <v>100</v>
      </c>
      <c r="D883" s="24" t="n">
        <f aca="false">C883*가정!$B$8</f>
        <v>500</v>
      </c>
      <c r="E883" s="24" t="n">
        <f aca="false">H882+D882</f>
        <v>297553.668341709</v>
      </c>
      <c r="F883" s="11" t="n">
        <f aca="false">IF(가정!$B$11=1,MAX(0,MIN(가정!$B$16-C883,INT(E883/가정!$B$17))),0)</f>
        <v>0</v>
      </c>
      <c r="G883" s="24" t="n">
        <f aca="false">F883*가정!$B$17</f>
        <v>0</v>
      </c>
      <c r="H883" s="24" t="n">
        <f aca="false">E883-G883</f>
        <v>297553.668341709</v>
      </c>
      <c r="I883" s="24" t="n">
        <f aca="false">I882+D883</f>
        <v>324520</v>
      </c>
      <c r="J883" s="16" t="n">
        <f aca="false">(H883+D883)*가정!$B$10</f>
        <v>298053.668341709</v>
      </c>
      <c r="K883" s="24" t="n">
        <f aca="false">A883*가정!$B$8*가정!$B$7</f>
        <v>4395</v>
      </c>
      <c r="L883" s="11" t="n">
        <f aca="false">C883+F883</f>
        <v>100</v>
      </c>
    </row>
    <row r="884" customFormat="false" ht="15" hidden="false" customHeight="false" outlineLevel="0" collapsed="false">
      <c r="A884" s="11" t="n">
        <v>880</v>
      </c>
      <c r="B884" s="11" t="n">
        <f aca="false">MATCH(A884,월별!$C$6:$C$41,1)</f>
        <v>29</v>
      </c>
      <c r="C884" s="11" t="n">
        <f aca="false">L883</f>
        <v>100</v>
      </c>
      <c r="D884" s="24" t="n">
        <f aca="false">C884*가정!$B$8</f>
        <v>500</v>
      </c>
      <c r="E884" s="24" t="n">
        <f aca="false">H883+D883</f>
        <v>298053.668341709</v>
      </c>
      <c r="F884" s="11" t="n">
        <f aca="false">IF(가정!$B$11=1,MAX(0,MIN(가정!$B$16-C884,INT(E884/가정!$B$17))),0)</f>
        <v>0</v>
      </c>
      <c r="G884" s="24" t="n">
        <f aca="false">F884*가정!$B$17</f>
        <v>0</v>
      </c>
      <c r="H884" s="24" t="n">
        <f aca="false">E884-G884</f>
        <v>298053.668341709</v>
      </c>
      <c r="I884" s="24" t="n">
        <f aca="false">I883+D884</f>
        <v>325020</v>
      </c>
      <c r="J884" s="16" t="n">
        <f aca="false">(H884+D884)*가정!$B$10</f>
        <v>298553.668341709</v>
      </c>
      <c r="K884" s="24" t="n">
        <f aca="false">A884*가정!$B$8*가정!$B$7</f>
        <v>4400</v>
      </c>
      <c r="L884" s="11" t="n">
        <f aca="false">C884+F884</f>
        <v>100</v>
      </c>
    </row>
    <row r="885" customFormat="false" ht="15" hidden="false" customHeight="false" outlineLevel="0" collapsed="false">
      <c r="A885" s="11" t="n">
        <v>881</v>
      </c>
      <c r="B885" s="11" t="n">
        <f aca="false">MATCH(A885,월별!$C$6:$C$41,1)</f>
        <v>29</v>
      </c>
      <c r="C885" s="11" t="n">
        <f aca="false">L884</f>
        <v>100</v>
      </c>
      <c r="D885" s="24" t="n">
        <f aca="false">C885*가정!$B$8</f>
        <v>500</v>
      </c>
      <c r="E885" s="24" t="n">
        <f aca="false">H884+D884</f>
        <v>298553.668341709</v>
      </c>
      <c r="F885" s="11" t="n">
        <f aca="false">IF(가정!$B$11=1,MAX(0,MIN(가정!$B$16-C885,INT(E885/가정!$B$17))),0)</f>
        <v>0</v>
      </c>
      <c r="G885" s="24" t="n">
        <f aca="false">F885*가정!$B$17</f>
        <v>0</v>
      </c>
      <c r="H885" s="24" t="n">
        <f aca="false">E885-G885</f>
        <v>298553.668341709</v>
      </c>
      <c r="I885" s="24" t="n">
        <f aca="false">I884+D885</f>
        <v>325520</v>
      </c>
      <c r="J885" s="16" t="n">
        <f aca="false">(H885+D885)*가정!$B$10</f>
        <v>299053.668341709</v>
      </c>
      <c r="K885" s="24" t="n">
        <f aca="false">A885*가정!$B$8*가정!$B$7</f>
        <v>4405</v>
      </c>
      <c r="L885" s="11" t="n">
        <f aca="false">C885+F885</f>
        <v>100</v>
      </c>
    </row>
    <row r="886" customFormat="false" ht="15" hidden="false" customHeight="false" outlineLevel="0" collapsed="false">
      <c r="A886" s="11" t="n">
        <v>882</v>
      </c>
      <c r="B886" s="11" t="n">
        <f aca="false">MATCH(A886,월별!$C$6:$C$41,1)</f>
        <v>29</v>
      </c>
      <c r="C886" s="11" t="n">
        <f aca="false">L885</f>
        <v>100</v>
      </c>
      <c r="D886" s="24" t="n">
        <f aca="false">C886*가정!$B$8</f>
        <v>500</v>
      </c>
      <c r="E886" s="24" t="n">
        <f aca="false">H885+D885</f>
        <v>299053.668341709</v>
      </c>
      <c r="F886" s="11" t="n">
        <f aca="false">IF(가정!$B$11=1,MAX(0,MIN(가정!$B$16-C886,INT(E886/가정!$B$17))),0)</f>
        <v>0</v>
      </c>
      <c r="G886" s="24" t="n">
        <f aca="false">F886*가정!$B$17</f>
        <v>0</v>
      </c>
      <c r="H886" s="24" t="n">
        <f aca="false">E886-G886</f>
        <v>299053.668341709</v>
      </c>
      <c r="I886" s="24" t="n">
        <f aca="false">I885+D886</f>
        <v>326020</v>
      </c>
      <c r="J886" s="16" t="n">
        <f aca="false">(H886+D886)*가정!$B$10</f>
        <v>299553.668341709</v>
      </c>
      <c r="K886" s="24" t="n">
        <f aca="false">A886*가정!$B$8*가정!$B$7</f>
        <v>4410</v>
      </c>
      <c r="L886" s="11" t="n">
        <f aca="false">C886+F886</f>
        <v>100</v>
      </c>
    </row>
    <row r="887" customFormat="false" ht="15" hidden="false" customHeight="false" outlineLevel="0" collapsed="false">
      <c r="A887" s="11" t="n">
        <v>883</v>
      </c>
      <c r="B887" s="11" t="n">
        <f aca="false">MATCH(A887,월별!$C$6:$C$41,1)</f>
        <v>30</v>
      </c>
      <c r="C887" s="11" t="n">
        <f aca="false">L886</f>
        <v>100</v>
      </c>
      <c r="D887" s="24" t="n">
        <f aca="false">C887*가정!$B$8</f>
        <v>500</v>
      </c>
      <c r="E887" s="24" t="n">
        <f aca="false">H886+D886</f>
        <v>299553.668341709</v>
      </c>
      <c r="F887" s="11" t="n">
        <f aca="false">IF(가정!$B$11=1,MAX(0,MIN(가정!$B$16-C887,INT(E887/가정!$B$17))),0)</f>
        <v>0</v>
      </c>
      <c r="G887" s="24" t="n">
        <f aca="false">F887*가정!$B$17</f>
        <v>0</v>
      </c>
      <c r="H887" s="24" t="n">
        <f aca="false">E887-G887</f>
        <v>299553.668341709</v>
      </c>
      <c r="I887" s="24" t="n">
        <f aca="false">I886+D887</f>
        <v>326520</v>
      </c>
      <c r="J887" s="16" t="n">
        <f aca="false">(H887+D887)*가정!$B$10</f>
        <v>300053.668341709</v>
      </c>
      <c r="K887" s="24" t="n">
        <f aca="false">A887*가정!$B$8*가정!$B$7</f>
        <v>4415</v>
      </c>
      <c r="L887" s="11" t="n">
        <f aca="false">C887+F887</f>
        <v>100</v>
      </c>
    </row>
    <row r="888" customFormat="false" ht="15" hidden="false" customHeight="false" outlineLevel="0" collapsed="false">
      <c r="A888" s="11" t="n">
        <v>884</v>
      </c>
      <c r="B888" s="11" t="n">
        <f aca="false">MATCH(A888,월별!$C$6:$C$41,1)</f>
        <v>30</v>
      </c>
      <c r="C888" s="11" t="n">
        <f aca="false">L887</f>
        <v>100</v>
      </c>
      <c r="D888" s="24" t="n">
        <f aca="false">C888*가정!$B$8</f>
        <v>500</v>
      </c>
      <c r="E888" s="24" t="n">
        <f aca="false">H887+D887</f>
        <v>300053.668341709</v>
      </c>
      <c r="F888" s="11" t="n">
        <f aca="false">IF(가정!$B$11=1,MAX(0,MIN(가정!$B$16-C888,INT(E888/가정!$B$17))),0)</f>
        <v>0</v>
      </c>
      <c r="G888" s="24" t="n">
        <f aca="false">F888*가정!$B$17</f>
        <v>0</v>
      </c>
      <c r="H888" s="24" t="n">
        <f aca="false">E888-G888</f>
        <v>300053.668341709</v>
      </c>
      <c r="I888" s="24" t="n">
        <f aca="false">I887+D888</f>
        <v>327020</v>
      </c>
      <c r="J888" s="16" t="n">
        <f aca="false">(H888+D888)*가정!$B$10</f>
        <v>300553.668341709</v>
      </c>
      <c r="K888" s="24" t="n">
        <f aca="false">A888*가정!$B$8*가정!$B$7</f>
        <v>4420</v>
      </c>
      <c r="L888" s="11" t="n">
        <f aca="false">C888+F888</f>
        <v>100</v>
      </c>
    </row>
    <row r="889" customFormat="false" ht="15" hidden="false" customHeight="false" outlineLevel="0" collapsed="false">
      <c r="A889" s="11" t="n">
        <v>885</v>
      </c>
      <c r="B889" s="11" t="n">
        <f aca="false">MATCH(A889,월별!$C$6:$C$41,1)</f>
        <v>30</v>
      </c>
      <c r="C889" s="11" t="n">
        <f aca="false">L888</f>
        <v>100</v>
      </c>
      <c r="D889" s="24" t="n">
        <f aca="false">C889*가정!$B$8</f>
        <v>500</v>
      </c>
      <c r="E889" s="24" t="n">
        <f aca="false">H888+D888</f>
        <v>300553.668341709</v>
      </c>
      <c r="F889" s="11" t="n">
        <f aca="false">IF(가정!$B$11=1,MAX(0,MIN(가정!$B$16-C889,INT(E889/가정!$B$17))),0)</f>
        <v>0</v>
      </c>
      <c r="G889" s="24" t="n">
        <f aca="false">F889*가정!$B$17</f>
        <v>0</v>
      </c>
      <c r="H889" s="24" t="n">
        <f aca="false">E889-G889</f>
        <v>300553.668341709</v>
      </c>
      <c r="I889" s="24" t="n">
        <f aca="false">I888+D889</f>
        <v>327520</v>
      </c>
      <c r="J889" s="16" t="n">
        <f aca="false">(H889+D889)*가정!$B$10</f>
        <v>301053.668341709</v>
      </c>
      <c r="K889" s="24" t="n">
        <f aca="false">A889*가정!$B$8*가정!$B$7</f>
        <v>4425</v>
      </c>
      <c r="L889" s="11" t="n">
        <f aca="false">C889+F889</f>
        <v>100</v>
      </c>
    </row>
    <row r="890" customFormat="false" ht="15" hidden="false" customHeight="false" outlineLevel="0" collapsed="false">
      <c r="A890" s="11" t="n">
        <v>886</v>
      </c>
      <c r="B890" s="11" t="n">
        <f aca="false">MATCH(A890,월별!$C$6:$C$41,1)</f>
        <v>30</v>
      </c>
      <c r="C890" s="11" t="n">
        <f aca="false">L889</f>
        <v>100</v>
      </c>
      <c r="D890" s="24" t="n">
        <f aca="false">C890*가정!$B$8</f>
        <v>500</v>
      </c>
      <c r="E890" s="24" t="n">
        <f aca="false">H889+D889</f>
        <v>301053.668341709</v>
      </c>
      <c r="F890" s="11" t="n">
        <f aca="false">IF(가정!$B$11=1,MAX(0,MIN(가정!$B$16-C890,INT(E890/가정!$B$17))),0)</f>
        <v>0</v>
      </c>
      <c r="G890" s="24" t="n">
        <f aca="false">F890*가정!$B$17</f>
        <v>0</v>
      </c>
      <c r="H890" s="24" t="n">
        <f aca="false">E890-G890</f>
        <v>301053.668341709</v>
      </c>
      <c r="I890" s="24" t="n">
        <f aca="false">I889+D890</f>
        <v>328020</v>
      </c>
      <c r="J890" s="16" t="n">
        <f aca="false">(H890+D890)*가정!$B$10</f>
        <v>301553.668341709</v>
      </c>
      <c r="K890" s="24" t="n">
        <f aca="false">A890*가정!$B$8*가정!$B$7</f>
        <v>4430</v>
      </c>
      <c r="L890" s="11" t="n">
        <f aca="false">C890+F890</f>
        <v>100</v>
      </c>
    </row>
    <row r="891" customFormat="false" ht="15" hidden="false" customHeight="false" outlineLevel="0" collapsed="false">
      <c r="A891" s="11" t="n">
        <v>887</v>
      </c>
      <c r="B891" s="11" t="n">
        <f aca="false">MATCH(A891,월별!$C$6:$C$41,1)</f>
        <v>30</v>
      </c>
      <c r="C891" s="11" t="n">
        <f aca="false">L890</f>
        <v>100</v>
      </c>
      <c r="D891" s="24" t="n">
        <f aca="false">C891*가정!$B$8</f>
        <v>500</v>
      </c>
      <c r="E891" s="24" t="n">
        <f aca="false">H890+D890</f>
        <v>301553.668341709</v>
      </c>
      <c r="F891" s="11" t="n">
        <f aca="false">IF(가정!$B$11=1,MAX(0,MIN(가정!$B$16-C891,INT(E891/가정!$B$17))),0)</f>
        <v>0</v>
      </c>
      <c r="G891" s="24" t="n">
        <f aca="false">F891*가정!$B$17</f>
        <v>0</v>
      </c>
      <c r="H891" s="24" t="n">
        <f aca="false">E891-G891</f>
        <v>301553.668341709</v>
      </c>
      <c r="I891" s="24" t="n">
        <f aca="false">I890+D891</f>
        <v>328520</v>
      </c>
      <c r="J891" s="16" t="n">
        <f aca="false">(H891+D891)*가정!$B$10</f>
        <v>302053.668341709</v>
      </c>
      <c r="K891" s="24" t="n">
        <f aca="false">A891*가정!$B$8*가정!$B$7</f>
        <v>4435</v>
      </c>
      <c r="L891" s="11" t="n">
        <f aca="false">C891+F891</f>
        <v>100</v>
      </c>
    </row>
    <row r="892" customFormat="false" ht="15" hidden="false" customHeight="false" outlineLevel="0" collapsed="false">
      <c r="A892" s="11" t="n">
        <v>888</v>
      </c>
      <c r="B892" s="11" t="n">
        <f aca="false">MATCH(A892,월별!$C$6:$C$41,1)</f>
        <v>30</v>
      </c>
      <c r="C892" s="11" t="n">
        <f aca="false">L891</f>
        <v>100</v>
      </c>
      <c r="D892" s="24" t="n">
        <f aca="false">C892*가정!$B$8</f>
        <v>500</v>
      </c>
      <c r="E892" s="24" t="n">
        <f aca="false">H891+D891</f>
        <v>302053.668341709</v>
      </c>
      <c r="F892" s="11" t="n">
        <f aca="false">IF(가정!$B$11=1,MAX(0,MIN(가정!$B$16-C892,INT(E892/가정!$B$17))),0)</f>
        <v>0</v>
      </c>
      <c r="G892" s="24" t="n">
        <f aca="false">F892*가정!$B$17</f>
        <v>0</v>
      </c>
      <c r="H892" s="24" t="n">
        <f aca="false">E892-G892</f>
        <v>302053.668341709</v>
      </c>
      <c r="I892" s="24" t="n">
        <f aca="false">I891+D892</f>
        <v>329020</v>
      </c>
      <c r="J892" s="16" t="n">
        <f aca="false">(H892+D892)*가정!$B$10</f>
        <v>302553.668341709</v>
      </c>
      <c r="K892" s="24" t="n">
        <f aca="false">A892*가정!$B$8*가정!$B$7</f>
        <v>4440</v>
      </c>
      <c r="L892" s="11" t="n">
        <f aca="false">C892+F892</f>
        <v>100</v>
      </c>
    </row>
    <row r="893" customFormat="false" ht="15" hidden="false" customHeight="false" outlineLevel="0" collapsed="false">
      <c r="A893" s="11" t="n">
        <v>889</v>
      </c>
      <c r="B893" s="11" t="n">
        <f aca="false">MATCH(A893,월별!$C$6:$C$41,1)</f>
        <v>30</v>
      </c>
      <c r="C893" s="11" t="n">
        <f aca="false">L892</f>
        <v>100</v>
      </c>
      <c r="D893" s="24" t="n">
        <f aca="false">C893*가정!$B$8</f>
        <v>500</v>
      </c>
      <c r="E893" s="24" t="n">
        <f aca="false">H892+D892</f>
        <v>302553.668341709</v>
      </c>
      <c r="F893" s="11" t="n">
        <f aca="false">IF(가정!$B$11=1,MAX(0,MIN(가정!$B$16-C893,INT(E893/가정!$B$17))),0)</f>
        <v>0</v>
      </c>
      <c r="G893" s="24" t="n">
        <f aca="false">F893*가정!$B$17</f>
        <v>0</v>
      </c>
      <c r="H893" s="24" t="n">
        <f aca="false">E893-G893</f>
        <v>302553.668341709</v>
      </c>
      <c r="I893" s="24" t="n">
        <f aca="false">I892+D893</f>
        <v>329520</v>
      </c>
      <c r="J893" s="16" t="n">
        <f aca="false">(H893+D893)*가정!$B$10</f>
        <v>303053.668341709</v>
      </c>
      <c r="K893" s="24" t="n">
        <f aca="false">A893*가정!$B$8*가정!$B$7</f>
        <v>4445</v>
      </c>
      <c r="L893" s="11" t="n">
        <f aca="false">C893+F893</f>
        <v>100</v>
      </c>
    </row>
    <row r="894" customFormat="false" ht="15" hidden="false" customHeight="false" outlineLevel="0" collapsed="false">
      <c r="A894" s="11" t="n">
        <v>890</v>
      </c>
      <c r="B894" s="11" t="n">
        <f aca="false">MATCH(A894,월별!$C$6:$C$41,1)</f>
        <v>30</v>
      </c>
      <c r="C894" s="11" t="n">
        <f aca="false">L893</f>
        <v>100</v>
      </c>
      <c r="D894" s="24" t="n">
        <f aca="false">C894*가정!$B$8</f>
        <v>500</v>
      </c>
      <c r="E894" s="24" t="n">
        <f aca="false">H893+D893</f>
        <v>303053.668341709</v>
      </c>
      <c r="F894" s="11" t="n">
        <f aca="false">IF(가정!$B$11=1,MAX(0,MIN(가정!$B$16-C894,INT(E894/가정!$B$17))),0)</f>
        <v>0</v>
      </c>
      <c r="G894" s="24" t="n">
        <f aca="false">F894*가정!$B$17</f>
        <v>0</v>
      </c>
      <c r="H894" s="24" t="n">
        <f aca="false">E894-G894</f>
        <v>303053.668341709</v>
      </c>
      <c r="I894" s="24" t="n">
        <f aca="false">I893+D894</f>
        <v>330020</v>
      </c>
      <c r="J894" s="16" t="n">
        <f aca="false">(H894+D894)*가정!$B$10</f>
        <v>303553.668341709</v>
      </c>
      <c r="K894" s="24" t="n">
        <f aca="false">A894*가정!$B$8*가정!$B$7</f>
        <v>4450</v>
      </c>
      <c r="L894" s="11" t="n">
        <f aca="false">C894+F894</f>
        <v>100</v>
      </c>
    </row>
    <row r="895" customFormat="false" ht="15" hidden="false" customHeight="false" outlineLevel="0" collapsed="false">
      <c r="A895" s="11" t="n">
        <v>891</v>
      </c>
      <c r="B895" s="11" t="n">
        <f aca="false">MATCH(A895,월별!$C$6:$C$41,1)</f>
        <v>30</v>
      </c>
      <c r="C895" s="11" t="n">
        <f aca="false">L894</f>
        <v>100</v>
      </c>
      <c r="D895" s="24" t="n">
        <f aca="false">C895*가정!$B$8</f>
        <v>500</v>
      </c>
      <c r="E895" s="24" t="n">
        <f aca="false">H894+D894</f>
        <v>303553.668341709</v>
      </c>
      <c r="F895" s="11" t="n">
        <f aca="false">IF(가정!$B$11=1,MAX(0,MIN(가정!$B$16-C895,INT(E895/가정!$B$17))),0)</f>
        <v>0</v>
      </c>
      <c r="G895" s="24" t="n">
        <f aca="false">F895*가정!$B$17</f>
        <v>0</v>
      </c>
      <c r="H895" s="24" t="n">
        <f aca="false">E895-G895</f>
        <v>303553.668341709</v>
      </c>
      <c r="I895" s="24" t="n">
        <f aca="false">I894+D895</f>
        <v>330520</v>
      </c>
      <c r="J895" s="16" t="n">
        <f aca="false">(H895+D895)*가정!$B$10</f>
        <v>304053.668341709</v>
      </c>
      <c r="K895" s="24" t="n">
        <f aca="false">A895*가정!$B$8*가정!$B$7</f>
        <v>4455</v>
      </c>
      <c r="L895" s="11" t="n">
        <f aca="false">C895+F895</f>
        <v>100</v>
      </c>
    </row>
    <row r="896" customFormat="false" ht="15" hidden="false" customHeight="false" outlineLevel="0" collapsed="false">
      <c r="A896" s="11" t="n">
        <v>892</v>
      </c>
      <c r="B896" s="11" t="n">
        <f aca="false">MATCH(A896,월별!$C$6:$C$41,1)</f>
        <v>30</v>
      </c>
      <c r="C896" s="11" t="n">
        <f aca="false">L895</f>
        <v>100</v>
      </c>
      <c r="D896" s="24" t="n">
        <f aca="false">C896*가정!$B$8</f>
        <v>500</v>
      </c>
      <c r="E896" s="24" t="n">
        <f aca="false">H895+D895</f>
        <v>304053.668341709</v>
      </c>
      <c r="F896" s="11" t="n">
        <f aca="false">IF(가정!$B$11=1,MAX(0,MIN(가정!$B$16-C896,INT(E896/가정!$B$17))),0)</f>
        <v>0</v>
      </c>
      <c r="G896" s="24" t="n">
        <f aca="false">F896*가정!$B$17</f>
        <v>0</v>
      </c>
      <c r="H896" s="24" t="n">
        <f aca="false">E896-G896</f>
        <v>304053.668341709</v>
      </c>
      <c r="I896" s="24" t="n">
        <f aca="false">I895+D896</f>
        <v>331020</v>
      </c>
      <c r="J896" s="16" t="n">
        <f aca="false">(H896+D896)*가정!$B$10</f>
        <v>304553.668341709</v>
      </c>
      <c r="K896" s="24" t="n">
        <f aca="false">A896*가정!$B$8*가정!$B$7</f>
        <v>4460</v>
      </c>
      <c r="L896" s="11" t="n">
        <f aca="false">C896+F896</f>
        <v>100</v>
      </c>
    </row>
    <row r="897" customFormat="false" ht="15" hidden="false" customHeight="false" outlineLevel="0" collapsed="false">
      <c r="A897" s="11" t="n">
        <v>893</v>
      </c>
      <c r="B897" s="11" t="n">
        <f aca="false">MATCH(A897,월별!$C$6:$C$41,1)</f>
        <v>30</v>
      </c>
      <c r="C897" s="11" t="n">
        <f aca="false">L896</f>
        <v>100</v>
      </c>
      <c r="D897" s="24" t="n">
        <f aca="false">C897*가정!$B$8</f>
        <v>500</v>
      </c>
      <c r="E897" s="24" t="n">
        <f aca="false">H896+D896</f>
        <v>304553.668341709</v>
      </c>
      <c r="F897" s="11" t="n">
        <f aca="false">IF(가정!$B$11=1,MAX(0,MIN(가정!$B$16-C897,INT(E897/가정!$B$17))),0)</f>
        <v>0</v>
      </c>
      <c r="G897" s="24" t="n">
        <f aca="false">F897*가정!$B$17</f>
        <v>0</v>
      </c>
      <c r="H897" s="24" t="n">
        <f aca="false">E897-G897</f>
        <v>304553.668341709</v>
      </c>
      <c r="I897" s="24" t="n">
        <f aca="false">I896+D897</f>
        <v>331520</v>
      </c>
      <c r="J897" s="16" t="n">
        <f aca="false">(H897+D897)*가정!$B$10</f>
        <v>305053.668341709</v>
      </c>
      <c r="K897" s="24" t="n">
        <f aca="false">A897*가정!$B$8*가정!$B$7</f>
        <v>4465</v>
      </c>
      <c r="L897" s="11" t="n">
        <f aca="false">C897+F897</f>
        <v>100</v>
      </c>
    </row>
    <row r="898" customFormat="false" ht="15" hidden="false" customHeight="false" outlineLevel="0" collapsed="false">
      <c r="A898" s="11" t="n">
        <v>894</v>
      </c>
      <c r="B898" s="11" t="n">
        <f aca="false">MATCH(A898,월별!$C$6:$C$41,1)</f>
        <v>30</v>
      </c>
      <c r="C898" s="11" t="n">
        <f aca="false">L897</f>
        <v>100</v>
      </c>
      <c r="D898" s="24" t="n">
        <f aca="false">C898*가정!$B$8</f>
        <v>500</v>
      </c>
      <c r="E898" s="24" t="n">
        <f aca="false">H897+D897</f>
        <v>305053.668341709</v>
      </c>
      <c r="F898" s="11" t="n">
        <f aca="false">IF(가정!$B$11=1,MAX(0,MIN(가정!$B$16-C898,INT(E898/가정!$B$17))),0)</f>
        <v>0</v>
      </c>
      <c r="G898" s="24" t="n">
        <f aca="false">F898*가정!$B$17</f>
        <v>0</v>
      </c>
      <c r="H898" s="24" t="n">
        <f aca="false">E898-G898</f>
        <v>305053.668341709</v>
      </c>
      <c r="I898" s="24" t="n">
        <f aca="false">I897+D898</f>
        <v>332020</v>
      </c>
      <c r="J898" s="16" t="n">
        <f aca="false">(H898+D898)*가정!$B$10</f>
        <v>305553.668341709</v>
      </c>
      <c r="K898" s="24" t="n">
        <f aca="false">A898*가정!$B$8*가정!$B$7</f>
        <v>4470</v>
      </c>
      <c r="L898" s="11" t="n">
        <f aca="false">C898+F898</f>
        <v>100</v>
      </c>
    </row>
    <row r="899" customFormat="false" ht="15" hidden="false" customHeight="false" outlineLevel="0" collapsed="false">
      <c r="A899" s="11" t="n">
        <v>895</v>
      </c>
      <c r="B899" s="11" t="n">
        <f aca="false">MATCH(A899,월별!$C$6:$C$41,1)</f>
        <v>30</v>
      </c>
      <c r="C899" s="11" t="n">
        <f aca="false">L898</f>
        <v>100</v>
      </c>
      <c r="D899" s="24" t="n">
        <f aca="false">C899*가정!$B$8</f>
        <v>500</v>
      </c>
      <c r="E899" s="24" t="n">
        <f aca="false">H898+D898</f>
        <v>305553.668341709</v>
      </c>
      <c r="F899" s="11" t="n">
        <f aca="false">IF(가정!$B$11=1,MAX(0,MIN(가정!$B$16-C899,INT(E899/가정!$B$17))),0)</f>
        <v>0</v>
      </c>
      <c r="G899" s="24" t="n">
        <f aca="false">F899*가정!$B$17</f>
        <v>0</v>
      </c>
      <c r="H899" s="24" t="n">
        <f aca="false">E899-G899</f>
        <v>305553.668341709</v>
      </c>
      <c r="I899" s="24" t="n">
        <f aca="false">I898+D899</f>
        <v>332520</v>
      </c>
      <c r="J899" s="16" t="n">
        <f aca="false">(H899+D899)*가정!$B$10</f>
        <v>306053.668341709</v>
      </c>
      <c r="K899" s="24" t="n">
        <f aca="false">A899*가정!$B$8*가정!$B$7</f>
        <v>4475</v>
      </c>
      <c r="L899" s="11" t="n">
        <f aca="false">C899+F899</f>
        <v>100</v>
      </c>
    </row>
    <row r="900" customFormat="false" ht="15" hidden="false" customHeight="false" outlineLevel="0" collapsed="false">
      <c r="A900" s="11" t="n">
        <v>896</v>
      </c>
      <c r="B900" s="11" t="n">
        <f aca="false">MATCH(A900,월별!$C$6:$C$41,1)</f>
        <v>30</v>
      </c>
      <c r="C900" s="11" t="n">
        <f aca="false">L899</f>
        <v>100</v>
      </c>
      <c r="D900" s="24" t="n">
        <f aca="false">C900*가정!$B$8</f>
        <v>500</v>
      </c>
      <c r="E900" s="24" t="n">
        <f aca="false">H899+D899</f>
        <v>306053.668341709</v>
      </c>
      <c r="F900" s="11" t="n">
        <f aca="false">IF(가정!$B$11=1,MAX(0,MIN(가정!$B$16-C900,INT(E900/가정!$B$17))),0)</f>
        <v>0</v>
      </c>
      <c r="G900" s="24" t="n">
        <f aca="false">F900*가정!$B$17</f>
        <v>0</v>
      </c>
      <c r="H900" s="24" t="n">
        <f aca="false">E900-G900</f>
        <v>306053.668341709</v>
      </c>
      <c r="I900" s="24" t="n">
        <f aca="false">I899+D900</f>
        <v>333020</v>
      </c>
      <c r="J900" s="16" t="n">
        <f aca="false">(H900+D900)*가정!$B$10</f>
        <v>306553.668341709</v>
      </c>
      <c r="K900" s="24" t="n">
        <f aca="false">A900*가정!$B$8*가정!$B$7</f>
        <v>4480</v>
      </c>
      <c r="L900" s="11" t="n">
        <f aca="false">C900+F900</f>
        <v>100</v>
      </c>
    </row>
    <row r="901" customFormat="false" ht="15" hidden="false" customHeight="false" outlineLevel="0" collapsed="false">
      <c r="A901" s="11" t="n">
        <v>897</v>
      </c>
      <c r="B901" s="11" t="n">
        <f aca="false">MATCH(A901,월별!$C$6:$C$41,1)</f>
        <v>30</v>
      </c>
      <c r="C901" s="11" t="n">
        <f aca="false">L900</f>
        <v>100</v>
      </c>
      <c r="D901" s="24" t="n">
        <f aca="false">C901*가정!$B$8</f>
        <v>500</v>
      </c>
      <c r="E901" s="24" t="n">
        <f aca="false">H900+D900</f>
        <v>306553.668341709</v>
      </c>
      <c r="F901" s="11" t="n">
        <f aca="false">IF(가정!$B$11=1,MAX(0,MIN(가정!$B$16-C901,INT(E901/가정!$B$17))),0)</f>
        <v>0</v>
      </c>
      <c r="G901" s="24" t="n">
        <f aca="false">F901*가정!$B$17</f>
        <v>0</v>
      </c>
      <c r="H901" s="24" t="n">
        <f aca="false">E901-G901</f>
        <v>306553.668341709</v>
      </c>
      <c r="I901" s="24" t="n">
        <f aca="false">I900+D901</f>
        <v>333520</v>
      </c>
      <c r="J901" s="16" t="n">
        <f aca="false">(H901+D901)*가정!$B$10</f>
        <v>307053.668341709</v>
      </c>
      <c r="K901" s="24" t="n">
        <f aca="false">A901*가정!$B$8*가정!$B$7</f>
        <v>4485</v>
      </c>
      <c r="L901" s="11" t="n">
        <f aca="false">C901+F901</f>
        <v>100</v>
      </c>
    </row>
    <row r="902" customFormat="false" ht="15" hidden="false" customHeight="false" outlineLevel="0" collapsed="false">
      <c r="A902" s="11" t="n">
        <v>898</v>
      </c>
      <c r="B902" s="11" t="n">
        <f aca="false">MATCH(A902,월별!$C$6:$C$41,1)</f>
        <v>30</v>
      </c>
      <c r="C902" s="11" t="n">
        <f aca="false">L901</f>
        <v>100</v>
      </c>
      <c r="D902" s="24" t="n">
        <f aca="false">C902*가정!$B$8</f>
        <v>500</v>
      </c>
      <c r="E902" s="24" t="n">
        <f aca="false">H901+D901</f>
        <v>307053.668341709</v>
      </c>
      <c r="F902" s="11" t="n">
        <f aca="false">IF(가정!$B$11=1,MAX(0,MIN(가정!$B$16-C902,INT(E902/가정!$B$17))),0)</f>
        <v>0</v>
      </c>
      <c r="G902" s="24" t="n">
        <f aca="false">F902*가정!$B$17</f>
        <v>0</v>
      </c>
      <c r="H902" s="24" t="n">
        <f aca="false">E902-G902</f>
        <v>307053.668341709</v>
      </c>
      <c r="I902" s="24" t="n">
        <f aca="false">I901+D902</f>
        <v>334020</v>
      </c>
      <c r="J902" s="16" t="n">
        <f aca="false">(H902+D902)*가정!$B$10</f>
        <v>307553.668341709</v>
      </c>
      <c r="K902" s="24" t="n">
        <f aca="false">A902*가정!$B$8*가정!$B$7</f>
        <v>4490</v>
      </c>
      <c r="L902" s="11" t="n">
        <f aca="false">C902+F902</f>
        <v>100</v>
      </c>
    </row>
    <row r="903" customFormat="false" ht="15" hidden="false" customHeight="false" outlineLevel="0" collapsed="false">
      <c r="A903" s="11" t="n">
        <v>899</v>
      </c>
      <c r="B903" s="11" t="n">
        <f aca="false">MATCH(A903,월별!$C$6:$C$41,1)</f>
        <v>30</v>
      </c>
      <c r="C903" s="11" t="n">
        <f aca="false">L902</f>
        <v>100</v>
      </c>
      <c r="D903" s="24" t="n">
        <f aca="false">C903*가정!$B$8</f>
        <v>500</v>
      </c>
      <c r="E903" s="24" t="n">
        <f aca="false">H902+D902</f>
        <v>307553.668341709</v>
      </c>
      <c r="F903" s="11" t="n">
        <f aca="false">IF(가정!$B$11=1,MAX(0,MIN(가정!$B$16-C903,INT(E903/가정!$B$17))),0)</f>
        <v>0</v>
      </c>
      <c r="G903" s="24" t="n">
        <f aca="false">F903*가정!$B$17</f>
        <v>0</v>
      </c>
      <c r="H903" s="24" t="n">
        <f aca="false">E903-G903</f>
        <v>307553.668341709</v>
      </c>
      <c r="I903" s="24" t="n">
        <f aca="false">I902+D903</f>
        <v>334520</v>
      </c>
      <c r="J903" s="16" t="n">
        <f aca="false">(H903+D903)*가정!$B$10</f>
        <v>308053.668341709</v>
      </c>
      <c r="K903" s="24" t="n">
        <f aca="false">A903*가정!$B$8*가정!$B$7</f>
        <v>4495</v>
      </c>
      <c r="L903" s="11" t="n">
        <f aca="false">C903+F903</f>
        <v>100</v>
      </c>
    </row>
    <row r="904" customFormat="false" ht="15" hidden="false" customHeight="false" outlineLevel="0" collapsed="false">
      <c r="A904" s="11" t="n">
        <v>900</v>
      </c>
      <c r="B904" s="11" t="n">
        <f aca="false">MATCH(A904,월별!$C$6:$C$41,1)</f>
        <v>30</v>
      </c>
      <c r="C904" s="11" t="n">
        <f aca="false">L903</f>
        <v>100</v>
      </c>
      <c r="D904" s="24" t="n">
        <f aca="false">C904*가정!$B$8</f>
        <v>500</v>
      </c>
      <c r="E904" s="24" t="n">
        <f aca="false">H903+D903</f>
        <v>308053.668341709</v>
      </c>
      <c r="F904" s="11" t="n">
        <f aca="false">IF(가정!$B$11=1,MAX(0,MIN(가정!$B$16-C904,INT(E904/가정!$B$17))),0)</f>
        <v>0</v>
      </c>
      <c r="G904" s="24" t="n">
        <f aca="false">F904*가정!$B$17</f>
        <v>0</v>
      </c>
      <c r="H904" s="24" t="n">
        <f aca="false">E904-G904</f>
        <v>308053.668341709</v>
      </c>
      <c r="I904" s="24" t="n">
        <f aca="false">I903+D904</f>
        <v>335020</v>
      </c>
      <c r="J904" s="16" t="n">
        <f aca="false">(H904+D904)*가정!$B$10</f>
        <v>308553.668341709</v>
      </c>
      <c r="K904" s="24" t="n">
        <f aca="false">A904*가정!$B$8*가정!$B$7</f>
        <v>4500</v>
      </c>
      <c r="L904" s="11" t="n">
        <f aca="false">C904+F904</f>
        <v>100</v>
      </c>
    </row>
    <row r="905" customFormat="false" ht="15" hidden="false" customHeight="false" outlineLevel="0" collapsed="false">
      <c r="A905" s="11" t="n">
        <v>901</v>
      </c>
      <c r="B905" s="11" t="n">
        <f aca="false">MATCH(A905,월별!$C$6:$C$41,1)</f>
        <v>30</v>
      </c>
      <c r="C905" s="11" t="n">
        <f aca="false">L904</f>
        <v>100</v>
      </c>
      <c r="D905" s="24" t="n">
        <f aca="false">C905*가정!$B$8</f>
        <v>500</v>
      </c>
      <c r="E905" s="24" t="n">
        <f aca="false">H904+D904</f>
        <v>308553.668341709</v>
      </c>
      <c r="F905" s="11" t="n">
        <f aca="false">IF(가정!$B$11=1,MAX(0,MIN(가정!$B$16-C905,INT(E905/가정!$B$17))),0)</f>
        <v>0</v>
      </c>
      <c r="G905" s="24" t="n">
        <f aca="false">F905*가정!$B$17</f>
        <v>0</v>
      </c>
      <c r="H905" s="24" t="n">
        <f aca="false">E905-G905</f>
        <v>308553.668341709</v>
      </c>
      <c r="I905" s="24" t="n">
        <f aca="false">I904+D905</f>
        <v>335520</v>
      </c>
      <c r="J905" s="16" t="n">
        <f aca="false">(H905+D905)*가정!$B$10</f>
        <v>309053.668341709</v>
      </c>
      <c r="K905" s="24" t="n">
        <f aca="false">A905*가정!$B$8*가정!$B$7</f>
        <v>4505</v>
      </c>
      <c r="L905" s="11" t="n">
        <f aca="false">C905+F905</f>
        <v>100</v>
      </c>
    </row>
    <row r="906" customFormat="false" ht="15" hidden="false" customHeight="false" outlineLevel="0" collapsed="false">
      <c r="A906" s="11" t="n">
        <v>902</v>
      </c>
      <c r="B906" s="11" t="n">
        <f aca="false">MATCH(A906,월별!$C$6:$C$41,1)</f>
        <v>30</v>
      </c>
      <c r="C906" s="11" t="n">
        <f aca="false">L905</f>
        <v>100</v>
      </c>
      <c r="D906" s="24" t="n">
        <f aca="false">C906*가정!$B$8</f>
        <v>500</v>
      </c>
      <c r="E906" s="24" t="n">
        <f aca="false">H905+D905</f>
        <v>309053.668341709</v>
      </c>
      <c r="F906" s="11" t="n">
        <f aca="false">IF(가정!$B$11=1,MAX(0,MIN(가정!$B$16-C906,INT(E906/가정!$B$17))),0)</f>
        <v>0</v>
      </c>
      <c r="G906" s="24" t="n">
        <f aca="false">F906*가정!$B$17</f>
        <v>0</v>
      </c>
      <c r="H906" s="24" t="n">
        <f aca="false">E906-G906</f>
        <v>309053.668341709</v>
      </c>
      <c r="I906" s="24" t="n">
        <f aca="false">I905+D906</f>
        <v>336020</v>
      </c>
      <c r="J906" s="16" t="n">
        <f aca="false">(H906+D906)*가정!$B$10</f>
        <v>309553.668341709</v>
      </c>
      <c r="K906" s="24" t="n">
        <f aca="false">A906*가정!$B$8*가정!$B$7</f>
        <v>4510</v>
      </c>
      <c r="L906" s="11" t="n">
        <f aca="false">C906+F906</f>
        <v>100</v>
      </c>
    </row>
    <row r="907" customFormat="false" ht="15" hidden="false" customHeight="false" outlineLevel="0" collapsed="false">
      <c r="A907" s="11" t="n">
        <v>903</v>
      </c>
      <c r="B907" s="11" t="n">
        <f aca="false">MATCH(A907,월별!$C$6:$C$41,1)</f>
        <v>30</v>
      </c>
      <c r="C907" s="11" t="n">
        <f aca="false">L906</f>
        <v>100</v>
      </c>
      <c r="D907" s="24" t="n">
        <f aca="false">C907*가정!$B$8</f>
        <v>500</v>
      </c>
      <c r="E907" s="24" t="n">
        <f aca="false">H906+D906</f>
        <v>309553.668341709</v>
      </c>
      <c r="F907" s="11" t="n">
        <f aca="false">IF(가정!$B$11=1,MAX(0,MIN(가정!$B$16-C907,INT(E907/가정!$B$17))),0)</f>
        <v>0</v>
      </c>
      <c r="G907" s="24" t="n">
        <f aca="false">F907*가정!$B$17</f>
        <v>0</v>
      </c>
      <c r="H907" s="24" t="n">
        <f aca="false">E907-G907</f>
        <v>309553.668341709</v>
      </c>
      <c r="I907" s="24" t="n">
        <f aca="false">I906+D907</f>
        <v>336520</v>
      </c>
      <c r="J907" s="16" t="n">
        <f aca="false">(H907+D907)*가정!$B$10</f>
        <v>310053.668341709</v>
      </c>
      <c r="K907" s="24" t="n">
        <f aca="false">A907*가정!$B$8*가정!$B$7</f>
        <v>4515</v>
      </c>
      <c r="L907" s="11" t="n">
        <f aca="false">C907+F907</f>
        <v>100</v>
      </c>
    </row>
    <row r="908" customFormat="false" ht="15" hidden="false" customHeight="false" outlineLevel="0" collapsed="false">
      <c r="A908" s="11" t="n">
        <v>904</v>
      </c>
      <c r="B908" s="11" t="n">
        <f aca="false">MATCH(A908,월별!$C$6:$C$41,1)</f>
        <v>30</v>
      </c>
      <c r="C908" s="11" t="n">
        <f aca="false">L907</f>
        <v>100</v>
      </c>
      <c r="D908" s="24" t="n">
        <f aca="false">C908*가정!$B$8</f>
        <v>500</v>
      </c>
      <c r="E908" s="24" t="n">
        <f aca="false">H907+D907</f>
        <v>310053.668341709</v>
      </c>
      <c r="F908" s="11" t="n">
        <f aca="false">IF(가정!$B$11=1,MAX(0,MIN(가정!$B$16-C908,INT(E908/가정!$B$17))),0)</f>
        <v>0</v>
      </c>
      <c r="G908" s="24" t="n">
        <f aca="false">F908*가정!$B$17</f>
        <v>0</v>
      </c>
      <c r="H908" s="24" t="n">
        <f aca="false">E908-G908</f>
        <v>310053.668341709</v>
      </c>
      <c r="I908" s="24" t="n">
        <f aca="false">I907+D908</f>
        <v>337020</v>
      </c>
      <c r="J908" s="16" t="n">
        <f aca="false">(H908+D908)*가정!$B$10</f>
        <v>310553.668341709</v>
      </c>
      <c r="K908" s="24" t="n">
        <f aca="false">A908*가정!$B$8*가정!$B$7</f>
        <v>4520</v>
      </c>
      <c r="L908" s="11" t="n">
        <f aca="false">C908+F908</f>
        <v>100</v>
      </c>
    </row>
    <row r="909" customFormat="false" ht="15" hidden="false" customHeight="false" outlineLevel="0" collapsed="false">
      <c r="A909" s="11" t="n">
        <v>905</v>
      </c>
      <c r="B909" s="11" t="n">
        <f aca="false">MATCH(A909,월별!$C$6:$C$41,1)</f>
        <v>30</v>
      </c>
      <c r="C909" s="11" t="n">
        <f aca="false">L908</f>
        <v>100</v>
      </c>
      <c r="D909" s="24" t="n">
        <f aca="false">C909*가정!$B$8</f>
        <v>500</v>
      </c>
      <c r="E909" s="24" t="n">
        <f aca="false">H908+D908</f>
        <v>310553.668341709</v>
      </c>
      <c r="F909" s="11" t="n">
        <f aca="false">IF(가정!$B$11=1,MAX(0,MIN(가정!$B$16-C909,INT(E909/가정!$B$17))),0)</f>
        <v>0</v>
      </c>
      <c r="G909" s="24" t="n">
        <f aca="false">F909*가정!$B$17</f>
        <v>0</v>
      </c>
      <c r="H909" s="24" t="n">
        <f aca="false">E909-G909</f>
        <v>310553.668341709</v>
      </c>
      <c r="I909" s="24" t="n">
        <f aca="false">I908+D909</f>
        <v>337520</v>
      </c>
      <c r="J909" s="16" t="n">
        <f aca="false">(H909+D909)*가정!$B$10</f>
        <v>311053.668341709</v>
      </c>
      <c r="K909" s="24" t="n">
        <f aca="false">A909*가정!$B$8*가정!$B$7</f>
        <v>4525</v>
      </c>
      <c r="L909" s="11" t="n">
        <f aca="false">C909+F909</f>
        <v>100</v>
      </c>
    </row>
    <row r="910" customFormat="false" ht="15" hidden="false" customHeight="false" outlineLevel="0" collapsed="false">
      <c r="A910" s="11" t="n">
        <v>906</v>
      </c>
      <c r="B910" s="11" t="n">
        <f aca="false">MATCH(A910,월별!$C$6:$C$41,1)</f>
        <v>30</v>
      </c>
      <c r="C910" s="11" t="n">
        <f aca="false">L909</f>
        <v>100</v>
      </c>
      <c r="D910" s="24" t="n">
        <f aca="false">C910*가정!$B$8</f>
        <v>500</v>
      </c>
      <c r="E910" s="24" t="n">
        <f aca="false">H909+D909</f>
        <v>311053.668341709</v>
      </c>
      <c r="F910" s="11" t="n">
        <f aca="false">IF(가정!$B$11=1,MAX(0,MIN(가정!$B$16-C910,INT(E910/가정!$B$17))),0)</f>
        <v>0</v>
      </c>
      <c r="G910" s="24" t="n">
        <f aca="false">F910*가정!$B$17</f>
        <v>0</v>
      </c>
      <c r="H910" s="24" t="n">
        <f aca="false">E910-G910</f>
        <v>311053.668341709</v>
      </c>
      <c r="I910" s="24" t="n">
        <f aca="false">I909+D910</f>
        <v>338020</v>
      </c>
      <c r="J910" s="16" t="n">
        <f aca="false">(H910+D910)*가정!$B$10</f>
        <v>311553.668341709</v>
      </c>
      <c r="K910" s="24" t="n">
        <f aca="false">A910*가정!$B$8*가정!$B$7</f>
        <v>4530</v>
      </c>
      <c r="L910" s="11" t="n">
        <f aca="false">C910+F910</f>
        <v>100</v>
      </c>
    </row>
    <row r="911" customFormat="false" ht="15" hidden="false" customHeight="false" outlineLevel="0" collapsed="false">
      <c r="A911" s="11" t="n">
        <v>907</v>
      </c>
      <c r="B911" s="11" t="n">
        <f aca="false">MATCH(A911,월별!$C$6:$C$41,1)</f>
        <v>30</v>
      </c>
      <c r="C911" s="11" t="n">
        <f aca="false">L910</f>
        <v>100</v>
      </c>
      <c r="D911" s="24" t="n">
        <f aca="false">C911*가정!$B$8</f>
        <v>500</v>
      </c>
      <c r="E911" s="24" t="n">
        <f aca="false">H910+D910</f>
        <v>311553.668341709</v>
      </c>
      <c r="F911" s="11" t="n">
        <f aca="false">IF(가정!$B$11=1,MAX(0,MIN(가정!$B$16-C911,INT(E911/가정!$B$17))),0)</f>
        <v>0</v>
      </c>
      <c r="G911" s="24" t="n">
        <f aca="false">F911*가정!$B$17</f>
        <v>0</v>
      </c>
      <c r="H911" s="24" t="n">
        <f aca="false">E911-G911</f>
        <v>311553.668341709</v>
      </c>
      <c r="I911" s="24" t="n">
        <f aca="false">I910+D911</f>
        <v>338520</v>
      </c>
      <c r="J911" s="16" t="n">
        <f aca="false">(H911+D911)*가정!$B$10</f>
        <v>312053.668341709</v>
      </c>
      <c r="K911" s="24" t="n">
        <f aca="false">A911*가정!$B$8*가정!$B$7</f>
        <v>4535</v>
      </c>
      <c r="L911" s="11" t="n">
        <f aca="false">C911+F911</f>
        <v>100</v>
      </c>
    </row>
    <row r="912" customFormat="false" ht="15" hidden="false" customHeight="false" outlineLevel="0" collapsed="false">
      <c r="A912" s="11" t="n">
        <v>908</v>
      </c>
      <c r="B912" s="11" t="n">
        <f aca="false">MATCH(A912,월별!$C$6:$C$41,1)</f>
        <v>30</v>
      </c>
      <c r="C912" s="11" t="n">
        <f aca="false">L911</f>
        <v>100</v>
      </c>
      <c r="D912" s="24" t="n">
        <f aca="false">C912*가정!$B$8</f>
        <v>500</v>
      </c>
      <c r="E912" s="24" t="n">
        <f aca="false">H911+D911</f>
        <v>312053.668341709</v>
      </c>
      <c r="F912" s="11" t="n">
        <f aca="false">IF(가정!$B$11=1,MAX(0,MIN(가정!$B$16-C912,INT(E912/가정!$B$17))),0)</f>
        <v>0</v>
      </c>
      <c r="G912" s="24" t="n">
        <f aca="false">F912*가정!$B$17</f>
        <v>0</v>
      </c>
      <c r="H912" s="24" t="n">
        <f aca="false">E912-G912</f>
        <v>312053.668341709</v>
      </c>
      <c r="I912" s="24" t="n">
        <f aca="false">I911+D912</f>
        <v>339020</v>
      </c>
      <c r="J912" s="16" t="n">
        <f aca="false">(H912+D912)*가정!$B$10</f>
        <v>312553.668341709</v>
      </c>
      <c r="K912" s="24" t="n">
        <f aca="false">A912*가정!$B$8*가정!$B$7</f>
        <v>4540</v>
      </c>
      <c r="L912" s="11" t="n">
        <f aca="false">C912+F912</f>
        <v>100</v>
      </c>
    </row>
    <row r="913" customFormat="false" ht="15" hidden="false" customHeight="false" outlineLevel="0" collapsed="false">
      <c r="A913" s="11" t="n">
        <v>909</v>
      </c>
      <c r="B913" s="11" t="n">
        <f aca="false">MATCH(A913,월별!$C$6:$C$41,1)</f>
        <v>30</v>
      </c>
      <c r="C913" s="11" t="n">
        <f aca="false">L912</f>
        <v>100</v>
      </c>
      <c r="D913" s="24" t="n">
        <f aca="false">C913*가정!$B$8</f>
        <v>500</v>
      </c>
      <c r="E913" s="24" t="n">
        <f aca="false">H912+D912</f>
        <v>312553.668341709</v>
      </c>
      <c r="F913" s="11" t="n">
        <f aca="false">IF(가정!$B$11=1,MAX(0,MIN(가정!$B$16-C913,INT(E913/가정!$B$17))),0)</f>
        <v>0</v>
      </c>
      <c r="G913" s="24" t="n">
        <f aca="false">F913*가정!$B$17</f>
        <v>0</v>
      </c>
      <c r="H913" s="24" t="n">
        <f aca="false">E913-G913</f>
        <v>312553.668341709</v>
      </c>
      <c r="I913" s="24" t="n">
        <f aca="false">I912+D913</f>
        <v>339520</v>
      </c>
      <c r="J913" s="16" t="n">
        <f aca="false">(H913+D913)*가정!$B$10</f>
        <v>313053.668341709</v>
      </c>
      <c r="K913" s="24" t="n">
        <f aca="false">A913*가정!$B$8*가정!$B$7</f>
        <v>4545</v>
      </c>
      <c r="L913" s="11" t="n">
        <f aca="false">C913+F913</f>
        <v>100</v>
      </c>
    </row>
    <row r="914" customFormat="false" ht="15" hidden="false" customHeight="false" outlineLevel="0" collapsed="false">
      <c r="A914" s="11" t="n">
        <v>910</v>
      </c>
      <c r="B914" s="11" t="n">
        <f aca="false">MATCH(A914,월별!$C$6:$C$41,1)</f>
        <v>30</v>
      </c>
      <c r="C914" s="11" t="n">
        <f aca="false">L913</f>
        <v>100</v>
      </c>
      <c r="D914" s="24" t="n">
        <f aca="false">C914*가정!$B$8</f>
        <v>500</v>
      </c>
      <c r="E914" s="24" t="n">
        <f aca="false">H913+D913</f>
        <v>313053.668341709</v>
      </c>
      <c r="F914" s="11" t="n">
        <f aca="false">IF(가정!$B$11=1,MAX(0,MIN(가정!$B$16-C914,INT(E914/가정!$B$17))),0)</f>
        <v>0</v>
      </c>
      <c r="G914" s="24" t="n">
        <f aca="false">F914*가정!$B$17</f>
        <v>0</v>
      </c>
      <c r="H914" s="24" t="n">
        <f aca="false">E914-G914</f>
        <v>313053.668341709</v>
      </c>
      <c r="I914" s="24" t="n">
        <f aca="false">I913+D914</f>
        <v>340020</v>
      </c>
      <c r="J914" s="16" t="n">
        <f aca="false">(H914+D914)*가정!$B$10</f>
        <v>313553.668341709</v>
      </c>
      <c r="K914" s="24" t="n">
        <f aca="false">A914*가정!$B$8*가정!$B$7</f>
        <v>4550</v>
      </c>
      <c r="L914" s="11" t="n">
        <f aca="false">C914+F914</f>
        <v>100</v>
      </c>
    </row>
    <row r="915" customFormat="false" ht="15" hidden="false" customHeight="false" outlineLevel="0" collapsed="false">
      <c r="A915" s="11" t="n">
        <v>911</v>
      </c>
      <c r="B915" s="11" t="n">
        <f aca="false">MATCH(A915,월별!$C$6:$C$41,1)</f>
        <v>30</v>
      </c>
      <c r="C915" s="11" t="n">
        <f aca="false">L914</f>
        <v>100</v>
      </c>
      <c r="D915" s="24" t="n">
        <f aca="false">C915*가정!$B$8</f>
        <v>500</v>
      </c>
      <c r="E915" s="24" t="n">
        <f aca="false">H914+D914</f>
        <v>313553.668341709</v>
      </c>
      <c r="F915" s="11" t="n">
        <f aca="false">IF(가정!$B$11=1,MAX(0,MIN(가정!$B$16-C915,INT(E915/가정!$B$17))),0)</f>
        <v>0</v>
      </c>
      <c r="G915" s="24" t="n">
        <f aca="false">F915*가정!$B$17</f>
        <v>0</v>
      </c>
      <c r="H915" s="24" t="n">
        <f aca="false">E915-G915</f>
        <v>313553.668341709</v>
      </c>
      <c r="I915" s="24" t="n">
        <f aca="false">I914+D915</f>
        <v>340520</v>
      </c>
      <c r="J915" s="16" t="n">
        <f aca="false">(H915+D915)*가정!$B$10</f>
        <v>314053.668341709</v>
      </c>
      <c r="K915" s="24" t="n">
        <f aca="false">A915*가정!$B$8*가정!$B$7</f>
        <v>4555</v>
      </c>
      <c r="L915" s="11" t="n">
        <f aca="false">C915+F915</f>
        <v>100</v>
      </c>
    </row>
    <row r="916" customFormat="false" ht="15" hidden="false" customHeight="false" outlineLevel="0" collapsed="false">
      <c r="A916" s="11" t="n">
        <v>912</v>
      </c>
      <c r="B916" s="11" t="n">
        <f aca="false">MATCH(A916,월별!$C$6:$C$41,1)</f>
        <v>30</v>
      </c>
      <c r="C916" s="11" t="n">
        <f aca="false">L915</f>
        <v>100</v>
      </c>
      <c r="D916" s="24" t="n">
        <f aca="false">C916*가정!$B$8</f>
        <v>500</v>
      </c>
      <c r="E916" s="24" t="n">
        <f aca="false">H915+D915</f>
        <v>314053.668341709</v>
      </c>
      <c r="F916" s="11" t="n">
        <f aca="false">IF(가정!$B$11=1,MAX(0,MIN(가정!$B$16-C916,INT(E916/가정!$B$17))),0)</f>
        <v>0</v>
      </c>
      <c r="G916" s="24" t="n">
        <f aca="false">F916*가정!$B$17</f>
        <v>0</v>
      </c>
      <c r="H916" s="24" t="n">
        <f aca="false">E916-G916</f>
        <v>314053.668341709</v>
      </c>
      <c r="I916" s="24" t="n">
        <f aca="false">I915+D916</f>
        <v>341020</v>
      </c>
      <c r="J916" s="16" t="n">
        <f aca="false">(H916+D916)*가정!$B$10</f>
        <v>314553.668341709</v>
      </c>
      <c r="K916" s="24" t="n">
        <f aca="false">A916*가정!$B$8*가정!$B$7</f>
        <v>4560</v>
      </c>
      <c r="L916" s="11" t="n">
        <f aca="false">C916+F916</f>
        <v>100</v>
      </c>
    </row>
    <row r="917" customFormat="false" ht="15" hidden="false" customHeight="false" outlineLevel="0" collapsed="false">
      <c r="A917" s="11" t="n">
        <v>913</v>
      </c>
      <c r="B917" s="11" t="n">
        <f aca="false">MATCH(A917,월별!$C$6:$C$41,1)</f>
        <v>30</v>
      </c>
      <c r="C917" s="11" t="n">
        <f aca="false">L916</f>
        <v>100</v>
      </c>
      <c r="D917" s="24" t="n">
        <f aca="false">C917*가정!$B$8</f>
        <v>500</v>
      </c>
      <c r="E917" s="24" t="n">
        <f aca="false">H916+D916</f>
        <v>314553.668341709</v>
      </c>
      <c r="F917" s="11" t="n">
        <f aca="false">IF(가정!$B$11=1,MAX(0,MIN(가정!$B$16-C917,INT(E917/가정!$B$17))),0)</f>
        <v>0</v>
      </c>
      <c r="G917" s="24" t="n">
        <f aca="false">F917*가정!$B$17</f>
        <v>0</v>
      </c>
      <c r="H917" s="24" t="n">
        <f aca="false">E917-G917</f>
        <v>314553.668341709</v>
      </c>
      <c r="I917" s="24" t="n">
        <f aca="false">I916+D917</f>
        <v>341520</v>
      </c>
      <c r="J917" s="16" t="n">
        <f aca="false">(H917+D917)*가정!$B$10</f>
        <v>315053.668341709</v>
      </c>
      <c r="K917" s="24" t="n">
        <f aca="false">A917*가정!$B$8*가정!$B$7</f>
        <v>4565</v>
      </c>
      <c r="L917" s="11" t="n">
        <f aca="false">C917+F917</f>
        <v>100</v>
      </c>
    </row>
    <row r="918" customFormat="false" ht="15" hidden="false" customHeight="false" outlineLevel="0" collapsed="false">
      <c r="A918" s="11" t="n">
        <v>914</v>
      </c>
      <c r="B918" s="11" t="n">
        <f aca="false">MATCH(A918,월별!$C$6:$C$41,1)</f>
        <v>31</v>
      </c>
      <c r="C918" s="11" t="n">
        <f aca="false">L917</f>
        <v>100</v>
      </c>
      <c r="D918" s="24" t="n">
        <f aca="false">C918*가정!$B$8</f>
        <v>500</v>
      </c>
      <c r="E918" s="24" t="n">
        <f aca="false">H917+D917</f>
        <v>315053.668341709</v>
      </c>
      <c r="F918" s="11" t="n">
        <f aca="false">IF(가정!$B$11=1,MAX(0,MIN(가정!$B$16-C918,INT(E918/가정!$B$17))),0)</f>
        <v>0</v>
      </c>
      <c r="G918" s="24" t="n">
        <f aca="false">F918*가정!$B$17</f>
        <v>0</v>
      </c>
      <c r="H918" s="24" t="n">
        <f aca="false">E918-G918</f>
        <v>315053.668341709</v>
      </c>
      <c r="I918" s="24" t="n">
        <f aca="false">I917+D918</f>
        <v>342020</v>
      </c>
      <c r="J918" s="16" t="n">
        <f aca="false">(H918+D918)*가정!$B$10</f>
        <v>315553.668341709</v>
      </c>
      <c r="K918" s="24" t="n">
        <f aca="false">A918*가정!$B$8*가정!$B$7</f>
        <v>4570</v>
      </c>
      <c r="L918" s="11" t="n">
        <f aca="false">C918+F918</f>
        <v>100</v>
      </c>
    </row>
    <row r="919" customFormat="false" ht="15" hidden="false" customHeight="false" outlineLevel="0" collapsed="false">
      <c r="A919" s="11" t="n">
        <v>915</v>
      </c>
      <c r="B919" s="11" t="n">
        <f aca="false">MATCH(A919,월별!$C$6:$C$41,1)</f>
        <v>31</v>
      </c>
      <c r="C919" s="11" t="n">
        <f aca="false">L918</f>
        <v>100</v>
      </c>
      <c r="D919" s="24" t="n">
        <f aca="false">C919*가정!$B$8</f>
        <v>500</v>
      </c>
      <c r="E919" s="24" t="n">
        <f aca="false">H918+D918</f>
        <v>315553.668341709</v>
      </c>
      <c r="F919" s="11" t="n">
        <f aca="false">IF(가정!$B$11=1,MAX(0,MIN(가정!$B$16-C919,INT(E919/가정!$B$17))),0)</f>
        <v>0</v>
      </c>
      <c r="G919" s="24" t="n">
        <f aca="false">F919*가정!$B$17</f>
        <v>0</v>
      </c>
      <c r="H919" s="24" t="n">
        <f aca="false">E919-G919</f>
        <v>315553.668341709</v>
      </c>
      <c r="I919" s="24" t="n">
        <f aca="false">I918+D919</f>
        <v>342520</v>
      </c>
      <c r="J919" s="16" t="n">
        <f aca="false">(H919+D919)*가정!$B$10</f>
        <v>316053.668341709</v>
      </c>
      <c r="K919" s="24" t="n">
        <f aca="false">A919*가정!$B$8*가정!$B$7</f>
        <v>4575</v>
      </c>
      <c r="L919" s="11" t="n">
        <f aca="false">C919+F919</f>
        <v>100</v>
      </c>
    </row>
    <row r="920" customFormat="false" ht="15" hidden="false" customHeight="false" outlineLevel="0" collapsed="false">
      <c r="A920" s="11" t="n">
        <v>916</v>
      </c>
      <c r="B920" s="11" t="n">
        <f aca="false">MATCH(A920,월별!$C$6:$C$41,1)</f>
        <v>31</v>
      </c>
      <c r="C920" s="11" t="n">
        <f aca="false">L919</f>
        <v>100</v>
      </c>
      <c r="D920" s="24" t="n">
        <f aca="false">C920*가정!$B$8</f>
        <v>500</v>
      </c>
      <c r="E920" s="24" t="n">
        <f aca="false">H919+D919</f>
        <v>316053.668341709</v>
      </c>
      <c r="F920" s="11" t="n">
        <f aca="false">IF(가정!$B$11=1,MAX(0,MIN(가정!$B$16-C920,INT(E920/가정!$B$17))),0)</f>
        <v>0</v>
      </c>
      <c r="G920" s="24" t="n">
        <f aca="false">F920*가정!$B$17</f>
        <v>0</v>
      </c>
      <c r="H920" s="24" t="n">
        <f aca="false">E920-G920</f>
        <v>316053.668341709</v>
      </c>
      <c r="I920" s="24" t="n">
        <f aca="false">I919+D920</f>
        <v>343020</v>
      </c>
      <c r="J920" s="16" t="n">
        <f aca="false">(H920+D920)*가정!$B$10</f>
        <v>316553.668341709</v>
      </c>
      <c r="K920" s="24" t="n">
        <f aca="false">A920*가정!$B$8*가정!$B$7</f>
        <v>4580</v>
      </c>
      <c r="L920" s="11" t="n">
        <f aca="false">C920+F920</f>
        <v>100</v>
      </c>
    </row>
    <row r="921" customFormat="false" ht="15" hidden="false" customHeight="false" outlineLevel="0" collapsed="false">
      <c r="A921" s="11" t="n">
        <v>917</v>
      </c>
      <c r="B921" s="11" t="n">
        <f aca="false">MATCH(A921,월별!$C$6:$C$41,1)</f>
        <v>31</v>
      </c>
      <c r="C921" s="11" t="n">
        <f aca="false">L920</f>
        <v>100</v>
      </c>
      <c r="D921" s="24" t="n">
        <f aca="false">C921*가정!$B$8</f>
        <v>500</v>
      </c>
      <c r="E921" s="24" t="n">
        <f aca="false">H920+D920</f>
        <v>316553.668341709</v>
      </c>
      <c r="F921" s="11" t="n">
        <f aca="false">IF(가정!$B$11=1,MAX(0,MIN(가정!$B$16-C921,INT(E921/가정!$B$17))),0)</f>
        <v>0</v>
      </c>
      <c r="G921" s="24" t="n">
        <f aca="false">F921*가정!$B$17</f>
        <v>0</v>
      </c>
      <c r="H921" s="24" t="n">
        <f aca="false">E921-G921</f>
        <v>316553.668341709</v>
      </c>
      <c r="I921" s="24" t="n">
        <f aca="false">I920+D921</f>
        <v>343520</v>
      </c>
      <c r="J921" s="16" t="n">
        <f aca="false">(H921+D921)*가정!$B$10</f>
        <v>317053.668341709</v>
      </c>
      <c r="K921" s="24" t="n">
        <f aca="false">A921*가정!$B$8*가정!$B$7</f>
        <v>4585</v>
      </c>
      <c r="L921" s="11" t="n">
        <f aca="false">C921+F921</f>
        <v>100</v>
      </c>
    </row>
    <row r="922" customFormat="false" ht="15" hidden="false" customHeight="false" outlineLevel="0" collapsed="false">
      <c r="A922" s="11" t="n">
        <v>918</v>
      </c>
      <c r="B922" s="11" t="n">
        <f aca="false">MATCH(A922,월별!$C$6:$C$41,1)</f>
        <v>31</v>
      </c>
      <c r="C922" s="11" t="n">
        <f aca="false">L921</f>
        <v>100</v>
      </c>
      <c r="D922" s="24" t="n">
        <f aca="false">C922*가정!$B$8</f>
        <v>500</v>
      </c>
      <c r="E922" s="24" t="n">
        <f aca="false">H921+D921</f>
        <v>317053.668341709</v>
      </c>
      <c r="F922" s="11" t="n">
        <f aca="false">IF(가정!$B$11=1,MAX(0,MIN(가정!$B$16-C922,INT(E922/가정!$B$17))),0)</f>
        <v>0</v>
      </c>
      <c r="G922" s="24" t="n">
        <f aca="false">F922*가정!$B$17</f>
        <v>0</v>
      </c>
      <c r="H922" s="24" t="n">
        <f aca="false">E922-G922</f>
        <v>317053.668341709</v>
      </c>
      <c r="I922" s="24" t="n">
        <f aca="false">I921+D922</f>
        <v>344020</v>
      </c>
      <c r="J922" s="16" t="n">
        <f aca="false">(H922+D922)*가정!$B$10</f>
        <v>317553.668341709</v>
      </c>
      <c r="K922" s="24" t="n">
        <f aca="false">A922*가정!$B$8*가정!$B$7</f>
        <v>4590</v>
      </c>
      <c r="L922" s="11" t="n">
        <f aca="false">C922+F922</f>
        <v>100</v>
      </c>
    </row>
    <row r="923" customFormat="false" ht="15" hidden="false" customHeight="false" outlineLevel="0" collapsed="false">
      <c r="A923" s="11" t="n">
        <v>919</v>
      </c>
      <c r="B923" s="11" t="n">
        <f aca="false">MATCH(A923,월별!$C$6:$C$41,1)</f>
        <v>31</v>
      </c>
      <c r="C923" s="11" t="n">
        <f aca="false">L922</f>
        <v>100</v>
      </c>
      <c r="D923" s="24" t="n">
        <f aca="false">C923*가정!$B$8</f>
        <v>500</v>
      </c>
      <c r="E923" s="24" t="n">
        <f aca="false">H922+D922</f>
        <v>317553.668341709</v>
      </c>
      <c r="F923" s="11" t="n">
        <f aca="false">IF(가정!$B$11=1,MAX(0,MIN(가정!$B$16-C923,INT(E923/가정!$B$17))),0)</f>
        <v>0</v>
      </c>
      <c r="G923" s="24" t="n">
        <f aca="false">F923*가정!$B$17</f>
        <v>0</v>
      </c>
      <c r="H923" s="24" t="n">
        <f aca="false">E923-G923</f>
        <v>317553.668341709</v>
      </c>
      <c r="I923" s="24" t="n">
        <f aca="false">I922+D923</f>
        <v>344520</v>
      </c>
      <c r="J923" s="16" t="n">
        <f aca="false">(H923+D923)*가정!$B$10</f>
        <v>318053.668341709</v>
      </c>
      <c r="K923" s="24" t="n">
        <f aca="false">A923*가정!$B$8*가정!$B$7</f>
        <v>4595</v>
      </c>
      <c r="L923" s="11" t="n">
        <f aca="false">C923+F923</f>
        <v>100</v>
      </c>
    </row>
    <row r="924" customFormat="false" ht="15" hidden="false" customHeight="false" outlineLevel="0" collapsed="false">
      <c r="A924" s="11" t="n">
        <v>920</v>
      </c>
      <c r="B924" s="11" t="n">
        <f aca="false">MATCH(A924,월별!$C$6:$C$41,1)</f>
        <v>31</v>
      </c>
      <c r="C924" s="11" t="n">
        <f aca="false">L923</f>
        <v>100</v>
      </c>
      <c r="D924" s="24" t="n">
        <f aca="false">C924*가정!$B$8</f>
        <v>500</v>
      </c>
      <c r="E924" s="24" t="n">
        <f aca="false">H923+D923</f>
        <v>318053.668341709</v>
      </c>
      <c r="F924" s="11" t="n">
        <f aca="false">IF(가정!$B$11=1,MAX(0,MIN(가정!$B$16-C924,INT(E924/가정!$B$17))),0)</f>
        <v>0</v>
      </c>
      <c r="G924" s="24" t="n">
        <f aca="false">F924*가정!$B$17</f>
        <v>0</v>
      </c>
      <c r="H924" s="24" t="n">
        <f aca="false">E924-G924</f>
        <v>318053.668341709</v>
      </c>
      <c r="I924" s="24" t="n">
        <f aca="false">I923+D924</f>
        <v>345020</v>
      </c>
      <c r="J924" s="16" t="n">
        <f aca="false">(H924+D924)*가정!$B$10</f>
        <v>318553.668341709</v>
      </c>
      <c r="K924" s="24" t="n">
        <f aca="false">A924*가정!$B$8*가정!$B$7</f>
        <v>4600</v>
      </c>
      <c r="L924" s="11" t="n">
        <f aca="false">C924+F924</f>
        <v>100</v>
      </c>
    </row>
    <row r="925" customFormat="false" ht="15" hidden="false" customHeight="false" outlineLevel="0" collapsed="false">
      <c r="A925" s="11" t="n">
        <v>921</v>
      </c>
      <c r="B925" s="11" t="n">
        <f aca="false">MATCH(A925,월별!$C$6:$C$41,1)</f>
        <v>31</v>
      </c>
      <c r="C925" s="11" t="n">
        <f aca="false">L924</f>
        <v>100</v>
      </c>
      <c r="D925" s="24" t="n">
        <f aca="false">C925*가정!$B$8</f>
        <v>500</v>
      </c>
      <c r="E925" s="24" t="n">
        <f aca="false">H924+D924</f>
        <v>318553.668341709</v>
      </c>
      <c r="F925" s="11" t="n">
        <f aca="false">IF(가정!$B$11=1,MAX(0,MIN(가정!$B$16-C925,INT(E925/가정!$B$17))),0)</f>
        <v>0</v>
      </c>
      <c r="G925" s="24" t="n">
        <f aca="false">F925*가정!$B$17</f>
        <v>0</v>
      </c>
      <c r="H925" s="24" t="n">
        <f aca="false">E925-G925</f>
        <v>318553.668341709</v>
      </c>
      <c r="I925" s="24" t="n">
        <f aca="false">I924+D925</f>
        <v>345520</v>
      </c>
      <c r="J925" s="16" t="n">
        <f aca="false">(H925+D925)*가정!$B$10</f>
        <v>319053.668341709</v>
      </c>
      <c r="K925" s="24" t="n">
        <f aca="false">A925*가정!$B$8*가정!$B$7</f>
        <v>4605</v>
      </c>
      <c r="L925" s="11" t="n">
        <f aca="false">C925+F925</f>
        <v>100</v>
      </c>
    </row>
    <row r="926" customFormat="false" ht="15" hidden="false" customHeight="false" outlineLevel="0" collapsed="false">
      <c r="A926" s="11" t="n">
        <v>922</v>
      </c>
      <c r="B926" s="11" t="n">
        <f aca="false">MATCH(A926,월별!$C$6:$C$41,1)</f>
        <v>31</v>
      </c>
      <c r="C926" s="11" t="n">
        <f aca="false">L925</f>
        <v>100</v>
      </c>
      <c r="D926" s="24" t="n">
        <f aca="false">C926*가정!$B$8</f>
        <v>500</v>
      </c>
      <c r="E926" s="24" t="n">
        <f aca="false">H925+D925</f>
        <v>319053.668341709</v>
      </c>
      <c r="F926" s="11" t="n">
        <f aca="false">IF(가정!$B$11=1,MAX(0,MIN(가정!$B$16-C926,INT(E926/가정!$B$17))),0)</f>
        <v>0</v>
      </c>
      <c r="G926" s="24" t="n">
        <f aca="false">F926*가정!$B$17</f>
        <v>0</v>
      </c>
      <c r="H926" s="24" t="n">
        <f aca="false">E926-G926</f>
        <v>319053.668341709</v>
      </c>
      <c r="I926" s="24" t="n">
        <f aca="false">I925+D926</f>
        <v>346020</v>
      </c>
      <c r="J926" s="16" t="n">
        <f aca="false">(H926+D926)*가정!$B$10</f>
        <v>319553.668341709</v>
      </c>
      <c r="K926" s="24" t="n">
        <f aca="false">A926*가정!$B$8*가정!$B$7</f>
        <v>4610</v>
      </c>
      <c r="L926" s="11" t="n">
        <f aca="false">C926+F926</f>
        <v>100</v>
      </c>
    </row>
    <row r="927" customFormat="false" ht="15" hidden="false" customHeight="false" outlineLevel="0" collapsed="false">
      <c r="A927" s="11" t="n">
        <v>923</v>
      </c>
      <c r="B927" s="11" t="n">
        <f aca="false">MATCH(A927,월별!$C$6:$C$41,1)</f>
        <v>31</v>
      </c>
      <c r="C927" s="11" t="n">
        <f aca="false">L926</f>
        <v>100</v>
      </c>
      <c r="D927" s="24" t="n">
        <f aca="false">C927*가정!$B$8</f>
        <v>500</v>
      </c>
      <c r="E927" s="24" t="n">
        <f aca="false">H926+D926</f>
        <v>319553.668341709</v>
      </c>
      <c r="F927" s="11" t="n">
        <f aca="false">IF(가정!$B$11=1,MAX(0,MIN(가정!$B$16-C927,INT(E927/가정!$B$17))),0)</f>
        <v>0</v>
      </c>
      <c r="G927" s="24" t="n">
        <f aca="false">F927*가정!$B$17</f>
        <v>0</v>
      </c>
      <c r="H927" s="24" t="n">
        <f aca="false">E927-G927</f>
        <v>319553.668341709</v>
      </c>
      <c r="I927" s="24" t="n">
        <f aca="false">I926+D927</f>
        <v>346520</v>
      </c>
      <c r="J927" s="16" t="n">
        <f aca="false">(H927+D927)*가정!$B$10</f>
        <v>320053.668341709</v>
      </c>
      <c r="K927" s="24" t="n">
        <f aca="false">A927*가정!$B$8*가정!$B$7</f>
        <v>4615</v>
      </c>
      <c r="L927" s="11" t="n">
        <f aca="false">C927+F927</f>
        <v>100</v>
      </c>
    </row>
    <row r="928" customFormat="false" ht="15" hidden="false" customHeight="false" outlineLevel="0" collapsed="false">
      <c r="A928" s="11" t="n">
        <v>924</v>
      </c>
      <c r="B928" s="11" t="n">
        <f aca="false">MATCH(A928,월별!$C$6:$C$41,1)</f>
        <v>31</v>
      </c>
      <c r="C928" s="11" t="n">
        <f aca="false">L927</f>
        <v>100</v>
      </c>
      <c r="D928" s="24" t="n">
        <f aca="false">C928*가정!$B$8</f>
        <v>500</v>
      </c>
      <c r="E928" s="24" t="n">
        <f aca="false">H927+D927</f>
        <v>320053.668341709</v>
      </c>
      <c r="F928" s="11" t="n">
        <f aca="false">IF(가정!$B$11=1,MAX(0,MIN(가정!$B$16-C928,INT(E928/가정!$B$17))),0)</f>
        <v>0</v>
      </c>
      <c r="G928" s="24" t="n">
        <f aca="false">F928*가정!$B$17</f>
        <v>0</v>
      </c>
      <c r="H928" s="24" t="n">
        <f aca="false">E928-G928</f>
        <v>320053.668341709</v>
      </c>
      <c r="I928" s="24" t="n">
        <f aca="false">I927+D928</f>
        <v>347020</v>
      </c>
      <c r="J928" s="16" t="n">
        <f aca="false">(H928+D928)*가정!$B$10</f>
        <v>320553.668341709</v>
      </c>
      <c r="K928" s="24" t="n">
        <f aca="false">A928*가정!$B$8*가정!$B$7</f>
        <v>4620</v>
      </c>
      <c r="L928" s="11" t="n">
        <f aca="false">C928+F928</f>
        <v>100</v>
      </c>
    </row>
    <row r="929" customFormat="false" ht="15" hidden="false" customHeight="false" outlineLevel="0" collapsed="false">
      <c r="A929" s="11" t="n">
        <v>925</v>
      </c>
      <c r="B929" s="11" t="n">
        <f aca="false">MATCH(A929,월별!$C$6:$C$41,1)</f>
        <v>31</v>
      </c>
      <c r="C929" s="11" t="n">
        <f aca="false">L928</f>
        <v>100</v>
      </c>
      <c r="D929" s="24" t="n">
        <f aca="false">C929*가정!$B$8</f>
        <v>500</v>
      </c>
      <c r="E929" s="24" t="n">
        <f aca="false">H928+D928</f>
        <v>320553.668341709</v>
      </c>
      <c r="F929" s="11" t="n">
        <f aca="false">IF(가정!$B$11=1,MAX(0,MIN(가정!$B$16-C929,INT(E929/가정!$B$17))),0)</f>
        <v>0</v>
      </c>
      <c r="G929" s="24" t="n">
        <f aca="false">F929*가정!$B$17</f>
        <v>0</v>
      </c>
      <c r="H929" s="24" t="n">
        <f aca="false">E929-G929</f>
        <v>320553.668341709</v>
      </c>
      <c r="I929" s="24" t="n">
        <f aca="false">I928+D929</f>
        <v>347520</v>
      </c>
      <c r="J929" s="16" t="n">
        <f aca="false">(H929+D929)*가정!$B$10</f>
        <v>321053.668341709</v>
      </c>
      <c r="K929" s="24" t="n">
        <f aca="false">A929*가정!$B$8*가정!$B$7</f>
        <v>4625</v>
      </c>
      <c r="L929" s="11" t="n">
        <f aca="false">C929+F929</f>
        <v>100</v>
      </c>
    </row>
    <row r="930" customFormat="false" ht="15" hidden="false" customHeight="false" outlineLevel="0" collapsed="false">
      <c r="A930" s="11" t="n">
        <v>926</v>
      </c>
      <c r="B930" s="11" t="n">
        <f aca="false">MATCH(A930,월별!$C$6:$C$41,1)</f>
        <v>31</v>
      </c>
      <c r="C930" s="11" t="n">
        <f aca="false">L929</f>
        <v>100</v>
      </c>
      <c r="D930" s="24" t="n">
        <f aca="false">C930*가정!$B$8</f>
        <v>500</v>
      </c>
      <c r="E930" s="24" t="n">
        <f aca="false">H929+D929</f>
        <v>321053.668341709</v>
      </c>
      <c r="F930" s="11" t="n">
        <f aca="false">IF(가정!$B$11=1,MAX(0,MIN(가정!$B$16-C930,INT(E930/가정!$B$17))),0)</f>
        <v>0</v>
      </c>
      <c r="G930" s="24" t="n">
        <f aca="false">F930*가정!$B$17</f>
        <v>0</v>
      </c>
      <c r="H930" s="24" t="n">
        <f aca="false">E930-G930</f>
        <v>321053.668341709</v>
      </c>
      <c r="I930" s="24" t="n">
        <f aca="false">I929+D930</f>
        <v>348020</v>
      </c>
      <c r="J930" s="16" t="n">
        <f aca="false">(H930+D930)*가정!$B$10</f>
        <v>321553.668341709</v>
      </c>
      <c r="K930" s="24" t="n">
        <f aca="false">A930*가정!$B$8*가정!$B$7</f>
        <v>4630</v>
      </c>
      <c r="L930" s="11" t="n">
        <f aca="false">C930+F930</f>
        <v>100</v>
      </c>
    </row>
    <row r="931" customFormat="false" ht="15" hidden="false" customHeight="false" outlineLevel="0" collapsed="false">
      <c r="A931" s="11" t="n">
        <v>927</v>
      </c>
      <c r="B931" s="11" t="n">
        <f aca="false">MATCH(A931,월별!$C$6:$C$41,1)</f>
        <v>31</v>
      </c>
      <c r="C931" s="11" t="n">
        <f aca="false">L930</f>
        <v>100</v>
      </c>
      <c r="D931" s="24" t="n">
        <f aca="false">C931*가정!$B$8</f>
        <v>500</v>
      </c>
      <c r="E931" s="24" t="n">
        <f aca="false">H930+D930</f>
        <v>321553.668341709</v>
      </c>
      <c r="F931" s="11" t="n">
        <f aca="false">IF(가정!$B$11=1,MAX(0,MIN(가정!$B$16-C931,INT(E931/가정!$B$17))),0)</f>
        <v>0</v>
      </c>
      <c r="G931" s="24" t="n">
        <f aca="false">F931*가정!$B$17</f>
        <v>0</v>
      </c>
      <c r="H931" s="24" t="n">
        <f aca="false">E931-G931</f>
        <v>321553.668341709</v>
      </c>
      <c r="I931" s="24" t="n">
        <f aca="false">I930+D931</f>
        <v>348520</v>
      </c>
      <c r="J931" s="16" t="n">
        <f aca="false">(H931+D931)*가정!$B$10</f>
        <v>322053.668341709</v>
      </c>
      <c r="K931" s="24" t="n">
        <f aca="false">A931*가정!$B$8*가정!$B$7</f>
        <v>4635</v>
      </c>
      <c r="L931" s="11" t="n">
        <f aca="false">C931+F931</f>
        <v>100</v>
      </c>
    </row>
    <row r="932" customFormat="false" ht="15" hidden="false" customHeight="false" outlineLevel="0" collapsed="false">
      <c r="A932" s="11" t="n">
        <v>928</v>
      </c>
      <c r="B932" s="11" t="n">
        <f aca="false">MATCH(A932,월별!$C$6:$C$41,1)</f>
        <v>31</v>
      </c>
      <c r="C932" s="11" t="n">
        <f aca="false">L931</f>
        <v>100</v>
      </c>
      <c r="D932" s="24" t="n">
        <f aca="false">C932*가정!$B$8</f>
        <v>500</v>
      </c>
      <c r="E932" s="24" t="n">
        <f aca="false">H931+D931</f>
        <v>322053.668341709</v>
      </c>
      <c r="F932" s="11" t="n">
        <f aca="false">IF(가정!$B$11=1,MAX(0,MIN(가정!$B$16-C932,INT(E932/가정!$B$17))),0)</f>
        <v>0</v>
      </c>
      <c r="G932" s="24" t="n">
        <f aca="false">F932*가정!$B$17</f>
        <v>0</v>
      </c>
      <c r="H932" s="24" t="n">
        <f aca="false">E932-G932</f>
        <v>322053.668341709</v>
      </c>
      <c r="I932" s="24" t="n">
        <f aca="false">I931+D932</f>
        <v>349020</v>
      </c>
      <c r="J932" s="16" t="n">
        <f aca="false">(H932+D932)*가정!$B$10</f>
        <v>322553.668341709</v>
      </c>
      <c r="K932" s="24" t="n">
        <f aca="false">A932*가정!$B$8*가정!$B$7</f>
        <v>4640</v>
      </c>
      <c r="L932" s="11" t="n">
        <f aca="false">C932+F932</f>
        <v>100</v>
      </c>
    </row>
    <row r="933" customFormat="false" ht="15" hidden="false" customHeight="false" outlineLevel="0" collapsed="false">
      <c r="A933" s="11" t="n">
        <v>929</v>
      </c>
      <c r="B933" s="11" t="n">
        <f aca="false">MATCH(A933,월별!$C$6:$C$41,1)</f>
        <v>31</v>
      </c>
      <c r="C933" s="11" t="n">
        <f aca="false">L932</f>
        <v>100</v>
      </c>
      <c r="D933" s="24" t="n">
        <f aca="false">C933*가정!$B$8</f>
        <v>500</v>
      </c>
      <c r="E933" s="24" t="n">
        <f aca="false">H932+D932</f>
        <v>322553.668341709</v>
      </c>
      <c r="F933" s="11" t="n">
        <f aca="false">IF(가정!$B$11=1,MAX(0,MIN(가정!$B$16-C933,INT(E933/가정!$B$17))),0)</f>
        <v>0</v>
      </c>
      <c r="G933" s="24" t="n">
        <f aca="false">F933*가정!$B$17</f>
        <v>0</v>
      </c>
      <c r="H933" s="24" t="n">
        <f aca="false">E933-G933</f>
        <v>322553.668341709</v>
      </c>
      <c r="I933" s="24" t="n">
        <f aca="false">I932+D933</f>
        <v>349520</v>
      </c>
      <c r="J933" s="16" t="n">
        <f aca="false">(H933+D933)*가정!$B$10</f>
        <v>323053.668341709</v>
      </c>
      <c r="K933" s="24" t="n">
        <f aca="false">A933*가정!$B$8*가정!$B$7</f>
        <v>4645</v>
      </c>
      <c r="L933" s="11" t="n">
        <f aca="false">C933+F933</f>
        <v>100</v>
      </c>
    </row>
    <row r="934" customFormat="false" ht="15" hidden="false" customHeight="false" outlineLevel="0" collapsed="false">
      <c r="A934" s="11" t="n">
        <v>930</v>
      </c>
      <c r="B934" s="11" t="n">
        <f aca="false">MATCH(A934,월별!$C$6:$C$41,1)</f>
        <v>31</v>
      </c>
      <c r="C934" s="11" t="n">
        <f aca="false">L933</f>
        <v>100</v>
      </c>
      <c r="D934" s="24" t="n">
        <f aca="false">C934*가정!$B$8</f>
        <v>500</v>
      </c>
      <c r="E934" s="24" t="n">
        <f aca="false">H933+D933</f>
        <v>323053.668341709</v>
      </c>
      <c r="F934" s="11" t="n">
        <f aca="false">IF(가정!$B$11=1,MAX(0,MIN(가정!$B$16-C934,INT(E934/가정!$B$17))),0)</f>
        <v>0</v>
      </c>
      <c r="G934" s="24" t="n">
        <f aca="false">F934*가정!$B$17</f>
        <v>0</v>
      </c>
      <c r="H934" s="24" t="n">
        <f aca="false">E934-G934</f>
        <v>323053.668341709</v>
      </c>
      <c r="I934" s="24" t="n">
        <f aca="false">I933+D934</f>
        <v>350020</v>
      </c>
      <c r="J934" s="16" t="n">
        <f aca="false">(H934+D934)*가정!$B$10</f>
        <v>323553.668341709</v>
      </c>
      <c r="K934" s="24" t="n">
        <f aca="false">A934*가정!$B$8*가정!$B$7</f>
        <v>4650</v>
      </c>
      <c r="L934" s="11" t="n">
        <f aca="false">C934+F934</f>
        <v>100</v>
      </c>
    </row>
    <row r="935" customFormat="false" ht="15" hidden="false" customHeight="false" outlineLevel="0" collapsed="false">
      <c r="A935" s="11" t="n">
        <v>931</v>
      </c>
      <c r="B935" s="11" t="n">
        <f aca="false">MATCH(A935,월별!$C$6:$C$41,1)</f>
        <v>31</v>
      </c>
      <c r="C935" s="11" t="n">
        <f aca="false">L934</f>
        <v>100</v>
      </c>
      <c r="D935" s="24" t="n">
        <f aca="false">C935*가정!$B$8</f>
        <v>500</v>
      </c>
      <c r="E935" s="24" t="n">
        <f aca="false">H934+D934</f>
        <v>323553.668341709</v>
      </c>
      <c r="F935" s="11" t="n">
        <f aca="false">IF(가정!$B$11=1,MAX(0,MIN(가정!$B$16-C935,INT(E935/가정!$B$17))),0)</f>
        <v>0</v>
      </c>
      <c r="G935" s="24" t="n">
        <f aca="false">F935*가정!$B$17</f>
        <v>0</v>
      </c>
      <c r="H935" s="24" t="n">
        <f aca="false">E935-G935</f>
        <v>323553.668341709</v>
      </c>
      <c r="I935" s="24" t="n">
        <f aca="false">I934+D935</f>
        <v>350520</v>
      </c>
      <c r="J935" s="16" t="n">
        <f aca="false">(H935+D935)*가정!$B$10</f>
        <v>324053.668341709</v>
      </c>
      <c r="K935" s="24" t="n">
        <f aca="false">A935*가정!$B$8*가정!$B$7</f>
        <v>4655</v>
      </c>
      <c r="L935" s="11" t="n">
        <f aca="false">C935+F935</f>
        <v>100</v>
      </c>
    </row>
    <row r="936" customFormat="false" ht="15" hidden="false" customHeight="false" outlineLevel="0" collapsed="false">
      <c r="A936" s="11" t="n">
        <v>932</v>
      </c>
      <c r="B936" s="11" t="n">
        <f aca="false">MATCH(A936,월별!$C$6:$C$41,1)</f>
        <v>31</v>
      </c>
      <c r="C936" s="11" t="n">
        <f aca="false">L935</f>
        <v>100</v>
      </c>
      <c r="D936" s="24" t="n">
        <f aca="false">C936*가정!$B$8</f>
        <v>500</v>
      </c>
      <c r="E936" s="24" t="n">
        <f aca="false">H935+D935</f>
        <v>324053.668341709</v>
      </c>
      <c r="F936" s="11" t="n">
        <f aca="false">IF(가정!$B$11=1,MAX(0,MIN(가정!$B$16-C936,INT(E936/가정!$B$17))),0)</f>
        <v>0</v>
      </c>
      <c r="G936" s="24" t="n">
        <f aca="false">F936*가정!$B$17</f>
        <v>0</v>
      </c>
      <c r="H936" s="24" t="n">
        <f aca="false">E936-G936</f>
        <v>324053.668341709</v>
      </c>
      <c r="I936" s="24" t="n">
        <f aca="false">I935+D936</f>
        <v>351020</v>
      </c>
      <c r="J936" s="16" t="n">
        <f aca="false">(H936+D936)*가정!$B$10</f>
        <v>324553.668341709</v>
      </c>
      <c r="K936" s="24" t="n">
        <f aca="false">A936*가정!$B$8*가정!$B$7</f>
        <v>4660</v>
      </c>
      <c r="L936" s="11" t="n">
        <f aca="false">C936+F936</f>
        <v>100</v>
      </c>
    </row>
    <row r="937" customFormat="false" ht="15" hidden="false" customHeight="false" outlineLevel="0" collapsed="false">
      <c r="A937" s="11" t="n">
        <v>933</v>
      </c>
      <c r="B937" s="11" t="n">
        <f aca="false">MATCH(A937,월별!$C$6:$C$41,1)</f>
        <v>31</v>
      </c>
      <c r="C937" s="11" t="n">
        <f aca="false">L936</f>
        <v>100</v>
      </c>
      <c r="D937" s="24" t="n">
        <f aca="false">C937*가정!$B$8</f>
        <v>500</v>
      </c>
      <c r="E937" s="24" t="n">
        <f aca="false">H936+D936</f>
        <v>324553.668341709</v>
      </c>
      <c r="F937" s="11" t="n">
        <f aca="false">IF(가정!$B$11=1,MAX(0,MIN(가정!$B$16-C937,INT(E937/가정!$B$17))),0)</f>
        <v>0</v>
      </c>
      <c r="G937" s="24" t="n">
        <f aca="false">F937*가정!$B$17</f>
        <v>0</v>
      </c>
      <c r="H937" s="24" t="n">
        <f aca="false">E937-G937</f>
        <v>324553.668341709</v>
      </c>
      <c r="I937" s="24" t="n">
        <f aca="false">I936+D937</f>
        <v>351520</v>
      </c>
      <c r="J937" s="16" t="n">
        <f aca="false">(H937+D937)*가정!$B$10</f>
        <v>325053.668341709</v>
      </c>
      <c r="K937" s="24" t="n">
        <f aca="false">A937*가정!$B$8*가정!$B$7</f>
        <v>4665</v>
      </c>
      <c r="L937" s="11" t="n">
        <f aca="false">C937+F937</f>
        <v>100</v>
      </c>
    </row>
    <row r="938" customFormat="false" ht="15" hidden="false" customHeight="false" outlineLevel="0" collapsed="false">
      <c r="A938" s="11" t="n">
        <v>934</v>
      </c>
      <c r="B938" s="11" t="n">
        <f aca="false">MATCH(A938,월별!$C$6:$C$41,1)</f>
        <v>31</v>
      </c>
      <c r="C938" s="11" t="n">
        <f aca="false">L937</f>
        <v>100</v>
      </c>
      <c r="D938" s="24" t="n">
        <f aca="false">C938*가정!$B$8</f>
        <v>500</v>
      </c>
      <c r="E938" s="24" t="n">
        <f aca="false">H937+D937</f>
        <v>325053.668341709</v>
      </c>
      <c r="F938" s="11" t="n">
        <f aca="false">IF(가정!$B$11=1,MAX(0,MIN(가정!$B$16-C938,INT(E938/가정!$B$17))),0)</f>
        <v>0</v>
      </c>
      <c r="G938" s="24" t="n">
        <f aca="false">F938*가정!$B$17</f>
        <v>0</v>
      </c>
      <c r="H938" s="24" t="n">
        <f aca="false">E938-G938</f>
        <v>325053.668341709</v>
      </c>
      <c r="I938" s="24" t="n">
        <f aca="false">I937+D938</f>
        <v>352020</v>
      </c>
      <c r="J938" s="16" t="n">
        <f aca="false">(H938+D938)*가정!$B$10</f>
        <v>325553.668341709</v>
      </c>
      <c r="K938" s="24" t="n">
        <f aca="false">A938*가정!$B$8*가정!$B$7</f>
        <v>4670</v>
      </c>
      <c r="L938" s="11" t="n">
        <f aca="false">C938+F938</f>
        <v>100</v>
      </c>
    </row>
    <row r="939" customFormat="false" ht="15" hidden="false" customHeight="false" outlineLevel="0" collapsed="false">
      <c r="A939" s="11" t="n">
        <v>935</v>
      </c>
      <c r="B939" s="11" t="n">
        <f aca="false">MATCH(A939,월별!$C$6:$C$41,1)</f>
        <v>31</v>
      </c>
      <c r="C939" s="11" t="n">
        <f aca="false">L938</f>
        <v>100</v>
      </c>
      <c r="D939" s="24" t="n">
        <f aca="false">C939*가정!$B$8</f>
        <v>500</v>
      </c>
      <c r="E939" s="24" t="n">
        <f aca="false">H938+D938</f>
        <v>325553.668341709</v>
      </c>
      <c r="F939" s="11" t="n">
        <f aca="false">IF(가정!$B$11=1,MAX(0,MIN(가정!$B$16-C939,INT(E939/가정!$B$17))),0)</f>
        <v>0</v>
      </c>
      <c r="G939" s="24" t="n">
        <f aca="false">F939*가정!$B$17</f>
        <v>0</v>
      </c>
      <c r="H939" s="24" t="n">
        <f aca="false">E939-G939</f>
        <v>325553.668341709</v>
      </c>
      <c r="I939" s="24" t="n">
        <f aca="false">I938+D939</f>
        <v>352520</v>
      </c>
      <c r="J939" s="16" t="n">
        <f aca="false">(H939+D939)*가정!$B$10</f>
        <v>326053.668341709</v>
      </c>
      <c r="K939" s="24" t="n">
        <f aca="false">A939*가정!$B$8*가정!$B$7</f>
        <v>4675</v>
      </c>
      <c r="L939" s="11" t="n">
        <f aca="false">C939+F939</f>
        <v>100</v>
      </c>
    </row>
    <row r="940" customFormat="false" ht="15" hidden="false" customHeight="false" outlineLevel="0" collapsed="false">
      <c r="A940" s="11" t="n">
        <v>936</v>
      </c>
      <c r="B940" s="11" t="n">
        <f aca="false">MATCH(A940,월별!$C$6:$C$41,1)</f>
        <v>31</v>
      </c>
      <c r="C940" s="11" t="n">
        <f aca="false">L939</f>
        <v>100</v>
      </c>
      <c r="D940" s="24" t="n">
        <f aca="false">C940*가정!$B$8</f>
        <v>500</v>
      </c>
      <c r="E940" s="24" t="n">
        <f aca="false">H939+D939</f>
        <v>326053.668341709</v>
      </c>
      <c r="F940" s="11" t="n">
        <f aca="false">IF(가정!$B$11=1,MAX(0,MIN(가정!$B$16-C940,INT(E940/가정!$B$17))),0)</f>
        <v>0</v>
      </c>
      <c r="G940" s="24" t="n">
        <f aca="false">F940*가정!$B$17</f>
        <v>0</v>
      </c>
      <c r="H940" s="24" t="n">
        <f aca="false">E940-G940</f>
        <v>326053.668341709</v>
      </c>
      <c r="I940" s="24" t="n">
        <f aca="false">I939+D940</f>
        <v>353020</v>
      </c>
      <c r="J940" s="16" t="n">
        <f aca="false">(H940+D940)*가정!$B$10</f>
        <v>326553.668341709</v>
      </c>
      <c r="K940" s="24" t="n">
        <f aca="false">A940*가정!$B$8*가정!$B$7</f>
        <v>4680</v>
      </c>
      <c r="L940" s="11" t="n">
        <f aca="false">C940+F940</f>
        <v>100</v>
      </c>
    </row>
    <row r="941" customFormat="false" ht="15" hidden="false" customHeight="false" outlineLevel="0" collapsed="false">
      <c r="A941" s="11" t="n">
        <v>937</v>
      </c>
      <c r="B941" s="11" t="n">
        <f aca="false">MATCH(A941,월별!$C$6:$C$41,1)</f>
        <v>31</v>
      </c>
      <c r="C941" s="11" t="n">
        <f aca="false">L940</f>
        <v>100</v>
      </c>
      <c r="D941" s="24" t="n">
        <f aca="false">C941*가정!$B$8</f>
        <v>500</v>
      </c>
      <c r="E941" s="24" t="n">
        <f aca="false">H940+D940</f>
        <v>326553.668341709</v>
      </c>
      <c r="F941" s="11" t="n">
        <f aca="false">IF(가정!$B$11=1,MAX(0,MIN(가정!$B$16-C941,INT(E941/가정!$B$17))),0)</f>
        <v>0</v>
      </c>
      <c r="G941" s="24" t="n">
        <f aca="false">F941*가정!$B$17</f>
        <v>0</v>
      </c>
      <c r="H941" s="24" t="n">
        <f aca="false">E941-G941</f>
        <v>326553.668341709</v>
      </c>
      <c r="I941" s="24" t="n">
        <f aca="false">I940+D941</f>
        <v>353520</v>
      </c>
      <c r="J941" s="16" t="n">
        <f aca="false">(H941+D941)*가정!$B$10</f>
        <v>327053.668341709</v>
      </c>
      <c r="K941" s="24" t="n">
        <f aca="false">A941*가정!$B$8*가정!$B$7</f>
        <v>4685</v>
      </c>
      <c r="L941" s="11" t="n">
        <f aca="false">C941+F941</f>
        <v>100</v>
      </c>
    </row>
    <row r="942" customFormat="false" ht="15" hidden="false" customHeight="false" outlineLevel="0" collapsed="false">
      <c r="A942" s="11" t="n">
        <v>938</v>
      </c>
      <c r="B942" s="11" t="n">
        <f aca="false">MATCH(A942,월별!$C$6:$C$41,1)</f>
        <v>31</v>
      </c>
      <c r="C942" s="11" t="n">
        <f aca="false">L941</f>
        <v>100</v>
      </c>
      <c r="D942" s="24" t="n">
        <f aca="false">C942*가정!$B$8</f>
        <v>500</v>
      </c>
      <c r="E942" s="24" t="n">
        <f aca="false">H941+D941</f>
        <v>327053.668341709</v>
      </c>
      <c r="F942" s="11" t="n">
        <f aca="false">IF(가정!$B$11=1,MAX(0,MIN(가정!$B$16-C942,INT(E942/가정!$B$17))),0)</f>
        <v>0</v>
      </c>
      <c r="G942" s="24" t="n">
        <f aca="false">F942*가정!$B$17</f>
        <v>0</v>
      </c>
      <c r="H942" s="24" t="n">
        <f aca="false">E942-G942</f>
        <v>327053.668341709</v>
      </c>
      <c r="I942" s="24" t="n">
        <f aca="false">I941+D942</f>
        <v>354020</v>
      </c>
      <c r="J942" s="16" t="n">
        <f aca="false">(H942+D942)*가정!$B$10</f>
        <v>327553.668341709</v>
      </c>
      <c r="K942" s="24" t="n">
        <f aca="false">A942*가정!$B$8*가정!$B$7</f>
        <v>4690</v>
      </c>
      <c r="L942" s="11" t="n">
        <f aca="false">C942+F942</f>
        <v>100</v>
      </c>
    </row>
    <row r="943" customFormat="false" ht="15" hidden="false" customHeight="false" outlineLevel="0" collapsed="false">
      <c r="A943" s="11" t="n">
        <v>939</v>
      </c>
      <c r="B943" s="11" t="n">
        <f aca="false">MATCH(A943,월별!$C$6:$C$41,1)</f>
        <v>31</v>
      </c>
      <c r="C943" s="11" t="n">
        <f aca="false">L942</f>
        <v>100</v>
      </c>
      <c r="D943" s="24" t="n">
        <f aca="false">C943*가정!$B$8</f>
        <v>500</v>
      </c>
      <c r="E943" s="24" t="n">
        <f aca="false">H942+D942</f>
        <v>327553.668341709</v>
      </c>
      <c r="F943" s="11" t="n">
        <f aca="false">IF(가정!$B$11=1,MAX(0,MIN(가정!$B$16-C943,INT(E943/가정!$B$17))),0)</f>
        <v>0</v>
      </c>
      <c r="G943" s="24" t="n">
        <f aca="false">F943*가정!$B$17</f>
        <v>0</v>
      </c>
      <c r="H943" s="24" t="n">
        <f aca="false">E943-G943</f>
        <v>327553.668341709</v>
      </c>
      <c r="I943" s="24" t="n">
        <f aca="false">I942+D943</f>
        <v>354520</v>
      </c>
      <c r="J943" s="16" t="n">
        <f aca="false">(H943+D943)*가정!$B$10</f>
        <v>328053.668341709</v>
      </c>
      <c r="K943" s="24" t="n">
        <f aca="false">A943*가정!$B$8*가정!$B$7</f>
        <v>4695</v>
      </c>
      <c r="L943" s="11" t="n">
        <f aca="false">C943+F943</f>
        <v>100</v>
      </c>
    </row>
    <row r="944" customFormat="false" ht="15" hidden="false" customHeight="false" outlineLevel="0" collapsed="false">
      <c r="A944" s="11" t="n">
        <v>940</v>
      </c>
      <c r="B944" s="11" t="n">
        <f aca="false">MATCH(A944,월별!$C$6:$C$41,1)</f>
        <v>31</v>
      </c>
      <c r="C944" s="11" t="n">
        <f aca="false">L943</f>
        <v>100</v>
      </c>
      <c r="D944" s="24" t="n">
        <f aca="false">C944*가정!$B$8</f>
        <v>500</v>
      </c>
      <c r="E944" s="24" t="n">
        <f aca="false">H943+D943</f>
        <v>328053.668341709</v>
      </c>
      <c r="F944" s="11" t="n">
        <f aca="false">IF(가정!$B$11=1,MAX(0,MIN(가정!$B$16-C944,INT(E944/가정!$B$17))),0)</f>
        <v>0</v>
      </c>
      <c r="G944" s="24" t="n">
        <f aca="false">F944*가정!$B$17</f>
        <v>0</v>
      </c>
      <c r="H944" s="24" t="n">
        <f aca="false">E944-G944</f>
        <v>328053.668341709</v>
      </c>
      <c r="I944" s="24" t="n">
        <f aca="false">I943+D944</f>
        <v>355020</v>
      </c>
      <c r="J944" s="16" t="n">
        <f aca="false">(H944+D944)*가정!$B$10</f>
        <v>328553.668341709</v>
      </c>
      <c r="K944" s="24" t="n">
        <f aca="false">A944*가정!$B$8*가정!$B$7</f>
        <v>4700</v>
      </c>
      <c r="L944" s="11" t="n">
        <f aca="false">C944+F944</f>
        <v>100</v>
      </c>
    </row>
    <row r="945" customFormat="false" ht="15" hidden="false" customHeight="false" outlineLevel="0" collapsed="false">
      <c r="A945" s="11" t="n">
        <v>941</v>
      </c>
      <c r="B945" s="11" t="n">
        <f aca="false">MATCH(A945,월별!$C$6:$C$41,1)</f>
        <v>31</v>
      </c>
      <c r="C945" s="11" t="n">
        <f aca="false">L944</f>
        <v>100</v>
      </c>
      <c r="D945" s="24" t="n">
        <f aca="false">C945*가정!$B$8</f>
        <v>500</v>
      </c>
      <c r="E945" s="24" t="n">
        <f aca="false">H944+D944</f>
        <v>328553.668341709</v>
      </c>
      <c r="F945" s="11" t="n">
        <f aca="false">IF(가정!$B$11=1,MAX(0,MIN(가정!$B$16-C945,INT(E945/가정!$B$17))),0)</f>
        <v>0</v>
      </c>
      <c r="G945" s="24" t="n">
        <f aca="false">F945*가정!$B$17</f>
        <v>0</v>
      </c>
      <c r="H945" s="24" t="n">
        <f aca="false">E945-G945</f>
        <v>328553.668341709</v>
      </c>
      <c r="I945" s="24" t="n">
        <f aca="false">I944+D945</f>
        <v>355520</v>
      </c>
      <c r="J945" s="16" t="n">
        <f aca="false">(H945+D945)*가정!$B$10</f>
        <v>329053.668341709</v>
      </c>
      <c r="K945" s="24" t="n">
        <f aca="false">A945*가정!$B$8*가정!$B$7</f>
        <v>4705</v>
      </c>
      <c r="L945" s="11" t="n">
        <f aca="false">C945+F945</f>
        <v>100</v>
      </c>
    </row>
    <row r="946" customFormat="false" ht="15" hidden="false" customHeight="false" outlineLevel="0" collapsed="false">
      <c r="A946" s="11" t="n">
        <v>942</v>
      </c>
      <c r="B946" s="11" t="n">
        <f aca="false">MATCH(A946,월별!$C$6:$C$41,1)</f>
        <v>31</v>
      </c>
      <c r="C946" s="11" t="n">
        <f aca="false">L945</f>
        <v>100</v>
      </c>
      <c r="D946" s="24" t="n">
        <f aca="false">C946*가정!$B$8</f>
        <v>500</v>
      </c>
      <c r="E946" s="24" t="n">
        <f aca="false">H945+D945</f>
        <v>329053.668341709</v>
      </c>
      <c r="F946" s="11" t="n">
        <f aca="false">IF(가정!$B$11=1,MAX(0,MIN(가정!$B$16-C946,INT(E946/가정!$B$17))),0)</f>
        <v>0</v>
      </c>
      <c r="G946" s="24" t="n">
        <f aca="false">F946*가정!$B$17</f>
        <v>0</v>
      </c>
      <c r="H946" s="24" t="n">
        <f aca="false">E946-G946</f>
        <v>329053.668341709</v>
      </c>
      <c r="I946" s="24" t="n">
        <f aca="false">I945+D946</f>
        <v>356020</v>
      </c>
      <c r="J946" s="16" t="n">
        <f aca="false">(H946+D946)*가정!$B$10</f>
        <v>329553.668341709</v>
      </c>
      <c r="K946" s="24" t="n">
        <f aca="false">A946*가정!$B$8*가정!$B$7</f>
        <v>4710</v>
      </c>
      <c r="L946" s="11" t="n">
        <f aca="false">C946+F946</f>
        <v>100</v>
      </c>
    </row>
    <row r="947" customFormat="false" ht="15" hidden="false" customHeight="false" outlineLevel="0" collapsed="false">
      <c r="A947" s="11" t="n">
        <v>943</v>
      </c>
      <c r="B947" s="11" t="n">
        <f aca="false">MATCH(A947,월별!$C$6:$C$41,1)</f>
        <v>31</v>
      </c>
      <c r="C947" s="11" t="n">
        <f aca="false">L946</f>
        <v>100</v>
      </c>
      <c r="D947" s="24" t="n">
        <f aca="false">C947*가정!$B$8</f>
        <v>500</v>
      </c>
      <c r="E947" s="24" t="n">
        <f aca="false">H946+D946</f>
        <v>329553.668341709</v>
      </c>
      <c r="F947" s="11" t="n">
        <f aca="false">IF(가정!$B$11=1,MAX(0,MIN(가정!$B$16-C947,INT(E947/가정!$B$17))),0)</f>
        <v>0</v>
      </c>
      <c r="G947" s="24" t="n">
        <f aca="false">F947*가정!$B$17</f>
        <v>0</v>
      </c>
      <c r="H947" s="24" t="n">
        <f aca="false">E947-G947</f>
        <v>329553.668341709</v>
      </c>
      <c r="I947" s="24" t="n">
        <f aca="false">I946+D947</f>
        <v>356520</v>
      </c>
      <c r="J947" s="16" t="n">
        <f aca="false">(H947+D947)*가정!$B$10</f>
        <v>330053.668341709</v>
      </c>
      <c r="K947" s="24" t="n">
        <f aca="false">A947*가정!$B$8*가정!$B$7</f>
        <v>4715</v>
      </c>
      <c r="L947" s="11" t="n">
        <f aca="false">C947+F947</f>
        <v>100</v>
      </c>
    </row>
    <row r="948" customFormat="false" ht="15" hidden="false" customHeight="false" outlineLevel="0" collapsed="false">
      <c r="A948" s="11" t="n">
        <v>944</v>
      </c>
      <c r="B948" s="11" t="n">
        <f aca="false">MATCH(A948,월별!$C$6:$C$41,1)</f>
        <v>32</v>
      </c>
      <c r="C948" s="11" t="n">
        <f aca="false">L947</f>
        <v>100</v>
      </c>
      <c r="D948" s="24" t="n">
        <f aca="false">C948*가정!$B$8</f>
        <v>500</v>
      </c>
      <c r="E948" s="24" t="n">
        <f aca="false">H947+D947</f>
        <v>330053.668341709</v>
      </c>
      <c r="F948" s="11" t="n">
        <f aca="false">IF(가정!$B$11=1,MAX(0,MIN(가정!$B$16-C948,INT(E948/가정!$B$17))),0)</f>
        <v>0</v>
      </c>
      <c r="G948" s="24" t="n">
        <f aca="false">F948*가정!$B$17</f>
        <v>0</v>
      </c>
      <c r="H948" s="24" t="n">
        <f aca="false">E948-G948</f>
        <v>330053.668341709</v>
      </c>
      <c r="I948" s="24" t="n">
        <f aca="false">I947+D948</f>
        <v>357020</v>
      </c>
      <c r="J948" s="16" t="n">
        <f aca="false">(H948+D948)*가정!$B$10</f>
        <v>330553.668341709</v>
      </c>
      <c r="K948" s="24" t="n">
        <f aca="false">A948*가정!$B$8*가정!$B$7</f>
        <v>4720</v>
      </c>
      <c r="L948" s="11" t="n">
        <f aca="false">C948+F948</f>
        <v>100</v>
      </c>
    </row>
    <row r="949" customFormat="false" ht="15" hidden="false" customHeight="false" outlineLevel="0" collapsed="false">
      <c r="A949" s="11" t="n">
        <v>945</v>
      </c>
      <c r="B949" s="11" t="n">
        <f aca="false">MATCH(A949,월별!$C$6:$C$41,1)</f>
        <v>32</v>
      </c>
      <c r="C949" s="11" t="n">
        <f aca="false">L948</f>
        <v>100</v>
      </c>
      <c r="D949" s="24" t="n">
        <f aca="false">C949*가정!$B$8</f>
        <v>500</v>
      </c>
      <c r="E949" s="24" t="n">
        <f aca="false">H948+D948</f>
        <v>330553.668341709</v>
      </c>
      <c r="F949" s="11" t="n">
        <f aca="false">IF(가정!$B$11=1,MAX(0,MIN(가정!$B$16-C949,INT(E949/가정!$B$17))),0)</f>
        <v>0</v>
      </c>
      <c r="G949" s="24" t="n">
        <f aca="false">F949*가정!$B$17</f>
        <v>0</v>
      </c>
      <c r="H949" s="24" t="n">
        <f aca="false">E949-G949</f>
        <v>330553.668341709</v>
      </c>
      <c r="I949" s="24" t="n">
        <f aca="false">I948+D949</f>
        <v>357520</v>
      </c>
      <c r="J949" s="16" t="n">
        <f aca="false">(H949+D949)*가정!$B$10</f>
        <v>331053.668341709</v>
      </c>
      <c r="K949" s="24" t="n">
        <f aca="false">A949*가정!$B$8*가정!$B$7</f>
        <v>4725</v>
      </c>
      <c r="L949" s="11" t="n">
        <f aca="false">C949+F949</f>
        <v>100</v>
      </c>
    </row>
    <row r="950" customFormat="false" ht="15" hidden="false" customHeight="false" outlineLevel="0" collapsed="false">
      <c r="A950" s="11" t="n">
        <v>946</v>
      </c>
      <c r="B950" s="11" t="n">
        <f aca="false">MATCH(A950,월별!$C$6:$C$41,1)</f>
        <v>32</v>
      </c>
      <c r="C950" s="11" t="n">
        <f aca="false">L949</f>
        <v>100</v>
      </c>
      <c r="D950" s="24" t="n">
        <f aca="false">C950*가정!$B$8</f>
        <v>500</v>
      </c>
      <c r="E950" s="24" t="n">
        <f aca="false">H949+D949</f>
        <v>331053.668341709</v>
      </c>
      <c r="F950" s="11" t="n">
        <f aca="false">IF(가정!$B$11=1,MAX(0,MIN(가정!$B$16-C950,INT(E950/가정!$B$17))),0)</f>
        <v>0</v>
      </c>
      <c r="G950" s="24" t="n">
        <f aca="false">F950*가정!$B$17</f>
        <v>0</v>
      </c>
      <c r="H950" s="24" t="n">
        <f aca="false">E950-G950</f>
        <v>331053.668341709</v>
      </c>
      <c r="I950" s="24" t="n">
        <f aca="false">I949+D950</f>
        <v>358020</v>
      </c>
      <c r="J950" s="16" t="n">
        <f aca="false">(H950+D950)*가정!$B$10</f>
        <v>331553.668341709</v>
      </c>
      <c r="K950" s="24" t="n">
        <f aca="false">A950*가정!$B$8*가정!$B$7</f>
        <v>4730</v>
      </c>
      <c r="L950" s="11" t="n">
        <f aca="false">C950+F950</f>
        <v>100</v>
      </c>
    </row>
    <row r="951" customFormat="false" ht="15" hidden="false" customHeight="false" outlineLevel="0" collapsed="false">
      <c r="A951" s="11" t="n">
        <v>947</v>
      </c>
      <c r="B951" s="11" t="n">
        <f aca="false">MATCH(A951,월별!$C$6:$C$41,1)</f>
        <v>32</v>
      </c>
      <c r="C951" s="11" t="n">
        <f aca="false">L950</f>
        <v>100</v>
      </c>
      <c r="D951" s="24" t="n">
        <f aca="false">C951*가정!$B$8</f>
        <v>500</v>
      </c>
      <c r="E951" s="24" t="n">
        <f aca="false">H950+D950</f>
        <v>331553.668341709</v>
      </c>
      <c r="F951" s="11" t="n">
        <f aca="false">IF(가정!$B$11=1,MAX(0,MIN(가정!$B$16-C951,INT(E951/가정!$B$17))),0)</f>
        <v>0</v>
      </c>
      <c r="G951" s="24" t="n">
        <f aca="false">F951*가정!$B$17</f>
        <v>0</v>
      </c>
      <c r="H951" s="24" t="n">
        <f aca="false">E951-G951</f>
        <v>331553.668341709</v>
      </c>
      <c r="I951" s="24" t="n">
        <f aca="false">I950+D951</f>
        <v>358520</v>
      </c>
      <c r="J951" s="16" t="n">
        <f aca="false">(H951+D951)*가정!$B$10</f>
        <v>332053.668341709</v>
      </c>
      <c r="K951" s="24" t="n">
        <f aca="false">A951*가정!$B$8*가정!$B$7</f>
        <v>4735</v>
      </c>
      <c r="L951" s="11" t="n">
        <f aca="false">C951+F951</f>
        <v>100</v>
      </c>
    </row>
    <row r="952" customFormat="false" ht="15" hidden="false" customHeight="false" outlineLevel="0" collapsed="false">
      <c r="A952" s="11" t="n">
        <v>948</v>
      </c>
      <c r="B952" s="11" t="n">
        <f aca="false">MATCH(A952,월별!$C$6:$C$41,1)</f>
        <v>32</v>
      </c>
      <c r="C952" s="11" t="n">
        <f aca="false">L951</f>
        <v>100</v>
      </c>
      <c r="D952" s="24" t="n">
        <f aca="false">C952*가정!$B$8</f>
        <v>500</v>
      </c>
      <c r="E952" s="24" t="n">
        <f aca="false">H951+D951</f>
        <v>332053.668341709</v>
      </c>
      <c r="F952" s="11" t="n">
        <f aca="false">IF(가정!$B$11=1,MAX(0,MIN(가정!$B$16-C952,INT(E952/가정!$B$17))),0)</f>
        <v>0</v>
      </c>
      <c r="G952" s="24" t="n">
        <f aca="false">F952*가정!$B$17</f>
        <v>0</v>
      </c>
      <c r="H952" s="24" t="n">
        <f aca="false">E952-G952</f>
        <v>332053.668341709</v>
      </c>
      <c r="I952" s="24" t="n">
        <f aca="false">I951+D952</f>
        <v>359020</v>
      </c>
      <c r="J952" s="16" t="n">
        <f aca="false">(H952+D952)*가정!$B$10</f>
        <v>332553.668341709</v>
      </c>
      <c r="K952" s="24" t="n">
        <f aca="false">A952*가정!$B$8*가정!$B$7</f>
        <v>4740</v>
      </c>
      <c r="L952" s="11" t="n">
        <f aca="false">C952+F952</f>
        <v>100</v>
      </c>
    </row>
    <row r="953" customFormat="false" ht="15" hidden="false" customHeight="false" outlineLevel="0" collapsed="false">
      <c r="A953" s="11" t="n">
        <v>949</v>
      </c>
      <c r="B953" s="11" t="n">
        <f aca="false">MATCH(A953,월별!$C$6:$C$41,1)</f>
        <v>32</v>
      </c>
      <c r="C953" s="11" t="n">
        <f aca="false">L952</f>
        <v>100</v>
      </c>
      <c r="D953" s="24" t="n">
        <f aca="false">C953*가정!$B$8</f>
        <v>500</v>
      </c>
      <c r="E953" s="24" t="n">
        <f aca="false">H952+D952</f>
        <v>332553.668341709</v>
      </c>
      <c r="F953" s="11" t="n">
        <f aca="false">IF(가정!$B$11=1,MAX(0,MIN(가정!$B$16-C953,INT(E953/가정!$B$17))),0)</f>
        <v>0</v>
      </c>
      <c r="G953" s="24" t="n">
        <f aca="false">F953*가정!$B$17</f>
        <v>0</v>
      </c>
      <c r="H953" s="24" t="n">
        <f aca="false">E953-G953</f>
        <v>332553.668341709</v>
      </c>
      <c r="I953" s="24" t="n">
        <f aca="false">I952+D953</f>
        <v>359520</v>
      </c>
      <c r="J953" s="16" t="n">
        <f aca="false">(H953+D953)*가정!$B$10</f>
        <v>333053.668341709</v>
      </c>
      <c r="K953" s="24" t="n">
        <f aca="false">A953*가정!$B$8*가정!$B$7</f>
        <v>4745</v>
      </c>
      <c r="L953" s="11" t="n">
        <f aca="false">C953+F953</f>
        <v>100</v>
      </c>
    </row>
    <row r="954" customFormat="false" ht="15" hidden="false" customHeight="false" outlineLevel="0" collapsed="false">
      <c r="A954" s="11" t="n">
        <v>950</v>
      </c>
      <c r="B954" s="11" t="n">
        <f aca="false">MATCH(A954,월별!$C$6:$C$41,1)</f>
        <v>32</v>
      </c>
      <c r="C954" s="11" t="n">
        <f aca="false">L953</f>
        <v>100</v>
      </c>
      <c r="D954" s="24" t="n">
        <f aca="false">C954*가정!$B$8</f>
        <v>500</v>
      </c>
      <c r="E954" s="24" t="n">
        <f aca="false">H953+D953</f>
        <v>333053.668341709</v>
      </c>
      <c r="F954" s="11" t="n">
        <f aca="false">IF(가정!$B$11=1,MAX(0,MIN(가정!$B$16-C954,INT(E954/가정!$B$17))),0)</f>
        <v>0</v>
      </c>
      <c r="G954" s="24" t="n">
        <f aca="false">F954*가정!$B$17</f>
        <v>0</v>
      </c>
      <c r="H954" s="24" t="n">
        <f aca="false">E954-G954</f>
        <v>333053.668341709</v>
      </c>
      <c r="I954" s="24" t="n">
        <f aca="false">I953+D954</f>
        <v>360020</v>
      </c>
      <c r="J954" s="16" t="n">
        <f aca="false">(H954+D954)*가정!$B$10</f>
        <v>333553.668341709</v>
      </c>
      <c r="K954" s="24" t="n">
        <f aca="false">A954*가정!$B$8*가정!$B$7</f>
        <v>4750</v>
      </c>
      <c r="L954" s="11" t="n">
        <f aca="false">C954+F954</f>
        <v>100</v>
      </c>
    </row>
    <row r="955" customFormat="false" ht="15" hidden="false" customHeight="false" outlineLevel="0" collapsed="false">
      <c r="A955" s="11" t="n">
        <v>951</v>
      </c>
      <c r="B955" s="11" t="n">
        <f aca="false">MATCH(A955,월별!$C$6:$C$41,1)</f>
        <v>32</v>
      </c>
      <c r="C955" s="11" t="n">
        <f aca="false">L954</f>
        <v>100</v>
      </c>
      <c r="D955" s="24" t="n">
        <f aca="false">C955*가정!$B$8</f>
        <v>500</v>
      </c>
      <c r="E955" s="24" t="n">
        <f aca="false">H954+D954</f>
        <v>333553.668341709</v>
      </c>
      <c r="F955" s="11" t="n">
        <f aca="false">IF(가정!$B$11=1,MAX(0,MIN(가정!$B$16-C955,INT(E955/가정!$B$17))),0)</f>
        <v>0</v>
      </c>
      <c r="G955" s="24" t="n">
        <f aca="false">F955*가정!$B$17</f>
        <v>0</v>
      </c>
      <c r="H955" s="24" t="n">
        <f aca="false">E955-G955</f>
        <v>333553.668341709</v>
      </c>
      <c r="I955" s="24" t="n">
        <f aca="false">I954+D955</f>
        <v>360520</v>
      </c>
      <c r="J955" s="16" t="n">
        <f aca="false">(H955+D955)*가정!$B$10</f>
        <v>334053.668341709</v>
      </c>
      <c r="K955" s="24" t="n">
        <f aca="false">A955*가정!$B$8*가정!$B$7</f>
        <v>4755</v>
      </c>
      <c r="L955" s="11" t="n">
        <f aca="false">C955+F955</f>
        <v>100</v>
      </c>
    </row>
    <row r="956" customFormat="false" ht="15" hidden="false" customHeight="false" outlineLevel="0" collapsed="false">
      <c r="A956" s="11" t="n">
        <v>952</v>
      </c>
      <c r="B956" s="11" t="n">
        <f aca="false">MATCH(A956,월별!$C$6:$C$41,1)</f>
        <v>32</v>
      </c>
      <c r="C956" s="11" t="n">
        <f aca="false">L955</f>
        <v>100</v>
      </c>
      <c r="D956" s="24" t="n">
        <f aca="false">C956*가정!$B$8</f>
        <v>500</v>
      </c>
      <c r="E956" s="24" t="n">
        <f aca="false">H955+D955</f>
        <v>334053.668341709</v>
      </c>
      <c r="F956" s="11" t="n">
        <f aca="false">IF(가정!$B$11=1,MAX(0,MIN(가정!$B$16-C956,INT(E956/가정!$B$17))),0)</f>
        <v>0</v>
      </c>
      <c r="G956" s="24" t="n">
        <f aca="false">F956*가정!$B$17</f>
        <v>0</v>
      </c>
      <c r="H956" s="24" t="n">
        <f aca="false">E956-G956</f>
        <v>334053.668341709</v>
      </c>
      <c r="I956" s="24" t="n">
        <f aca="false">I955+D956</f>
        <v>361020</v>
      </c>
      <c r="J956" s="16" t="n">
        <f aca="false">(H956+D956)*가정!$B$10</f>
        <v>334553.668341709</v>
      </c>
      <c r="K956" s="24" t="n">
        <f aca="false">A956*가정!$B$8*가정!$B$7</f>
        <v>4760</v>
      </c>
      <c r="L956" s="11" t="n">
        <f aca="false">C956+F956</f>
        <v>100</v>
      </c>
    </row>
    <row r="957" customFormat="false" ht="15" hidden="false" customHeight="false" outlineLevel="0" collapsed="false">
      <c r="A957" s="11" t="n">
        <v>953</v>
      </c>
      <c r="B957" s="11" t="n">
        <f aca="false">MATCH(A957,월별!$C$6:$C$41,1)</f>
        <v>32</v>
      </c>
      <c r="C957" s="11" t="n">
        <f aca="false">L956</f>
        <v>100</v>
      </c>
      <c r="D957" s="24" t="n">
        <f aca="false">C957*가정!$B$8</f>
        <v>500</v>
      </c>
      <c r="E957" s="24" t="n">
        <f aca="false">H956+D956</f>
        <v>334553.668341709</v>
      </c>
      <c r="F957" s="11" t="n">
        <f aca="false">IF(가정!$B$11=1,MAX(0,MIN(가정!$B$16-C957,INT(E957/가정!$B$17))),0)</f>
        <v>0</v>
      </c>
      <c r="G957" s="24" t="n">
        <f aca="false">F957*가정!$B$17</f>
        <v>0</v>
      </c>
      <c r="H957" s="24" t="n">
        <f aca="false">E957-G957</f>
        <v>334553.668341709</v>
      </c>
      <c r="I957" s="24" t="n">
        <f aca="false">I956+D957</f>
        <v>361520</v>
      </c>
      <c r="J957" s="16" t="n">
        <f aca="false">(H957+D957)*가정!$B$10</f>
        <v>335053.668341709</v>
      </c>
      <c r="K957" s="24" t="n">
        <f aca="false">A957*가정!$B$8*가정!$B$7</f>
        <v>4765</v>
      </c>
      <c r="L957" s="11" t="n">
        <f aca="false">C957+F957</f>
        <v>100</v>
      </c>
    </row>
    <row r="958" customFormat="false" ht="15" hidden="false" customHeight="false" outlineLevel="0" collapsed="false">
      <c r="A958" s="11" t="n">
        <v>954</v>
      </c>
      <c r="B958" s="11" t="n">
        <f aca="false">MATCH(A958,월별!$C$6:$C$41,1)</f>
        <v>32</v>
      </c>
      <c r="C958" s="11" t="n">
        <f aca="false">L957</f>
        <v>100</v>
      </c>
      <c r="D958" s="24" t="n">
        <f aca="false">C958*가정!$B$8</f>
        <v>500</v>
      </c>
      <c r="E958" s="24" t="n">
        <f aca="false">H957+D957</f>
        <v>335053.668341709</v>
      </c>
      <c r="F958" s="11" t="n">
        <f aca="false">IF(가정!$B$11=1,MAX(0,MIN(가정!$B$16-C958,INT(E958/가정!$B$17))),0)</f>
        <v>0</v>
      </c>
      <c r="G958" s="24" t="n">
        <f aca="false">F958*가정!$B$17</f>
        <v>0</v>
      </c>
      <c r="H958" s="24" t="n">
        <f aca="false">E958-G958</f>
        <v>335053.668341709</v>
      </c>
      <c r="I958" s="24" t="n">
        <f aca="false">I957+D958</f>
        <v>362020</v>
      </c>
      <c r="J958" s="16" t="n">
        <f aca="false">(H958+D958)*가정!$B$10</f>
        <v>335553.668341709</v>
      </c>
      <c r="K958" s="24" t="n">
        <f aca="false">A958*가정!$B$8*가정!$B$7</f>
        <v>4770</v>
      </c>
      <c r="L958" s="11" t="n">
        <f aca="false">C958+F958</f>
        <v>100</v>
      </c>
    </row>
    <row r="959" customFormat="false" ht="15" hidden="false" customHeight="false" outlineLevel="0" collapsed="false">
      <c r="A959" s="11" t="n">
        <v>955</v>
      </c>
      <c r="B959" s="11" t="n">
        <f aca="false">MATCH(A959,월별!$C$6:$C$41,1)</f>
        <v>32</v>
      </c>
      <c r="C959" s="11" t="n">
        <f aca="false">L958</f>
        <v>100</v>
      </c>
      <c r="D959" s="24" t="n">
        <f aca="false">C959*가정!$B$8</f>
        <v>500</v>
      </c>
      <c r="E959" s="24" t="n">
        <f aca="false">H958+D958</f>
        <v>335553.668341709</v>
      </c>
      <c r="F959" s="11" t="n">
        <f aca="false">IF(가정!$B$11=1,MAX(0,MIN(가정!$B$16-C959,INT(E959/가정!$B$17))),0)</f>
        <v>0</v>
      </c>
      <c r="G959" s="24" t="n">
        <f aca="false">F959*가정!$B$17</f>
        <v>0</v>
      </c>
      <c r="H959" s="24" t="n">
        <f aca="false">E959-G959</f>
        <v>335553.668341709</v>
      </c>
      <c r="I959" s="24" t="n">
        <f aca="false">I958+D959</f>
        <v>362520</v>
      </c>
      <c r="J959" s="16" t="n">
        <f aca="false">(H959+D959)*가정!$B$10</f>
        <v>336053.668341709</v>
      </c>
      <c r="K959" s="24" t="n">
        <f aca="false">A959*가정!$B$8*가정!$B$7</f>
        <v>4775</v>
      </c>
      <c r="L959" s="11" t="n">
        <f aca="false">C959+F959</f>
        <v>100</v>
      </c>
    </row>
    <row r="960" customFormat="false" ht="15" hidden="false" customHeight="false" outlineLevel="0" collapsed="false">
      <c r="A960" s="11" t="n">
        <v>956</v>
      </c>
      <c r="B960" s="11" t="n">
        <f aca="false">MATCH(A960,월별!$C$6:$C$41,1)</f>
        <v>32</v>
      </c>
      <c r="C960" s="11" t="n">
        <f aca="false">L959</f>
        <v>100</v>
      </c>
      <c r="D960" s="24" t="n">
        <f aca="false">C960*가정!$B$8</f>
        <v>500</v>
      </c>
      <c r="E960" s="24" t="n">
        <f aca="false">H959+D959</f>
        <v>336053.668341709</v>
      </c>
      <c r="F960" s="11" t="n">
        <f aca="false">IF(가정!$B$11=1,MAX(0,MIN(가정!$B$16-C960,INT(E960/가정!$B$17))),0)</f>
        <v>0</v>
      </c>
      <c r="G960" s="24" t="n">
        <f aca="false">F960*가정!$B$17</f>
        <v>0</v>
      </c>
      <c r="H960" s="24" t="n">
        <f aca="false">E960-G960</f>
        <v>336053.668341709</v>
      </c>
      <c r="I960" s="24" t="n">
        <f aca="false">I959+D960</f>
        <v>363020</v>
      </c>
      <c r="J960" s="16" t="n">
        <f aca="false">(H960+D960)*가정!$B$10</f>
        <v>336553.668341709</v>
      </c>
      <c r="K960" s="24" t="n">
        <f aca="false">A960*가정!$B$8*가정!$B$7</f>
        <v>4780</v>
      </c>
      <c r="L960" s="11" t="n">
        <f aca="false">C960+F960</f>
        <v>100</v>
      </c>
    </row>
    <row r="961" customFormat="false" ht="15" hidden="false" customHeight="false" outlineLevel="0" collapsed="false">
      <c r="A961" s="11" t="n">
        <v>957</v>
      </c>
      <c r="B961" s="11" t="n">
        <f aca="false">MATCH(A961,월별!$C$6:$C$41,1)</f>
        <v>32</v>
      </c>
      <c r="C961" s="11" t="n">
        <f aca="false">L960</f>
        <v>100</v>
      </c>
      <c r="D961" s="24" t="n">
        <f aca="false">C961*가정!$B$8</f>
        <v>500</v>
      </c>
      <c r="E961" s="24" t="n">
        <f aca="false">H960+D960</f>
        <v>336553.668341709</v>
      </c>
      <c r="F961" s="11" t="n">
        <f aca="false">IF(가정!$B$11=1,MAX(0,MIN(가정!$B$16-C961,INT(E961/가정!$B$17))),0)</f>
        <v>0</v>
      </c>
      <c r="G961" s="24" t="n">
        <f aca="false">F961*가정!$B$17</f>
        <v>0</v>
      </c>
      <c r="H961" s="24" t="n">
        <f aca="false">E961-G961</f>
        <v>336553.668341709</v>
      </c>
      <c r="I961" s="24" t="n">
        <f aca="false">I960+D961</f>
        <v>363520</v>
      </c>
      <c r="J961" s="16" t="n">
        <f aca="false">(H961+D961)*가정!$B$10</f>
        <v>337053.668341709</v>
      </c>
      <c r="K961" s="24" t="n">
        <f aca="false">A961*가정!$B$8*가정!$B$7</f>
        <v>4785</v>
      </c>
      <c r="L961" s="11" t="n">
        <f aca="false">C961+F961</f>
        <v>100</v>
      </c>
    </row>
    <row r="962" customFormat="false" ht="15" hidden="false" customHeight="false" outlineLevel="0" collapsed="false">
      <c r="A962" s="11" t="n">
        <v>958</v>
      </c>
      <c r="B962" s="11" t="n">
        <f aca="false">MATCH(A962,월별!$C$6:$C$41,1)</f>
        <v>32</v>
      </c>
      <c r="C962" s="11" t="n">
        <f aca="false">L961</f>
        <v>100</v>
      </c>
      <c r="D962" s="24" t="n">
        <f aca="false">C962*가정!$B$8</f>
        <v>500</v>
      </c>
      <c r="E962" s="24" t="n">
        <f aca="false">H961+D961</f>
        <v>337053.668341709</v>
      </c>
      <c r="F962" s="11" t="n">
        <f aca="false">IF(가정!$B$11=1,MAX(0,MIN(가정!$B$16-C962,INT(E962/가정!$B$17))),0)</f>
        <v>0</v>
      </c>
      <c r="G962" s="24" t="n">
        <f aca="false">F962*가정!$B$17</f>
        <v>0</v>
      </c>
      <c r="H962" s="24" t="n">
        <f aca="false">E962-G962</f>
        <v>337053.668341709</v>
      </c>
      <c r="I962" s="24" t="n">
        <f aca="false">I961+D962</f>
        <v>364020</v>
      </c>
      <c r="J962" s="16" t="n">
        <f aca="false">(H962+D962)*가정!$B$10</f>
        <v>337553.668341709</v>
      </c>
      <c r="K962" s="24" t="n">
        <f aca="false">A962*가정!$B$8*가정!$B$7</f>
        <v>4790</v>
      </c>
      <c r="L962" s="11" t="n">
        <f aca="false">C962+F962</f>
        <v>100</v>
      </c>
    </row>
    <row r="963" customFormat="false" ht="15" hidden="false" customHeight="false" outlineLevel="0" collapsed="false">
      <c r="A963" s="11" t="n">
        <v>959</v>
      </c>
      <c r="B963" s="11" t="n">
        <f aca="false">MATCH(A963,월별!$C$6:$C$41,1)</f>
        <v>32</v>
      </c>
      <c r="C963" s="11" t="n">
        <f aca="false">L962</f>
        <v>100</v>
      </c>
      <c r="D963" s="24" t="n">
        <f aca="false">C963*가정!$B$8</f>
        <v>500</v>
      </c>
      <c r="E963" s="24" t="n">
        <f aca="false">H962+D962</f>
        <v>337553.668341709</v>
      </c>
      <c r="F963" s="11" t="n">
        <f aca="false">IF(가정!$B$11=1,MAX(0,MIN(가정!$B$16-C963,INT(E963/가정!$B$17))),0)</f>
        <v>0</v>
      </c>
      <c r="G963" s="24" t="n">
        <f aca="false">F963*가정!$B$17</f>
        <v>0</v>
      </c>
      <c r="H963" s="24" t="n">
        <f aca="false">E963-G963</f>
        <v>337553.668341709</v>
      </c>
      <c r="I963" s="24" t="n">
        <f aca="false">I962+D963</f>
        <v>364520</v>
      </c>
      <c r="J963" s="16" t="n">
        <f aca="false">(H963+D963)*가정!$B$10</f>
        <v>338053.668341709</v>
      </c>
      <c r="K963" s="24" t="n">
        <f aca="false">A963*가정!$B$8*가정!$B$7</f>
        <v>4795</v>
      </c>
      <c r="L963" s="11" t="n">
        <f aca="false">C963+F963</f>
        <v>100</v>
      </c>
    </row>
    <row r="964" customFormat="false" ht="15" hidden="false" customHeight="false" outlineLevel="0" collapsed="false">
      <c r="A964" s="11" t="n">
        <v>960</v>
      </c>
      <c r="B964" s="11" t="n">
        <f aca="false">MATCH(A964,월별!$C$6:$C$41,1)</f>
        <v>32</v>
      </c>
      <c r="C964" s="11" t="n">
        <f aca="false">L963</f>
        <v>100</v>
      </c>
      <c r="D964" s="24" t="n">
        <f aca="false">C964*가정!$B$8</f>
        <v>500</v>
      </c>
      <c r="E964" s="24" t="n">
        <f aca="false">H963+D963</f>
        <v>338053.668341709</v>
      </c>
      <c r="F964" s="11" t="n">
        <f aca="false">IF(가정!$B$11=1,MAX(0,MIN(가정!$B$16-C964,INT(E964/가정!$B$17))),0)</f>
        <v>0</v>
      </c>
      <c r="G964" s="24" t="n">
        <f aca="false">F964*가정!$B$17</f>
        <v>0</v>
      </c>
      <c r="H964" s="24" t="n">
        <f aca="false">E964-G964</f>
        <v>338053.668341709</v>
      </c>
      <c r="I964" s="24" t="n">
        <f aca="false">I963+D964</f>
        <v>365020</v>
      </c>
      <c r="J964" s="16" t="n">
        <f aca="false">(H964+D964)*가정!$B$10</f>
        <v>338553.668341709</v>
      </c>
      <c r="K964" s="24" t="n">
        <f aca="false">A964*가정!$B$8*가정!$B$7</f>
        <v>4800</v>
      </c>
      <c r="L964" s="11" t="n">
        <f aca="false">C964+F964</f>
        <v>100</v>
      </c>
    </row>
    <row r="965" customFormat="false" ht="15" hidden="false" customHeight="false" outlineLevel="0" collapsed="false">
      <c r="A965" s="11" t="n">
        <v>961</v>
      </c>
      <c r="B965" s="11" t="n">
        <f aca="false">MATCH(A965,월별!$C$6:$C$41,1)</f>
        <v>32</v>
      </c>
      <c r="C965" s="11" t="n">
        <f aca="false">L964</f>
        <v>100</v>
      </c>
      <c r="D965" s="24" t="n">
        <f aca="false">C965*가정!$B$8</f>
        <v>500</v>
      </c>
      <c r="E965" s="24" t="n">
        <f aca="false">H964+D964</f>
        <v>338553.668341709</v>
      </c>
      <c r="F965" s="11" t="n">
        <f aca="false">IF(가정!$B$11=1,MAX(0,MIN(가정!$B$16-C965,INT(E965/가정!$B$17))),0)</f>
        <v>0</v>
      </c>
      <c r="G965" s="24" t="n">
        <f aca="false">F965*가정!$B$17</f>
        <v>0</v>
      </c>
      <c r="H965" s="24" t="n">
        <f aca="false">E965-G965</f>
        <v>338553.668341709</v>
      </c>
      <c r="I965" s="24" t="n">
        <f aca="false">I964+D965</f>
        <v>365520</v>
      </c>
      <c r="J965" s="16" t="n">
        <f aca="false">(H965+D965)*가정!$B$10</f>
        <v>339053.668341709</v>
      </c>
      <c r="K965" s="24" t="n">
        <f aca="false">A965*가정!$B$8*가정!$B$7</f>
        <v>4805</v>
      </c>
      <c r="L965" s="11" t="n">
        <f aca="false">C965+F965</f>
        <v>100</v>
      </c>
    </row>
    <row r="966" customFormat="false" ht="15" hidden="false" customHeight="false" outlineLevel="0" collapsed="false">
      <c r="A966" s="11" t="n">
        <v>962</v>
      </c>
      <c r="B966" s="11" t="n">
        <f aca="false">MATCH(A966,월별!$C$6:$C$41,1)</f>
        <v>32</v>
      </c>
      <c r="C966" s="11" t="n">
        <f aca="false">L965</f>
        <v>100</v>
      </c>
      <c r="D966" s="24" t="n">
        <f aca="false">C966*가정!$B$8</f>
        <v>500</v>
      </c>
      <c r="E966" s="24" t="n">
        <f aca="false">H965+D965</f>
        <v>339053.668341709</v>
      </c>
      <c r="F966" s="11" t="n">
        <f aca="false">IF(가정!$B$11=1,MAX(0,MIN(가정!$B$16-C966,INT(E966/가정!$B$17))),0)</f>
        <v>0</v>
      </c>
      <c r="G966" s="24" t="n">
        <f aca="false">F966*가정!$B$17</f>
        <v>0</v>
      </c>
      <c r="H966" s="24" t="n">
        <f aca="false">E966-G966</f>
        <v>339053.668341709</v>
      </c>
      <c r="I966" s="24" t="n">
        <f aca="false">I965+D966</f>
        <v>366020</v>
      </c>
      <c r="J966" s="16" t="n">
        <f aca="false">(H966+D966)*가정!$B$10</f>
        <v>339553.668341709</v>
      </c>
      <c r="K966" s="24" t="n">
        <f aca="false">A966*가정!$B$8*가정!$B$7</f>
        <v>4810</v>
      </c>
      <c r="L966" s="11" t="n">
        <f aca="false">C966+F966</f>
        <v>100</v>
      </c>
    </row>
    <row r="967" customFormat="false" ht="15" hidden="false" customHeight="false" outlineLevel="0" collapsed="false">
      <c r="A967" s="11" t="n">
        <v>963</v>
      </c>
      <c r="B967" s="11" t="n">
        <f aca="false">MATCH(A967,월별!$C$6:$C$41,1)</f>
        <v>32</v>
      </c>
      <c r="C967" s="11" t="n">
        <f aca="false">L966</f>
        <v>100</v>
      </c>
      <c r="D967" s="24" t="n">
        <f aca="false">C967*가정!$B$8</f>
        <v>500</v>
      </c>
      <c r="E967" s="24" t="n">
        <f aca="false">H966+D966</f>
        <v>339553.668341709</v>
      </c>
      <c r="F967" s="11" t="n">
        <f aca="false">IF(가정!$B$11=1,MAX(0,MIN(가정!$B$16-C967,INT(E967/가정!$B$17))),0)</f>
        <v>0</v>
      </c>
      <c r="G967" s="24" t="n">
        <f aca="false">F967*가정!$B$17</f>
        <v>0</v>
      </c>
      <c r="H967" s="24" t="n">
        <f aca="false">E967-G967</f>
        <v>339553.668341709</v>
      </c>
      <c r="I967" s="24" t="n">
        <f aca="false">I966+D967</f>
        <v>366520</v>
      </c>
      <c r="J967" s="16" t="n">
        <f aca="false">(H967+D967)*가정!$B$10</f>
        <v>340053.668341709</v>
      </c>
      <c r="K967" s="24" t="n">
        <f aca="false">A967*가정!$B$8*가정!$B$7</f>
        <v>4815</v>
      </c>
      <c r="L967" s="11" t="n">
        <f aca="false">C967+F967</f>
        <v>100</v>
      </c>
    </row>
    <row r="968" customFormat="false" ht="15" hidden="false" customHeight="false" outlineLevel="0" collapsed="false">
      <c r="A968" s="11" t="n">
        <v>964</v>
      </c>
      <c r="B968" s="11" t="n">
        <f aca="false">MATCH(A968,월별!$C$6:$C$41,1)</f>
        <v>32</v>
      </c>
      <c r="C968" s="11" t="n">
        <f aca="false">L967</f>
        <v>100</v>
      </c>
      <c r="D968" s="24" t="n">
        <f aca="false">C968*가정!$B$8</f>
        <v>500</v>
      </c>
      <c r="E968" s="24" t="n">
        <f aca="false">H967+D967</f>
        <v>340053.668341709</v>
      </c>
      <c r="F968" s="11" t="n">
        <f aca="false">IF(가정!$B$11=1,MAX(0,MIN(가정!$B$16-C968,INT(E968/가정!$B$17))),0)</f>
        <v>0</v>
      </c>
      <c r="G968" s="24" t="n">
        <f aca="false">F968*가정!$B$17</f>
        <v>0</v>
      </c>
      <c r="H968" s="24" t="n">
        <f aca="false">E968-G968</f>
        <v>340053.668341709</v>
      </c>
      <c r="I968" s="24" t="n">
        <f aca="false">I967+D968</f>
        <v>367020</v>
      </c>
      <c r="J968" s="16" t="n">
        <f aca="false">(H968+D968)*가정!$B$10</f>
        <v>340553.668341709</v>
      </c>
      <c r="K968" s="24" t="n">
        <f aca="false">A968*가정!$B$8*가정!$B$7</f>
        <v>4820</v>
      </c>
      <c r="L968" s="11" t="n">
        <f aca="false">C968+F968</f>
        <v>100</v>
      </c>
    </row>
    <row r="969" customFormat="false" ht="15" hidden="false" customHeight="false" outlineLevel="0" collapsed="false">
      <c r="A969" s="11" t="n">
        <v>965</v>
      </c>
      <c r="B969" s="11" t="n">
        <f aca="false">MATCH(A969,월별!$C$6:$C$41,1)</f>
        <v>32</v>
      </c>
      <c r="C969" s="11" t="n">
        <f aca="false">L968</f>
        <v>100</v>
      </c>
      <c r="D969" s="24" t="n">
        <f aca="false">C969*가정!$B$8</f>
        <v>500</v>
      </c>
      <c r="E969" s="24" t="n">
        <f aca="false">H968+D968</f>
        <v>340553.668341709</v>
      </c>
      <c r="F969" s="11" t="n">
        <f aca="false">IF(가정!$B$11=1,MAX(0,MIN(가정!$B$16-C969,INT(E969/가정!$B$17))),0)</f>
        <v>0</v>
      </c>
      <c r="G969" s="24" t="n">
        <f aca="false">F969*가정!$B$17</f>
        <v>0</v>
      </c>
      <c r="H969" s="24" t="n">
        <f aca="false">E969-G969</f>
        <v>340553.668341709</v>
      </c>
      <c r="I969" s="24" t="n">
        <f aca="false">I968+D969</f>
        <v>367520</v>
      </c>
      <c r="J969" s="16" t="n">
        <f aca="false">(H969+D969)*가정!$B$10</f>
        <v>341053.668341709</v>
      </c>
      <c r="K969" s="24" t="n">
        <f aca="false">A969*가정!$B$8*가정!$B$7</f>
        <v>4825</v>
      </c>
      <c r="L969" s="11" t="n">
        <f aca="false">C969+F969</f>
        <v>100</v>
      </c>
    </row>
    <row r="970" customFormat="false" ht="15" hidden="false" customHeight="false" outlineLevel="0" collapsed="false">
      <c r="A970" s="11" t="n">
        <v>966</v>
      </c>
      <c r="B970" s="11" t="n">
        <f aca="false">MATCH(A970,월별!$C$6:$C$41,1)</f>
        <v>32</v>
      </c>
      <c r="C970" s="11" t="n">
        <f aca="false">L969</f>
        <v>100</v>
      </c>
      <c r="D970" s="24" t="n">
        <f aca="false">C970*가정!$B$8</f>
        <v>500</v>
      </c>
      <c r="E970" s="24" t="n">
        <f aca="false">H969+D969</f>
        <v>341053.668341709</v>
      </c>
      <c r="F970" s="11" t="n">
        <f aca="false">IF(가정!$B$11=1,MAX(0,MIN(가정!$B$16-C970,INT(E970/가정!$B$17))),0)</f>
        <v>0</v>
      </c>
      <c r="G970" s="24" t="n">
        <f aca="false">F970*가정!$B$17</f>
        <v>0</v>
      </c>
      <c r="H970" s="24" t="n">
        <f aca="false">E970-G970</f>
        <v>341053.668341709</v>
      </c>
      <c r="I970" s="24" t="n">
        <f aca="false">I969+D970</f>
        <v>368020</v>
      </c>
      <c r="J970" s="16" t="n">
        <f aca="false">(H970+D970)*가정!$B$10</f>
        <v>341553.668341709</v>
      </c>
      <c r="K970" s="24" t="n">
        <f aca="false">A970*가정!$B$8*가정!$B$7</f>
        <v>4830</v>
      </c>
      <c r="L970" s="11" t="n">
        <f aca="false">C970+F970</f>
        <v>100</v>
      </c>
    </row>
    <row r="971" customFormat="false" ht="15" hidden="false" customHeight="false" outlineLevel="0" collapsed="false">
      <c r="A971" s="11" t="n">
        <v>967</v>
      </c>
      <c r="B971" s="11" t="n">
        <f aca="false">MATCH(A971,월별!$C$6:$C$41,1)</f>
        <v>32</v>
      </c>
      <c r="C971" s="11" t="n">
        <f aca="false">L970</f>
        <v>100</v>
      </c>
      <c r="D971" s="24" t="n">
        <f aca="false">C971*가정!$B$8</f>
        <v>500</v>
      </c>
      <c r="E971" s="24" t="n">
        <f aca="false">H970+D970</f>
        <v>341553.668341709</v>
      </c>
      <c r="F971" s="11" t="n">
        <f aca="false">IF(가정!$B$11=1,MAX(0,MIN(가정!$B$16-C971,INT(E971/가정!$B$17))),0)</f>
        <v>0</v>
      </c>
      <c r="G971" s="24" t="n">
        <f aca="false">F971*가정!$B$17</f>
        <v>0</v>
      </c>
      <c r="H971" s="24" t="n">
        <f aca="false">E971-G971</f>
        <v>341553.668341709</v>
      </c>
      <c r="I971" s="24" t="n">
        <f aca="false">I970+D971</f>
        <v>368520</v>
      </c>
      <c r="J971" s="16" t="n">
        <f aca="false">(H971+D971)*가정!$B$10</f>
        <v>342053.668341709</v>
      </c>
      <c r="K971" s="24" t="n">
        <f aca="false">A971*가정!$B$8*가정!$B$7</f>
        <v>4835</v>
      </c>
      <c r="L971" s="11" t="n">
        <f aca="false">C971+F971</f>
        <v>100</v>
      </c>
    </row>
    <row r="972" customFormat="false" ht="15" hidden="false" customHeight="false" outlineLevel="0" collapsed="false">
      <c r="A972" s="11" t="n">
        <v>968</v>
      </c>
      <c r="B972" s="11" t="n">
        <f aca="false">MATCH(A972,월별!$C$6:$C$41,1)</f>
        <v>32</v>
      </c>
      <c r="C972" s="11" t="n">
        <f aca="false">L971</f>
        <v>100</v>
      </c>
      <c r="D972" s="24" t="n">
        <f aca="false">C972*가정!$B$8</f>
        <v>500</v>
      </c>
      <c r="E972" s="24" t="n">
        <f aca="false">H971+D971</f>
        <v>342053.668341709</v>
      </c>
      <c r="F972" s="11" t="n">
        <f aca="false">IF(가정!$B$11=1,MAX(0,MIN(가정!$B$16-C972,INT(E972/가정!$B$17))),0)</f>
        <v>0</v>
      </c>
      <c r="G972" s="24" t="n">
        <f aca="false">F972*가정!$B$17</f>
        <v>0</v>
      </c>
      <c r="H972" s="24" t="n">
        <f aca="false">E972-G972</f>
        <v>342053.668341709</v>
      </c>
      <c r="I972" s="24" t="n">
        <f aca="false">I971+D972</f>
        <v>369020</v>
      </c>
      <c r="J972" s="16" t="n">
        <f aca="false">(H972+D972)*가정!$B$10</f>
        <v>342553.668341709</v>
      </c>
      <c r="K972" s="24" t="n">
        <f aca="false">A972*가정!$B$8*가정!$B$7</f>
        <v>4840</v>
      </c>
      <c r="L972" s="11" t="n">
        <f aca="false">C972+F972</f>
        <v>100</v>
      </c>
    </row>
    <row r="973" customFormat="false" ht="15" hidden="false" customHeight="false" outlineLevel="0" collapsed="false">
      <c r="A973" s="11" t="n">
        <v>969</v>
      </c>
      <c r="B973" s="11" t="n">
        <f aca="false">MATCH(A973,월별!$C$6:$C$41,1)</f>
        <v>32</v>
      </c>
      <c r="C973" s="11" t="n">
        <f aca="false">L972</f>
        <v>100</v>
      </c>
      <c r="D973" s="24" t="n">
        <f aca="false">C973*가정!$B$8</f>
        <v>500</v>
      </c>
      <c r="E973" s="24" t="n">
        <f aca="false">H972+D972</f>
        <v>342553.668341709</v>
      </c>
      <c r="F973" s="11" t="n">
        <f aca="false">IF(가정!$B$11=1,MAX(0,MIN(가정!$B$16-C973,INT(E973/가정!$B$17))),0)</f>
        <v>0</v>
      </c>
      <c r="G973" s="24" t="n">
        <f aca="false">F973*가정!$B$17</f>
        <v>0</v>
      </c>
      <c r="H973" s="24" t="n">
        <f aca="false">E973-G973</f>
        <v>342553.668341709</v>
      </c>
      <c r="I973" s="24" t="n">
        <f aca="false">I972+D973</f>
        <v>369520</v>
      </c>
      <c r="J973" s="16" t="n">
        <f aca="false">(H973+D973)*가정!$B$10</f>
        <v>343053.668341709</v>
      </c>
      <c r="K973" s="24" t="n">
        <f aca="false">A973*가정!$B$8*가정!$B$7</f>
        <v>4845</v>
      </c>
      <c r="L973" s="11" t="n">
        <f aca="false">C973+F973</f>
        <v>100</v>
      </c>
    </row>
    <row r="974" customFormat="false" ht="15" hidden="false" customHeight="false" outlineLevel="0" collapsed="false">
      <c r="A974" s="11" t="n">
        <v>970</v>
      </c>
      <c r="B974" s="11" t="n">
        <f aca="false">MATCH(A974,월별!$C$6:$C$41,1)</f>
        <v>32</v>
      </c>
      <c r="C974" s="11" t="n">
        <f aca="false">L973</f>
        <v>100</v>
      </c>
      <c r="D974" s="24" t="n">
        <f aca="false">C974*가정!$B$8</f>
        <v>500</v>
      </c>
      <c r="E974" s="24" t="n">
        <f aca="false">H973+D973</f>
        <v>343053.668341709</v>
      </c>
      <c r="F974" s="11" t="n">
        <f aca="false">IF(가정!$B$11=1,MAX(0,MIN(가정!$B$16-C974,INT(E974/가정!$B$17))),0)</f>
        <v>0</v>
      </c>
      <c r="G974" s="24" t="n">
        <f aca="false">F974*가정!$B$17</f>
        <v>0</v>
      </c>
      <c r="H974" s="24" t="n">
        <f aca="false">E974-G974</f>
        <v>343053.668341709</v>
      </c>
      <c r="I974" s="24" t="n">
        <f aca="false">I973+D974</f>
        <v>370020</v>
      </c>
      <c r="J974" s="16" t="n">
        <f aca="false">(H974+D974)*가정!$B$10</f>
        <v>343553.668341709</v>
      </c>
      <c r="K974" s="24" t="n">
        <f aca="false">A974*가정!$B$8*가정!$B$7</f>
        <v>4850</v>
      </c>
      <c r="L974" s="11" t="n">
        <f aca="false">C974+F974</f>
        <v>100</v>
      </c>
    </row>
    <row r="975" customFormat="false" ht="15" hidden="false" customHeight="false" outlineLevel="0" collapsed="false">
      <c r="A975" s="11" t="n">
        <v>971</v>
      </c>
      <c r="B975" s="11" t="n">
        <f aca="false">MATCH(A975,월별!$C$6:$C$41,1)</f>
        <v>32</v>
      </c>
      <c r="C975" s="11" t="n">
        <f aca="false">L974</f>
        <v>100</v>
      </c>
      <c r="D975" s="24" t="n">
        <f aca="false">C975*가정!$B$8</f>
        <v>500</v>
      </c>
      <c r="E975" s="24" t="n">
        <f aca="false">H974+D974</f>
        <v>343553.668341709</v>
      </c>
      <c r="F975" s="11" t="n">
        <f aca="false">IF(가정!$B$11=1,MAX(0,MIN(가정!$B$16-C975,INT(E975/가정!$B$17))),0)</f>
        <v>0</v>
      </c>
      <c r="G975" s="24" t="n">
        <f aca="false">F975*가정!$B$17</f>
        <v>0</v>
      </c>
      <c r="H975" s="24" t="n">
        <f aca="false">E975-G975</f>
        <v>343553.668341709</v>
      </c>
      <c r="I975" s="24" t="n">
        <f aca="false">I974+D975</f>
        <v>370520</v>
      </c>
      <c r="J975" s="16" t="n">
        <f aca="false">(H975+D975)*가정!$B$10</f>
        <v>344053.668341709</v>
      </c>
      <c r="K975" s="24" t="n">
        <f aca="false">A975*가정!$B$8*가정!$B$7</f>
        <v>4855</v>
      </c>
      <c r="L975" s="11" t="n">
        <f aca="false">C975+F975</f>
        <v>100</v>
      </c>
    </row>
    <row r="976" customFormat="false" ht="15" hidden="false" customHeight="false" outlineLevel="0" collapsed="false">
      <c r="A976" s="11" t="n">
        <v>972</v>
      </c>
      <c r="B976" s="11" t="n">
        <f aca="false">MATCH(A976,월별!$C$6:$C$41,1)</f>
        <v>32</v>
      </c>
      <c r="C976" s="11" t="n">
        <f aca="false">L975</f>
        <v>100</v>
      </c>
      <c r="D976" s="24" t="n">
        <f aca="false">C976*가정!$B$8</f>
        <v>500</v>
      </c>
      <c r="E976" s="24" t="n">
        <f aca="false">H975+D975</f>
        <v>344053.668341709</v>
      </c>
      <c r="F976" s="11" t="n">
        <f aca="false">IF(가정!$B$11=1,MAX(0,MIN(가정!$B$16-C976,INT(E976/가정!$B$17))),0)</f>
        <v>0</v>
      </c>
      <c r="G976" s="24" t="n">
        <f aca="false">F976*가정!$B$17</f>
        <v>0</v>
      </c>
      <c r="H976" s="24" t="n">
        <f aca="false">E976-G976</f>
        <v>344053.668341709</v>
      </c>
      <c r="I976" s="24" t="n">
        <f aca="false">I975+D976</f>
        <v>371020</v>
      </c>
      <c r="J976" s="16" t="n">
        <f aca="false">(H976+D976)*가정!$B$10</f>
        <v>344553.668341709</v>
      </c>
      <c r="K976" s="24" t="n">
        <f aca="false">A976*가정!$B$8*가정!$B$7</f>
        <v>4860</v>
      </c>
      <c r="L976" s="11" t="n">
        <f aca="false">C976+F976</f>
        <v>100</v>
      </c>
    </row>
    <row r="977" customFormat="false" ht="15" hidden="false" customHeight="false" outlineLevel="0" collapsed="false">
      <c r="A977" s="11" t="n">
        <v>973</v>
      </c>
      <c r="B977" s="11" t="n">
        <f aca="false">MATCH(A977,월별!$C$6:$C$41,1)</f>
        <v>32</v>
      </c>
      <c r="C977" s="11" t="n">
        <f aca="false">L976</f>
        <v>100</v>
      </c>
      <c r="D977" s="24" t="n">
        <f aca="false">C977*가정!$B$8</f>
        <v>500</v>
      </c>
      <c r="E977" s="24" t="n">
        <f aca="false">H976+D976</f>
        <v>344553.668341709</v>
      </c>
      <c r="F977" s="11" t="n">
        <f aca="false">IF(가정!$B$11=1,MAX(0,MIN(가정!$B$16-C977,INT(E977/가정!$B$17))),0)</f>
        <v>0</v>
      </c>
      <c r="G977" s="24" t="n">
        <f aca="false">F977*가정!$B$17</f>
        <v>0</v>
      </c>
      <c r="H977" s="24" t="n">
        <f aca="false">E977-G977</f>
        <v>344553.668341709</v>
      </c>
      <c r="I977" s="24" t="n">
        <f aca="false">I976+D977</f>
        <v>371520</v>
      </c>
      <c r="J977" s="16" t="n">
        <f aca="false">(H977+D977)*가정!$B$10</f>
        <v>345053.668341709</v>
      </c>
      <c r="K977" s="24" t="n">
        <f aca="false">A977*가정!$B$8*가정!$B$7</f>
        <v>4865</v>
      </c>
      <c r="L977" s="11" t="n">
        <f aca="false">C977+F977</f>
        <v>100</v>
      </c>
    </row>
    <row r="978" customFormat="false" ht="15" hidden="false" customHeight="false" outlineLevel="0" collapsed="false">
      <c r="A978" s="11" t="n">
        <v>974</v>
      </c>
      <c r="B978" s="11" t="n">
        <f aca="false">MATCH(A978,월별!$C$6:$C$41,1)</f>
        <v>33</v>
      </c>
      <c r="C978" s="11" t="n">
        <f aca="false">L977</f>
        <v>100</v>
      </c>
      <c r="D978" s="24" t="n">
        <f aca="false">C978*가정!$B$8</f>
        <v>500</v>
      </c>
      <c r="E978" s="24" t="n">
        <f aca="false">H977+D977</f>
        <v>345053.668341709</v>
      </c>
      <c r="F978" s="11" t="n">
        <f aca="false">IF(가정!$B$11=1,MAX(0,MIN(가정!$B$16-C978,INT(E978/가정!$B$17))),0)</f>
        <v>0</v>
      </c>
      <c r="G978" s="24" t="n">
        <f aca="false">F978*가정!$B$17</f>
        <v>0</v>
      </c>
      <c r="H978" s="24" t="n">
        <f aca="false">E978-G978</f>
        <v>345053.668341709</v>
      </c>
      <c r="I978" s="24" t="n">
        <f aca="false">I977+D978</f>
        <v>372020</v>
      </c>
      <c r="J978" s="16" t="n">
        <f aca="false">(H978+D978)*가정!$B$10</f>
        <v>345553.668341709</v>
      </c>
      <c r="K978" s="24" t="n">
        <f aca="false">A978*가정!$B$8*가정!$B$7</f>
        <v>4870</v>
      </c>
      <c r="L978" s="11" t="n">
        <f aca="false">C978+F978</f>
        <v>100</v>
      </c>
    </row>
    <row r="979" customFormat="false" ht="15" hidden="false" customHeight="false" outlineLevel="0" collapsed="false">
      <c r="A979" s="11" t="n">
        <v>975</v>
      </c>
      <c r="B979" s="11" t="n">
        <f aca="false">MATCH(A979,월별!$C$6:$C$41,1)</f>
        <v>33</v>
      </c>
      <c r="C979" s="11" t="n">
        <f aca="false">L978</f>
        <v>100</v>
      </c>
      <c r="D979" s="24" t="n">
        <f aca="false">C979*가정!$B$8</f>
        <v>500</v>
      </c>
      <c r="E979" s="24" t="n">
        <f aca="false">H978+D978</f>
        <v>345553.668341709</v>
      </c>
      <c r="F979" s="11" t="n">
        <f aca="false">IF(가정!$B$11=1,MAX(0,MIN(가정!$B$16-C979,INT(E979/가정!$B$17))),0)</f>
        <v>0</v>
      </c>
      <c r="G979" s="24" t="n">
        <f aca="false">F979*가정!$B$17</f>
        <v>0</v>
      </c>
      <c r="H979" s="24" t="n">
        <f aca="false">E979-G979</f>
        <v>345553.668341709</v>
      </c>
      <c r="I979" s="24" t="n">
        <f aca="false">I978+D979</f>
        <v>372520</v>
      </c>
      <c r="J979" s="16" t="n">
        <f aca="false">(H979+D979)*가정!$B$10</f>
        <v>346053.668341709</v>
      </c>
      <c r="K979" s="24" t="n">
        <f aca="false">A979*가정!$B$8*가정!$B$7</f>
        <v>4875</v>
      </c>
      <c r="L979" s="11" t="n">
        <f aca="false">C979+F979</f>
        <v>100</v>
      </c>
    </row>
    <row r="980" customFormat="false" ht="15" hidden="false" customHeight="false" outlineLevel="0" collapsed="false">
      <c r="A980" s="11" t="n">
        <v>976</v>
      </c>
      <c r="B980" s="11" t="n">
        <f aca="false">MATCH(A980,월별!$C$6:$C$41,1)</f>
        <v>33</v>
      </c>
      <c r="C980" s="11" t="n">
        <f aca="false">L979</f>
        <v>100</v>
      </c>
      <c r="D980" s="24" t="n">
        <f aca="false">C980*가정!$B$8</f>
        <v>500</v>
      </c>
      <c r="E980" s="24" t="n">
        <f aca="false">H979+D979</f>
        <v>346053.668341709</v>
      </c>
      <c r="F980" s="11" t="n">
        <f aca="false">IF(가정!$B$11=1,MAX(0,MIN(가정!$B$16-C980,INT(E980/가정!$B$17))),0)</f>
        <v>0</v>
      </c>
      <c r="G980" s="24" t="n">
        <f aca="false">F980*가정!$B$17</f>
        <v>0</v>
      </c>
      <c r="H980" s="24" t="n">
        <f aca="false">E980-G980</f>
        <v>346053.668341709</v>
      </c>
      <c r="I980" s="24" t="n">
        <f aca="false">I979+D980</f>
        <v>373020</v>
      </c>
      <c r="J980" s="16" t="n">
        <f aca="false">(H980+D980)*가정!$B$10</f>
        <v>346553.668341709</v>
      </c>
      <c r="K980" s="24" t="n">
        <f aca="false">A980*가정!$B$8*가정!$B$7</f>
        <v>4880</v>
      </c>
      <c r="L980" s="11" t="n">
        <f aca="false">C980+F980</f>
        <v>100</v>
      </c>
    </row>
    <row r="981" customFormat="false" ht="15" hidden="false" customHeight="false" outlineLevel="0" collapsed="false">
      <c r="A981" s="11" t="n">
        <v>977</v>
      </c>
      <c r="B981" s="11" t="n">
        <f aca="false">MATCH(A981,월별!$C$6:$C$41,1)</f>
        <v>33</v>
      </c>
      <c r="C981" s="11" t="n">
        <f aca="false">L980</f>
        <v>100</v>
      </c>
      <c r="D981" s="24" t="n">
        <f aca="false">C981*가정!$B$8</f>
        <v>500</v>
      </c>
      <c r="E981" s="24" t="n">
        <f aca="false">H980+D980</f>
        <v>346553.668341709</v>
      </c>
      <c r="F981" s="11" t="n">
        <f aca="false">IF(가정!$B$11=1,MAX(0,MIN(가정!$B$16-C981,INT(E981/가정!$B$17))),0)</f>
        <v>0</v>
      </c>
      <c r="G981" s="24" t="n">
        <f aca="false">F981*가정!$B$17</f>
        <v>0</v>
      </c>
      <c r="H981" s="24" t="n">
        <f aca="false">E981-G981</f>
        <v>346553.668341709</v>
      </c>
      <c r="I981" s="24" t="n">
        <f aca="false">I980+D981</f>
        <v>373520</v>
      </c>
      <c r="J981" s="16" t="n">
        <f aca="false">(H981+D981)*가정!$B$10</f>
        <v>347053.668341709</v>
      </c>
      <c r="K981" s="24" t="n">
        <f aca="false">A981*가정!$B$8*가정!$B$7</f>
        <v>4885</v>
      </c>
      <c r="L981" s="11" t="n">
        <f aca="false">C981+F981</f>
        <v>100</v>
      </c>
    </row>
    <row r="982" customFormat="false" ht="15" hidden="false" customHeight="false" outlineLevel="0" collapsed="false">
      <c r="A982" s="11" t="n">
        <v>978</v>
      </c>
      <c r="B982" s="11" t="n">
        <f aca="false">MATCH(A982,월별!$C$6:$C$41,1)</f>
        <v>33</v>
      </c>
      <c r="C982" s="11" t="n">
        <f aca="false">L981</f>
        <v>100</v>
      </c>
      <c r="D982" s="24" t="n">
        <f aca="false">C982*가정!$B$8</f>
        <v>500</v>
      </c>
      <c r="E982" s="24" t="n">
        <f aca="false">H981+D981</f>
        <v>347053.668341709</v>
      </c>
      <c r="F982" s="11" t="n">
        <f aca="false">IF(가정!$B$11=1,MAX(0,MIN(가정!$B$16-C982,INT(E982/가정!$B$17))),0)</f>
        <v>0</v>
      </c>
      <c r="G982" s="24" t="n">
        <f aca="false">F982*가정!$B$17</f>
        <v>0</v>
      </c>
      <c r="H982" s="24" t="n">
        <f aca="false">E982-G982</f>
        <v>347053.668341709</v>
      </c>
      <c r="I982" s="24" t="n">
        <f aca="false">I981+D982</f>
        <v>374020</v>
      </c>
      <c r="J982" s="16" t="n">
        <f aca="false">(H982+D982)*가정!$B$10</f>
        <v>347553.668341709</v>
      </c>
      <c r="K982" s="24" t="n">
        <f aca="false">A982*가정!$B$8*가정!$B$7</f>
        <v>4890</v>
      </c>
      <c r="L982" s="11" t="n">
        <f aca="false">C982+F982</f>
        <v>100</v>
      </c>
    </row>
    <row r="983" customFormat="false" ht="15" hidden="false" customHeight="false" outlineLevel="0" collapsed="false">
      <c r="A983" s="11" t="n">
        <v>979</v>
      </c>
      <c r="B983" s="11" t="n">
        <f aca="false">MATCH(A983,월별!$C$6:$C$41,1)</f>
        <v>33</v>
      </c>
      <c r="C983" s="11" t="n">
        <f aca="false">L982</f>
        <v>100</v>
      </c>
      <c r="D983" s="24" t="n">
        <f aca="false">C983*가정!$B$8</f>
        <v>500</v>
      </c>
      <c r="E983" s="24" t="n">
        <f aca="false">H982+D982</f>
        <v>347553.668341709</v>
      </c>
      <c r="F983" s="11" t="n">
        <f aca="false">IF(가정!$B$11=1,MAX(0,MIN(가정!$B$16-C983,INT(E983/가정!$B$17))),0)</f>
        <v>0</v>
      </c>
      <c r="G983" s="24" t="n">
        <f aca="false">F983*가정!$B$17</f>
        <v>0</v>
      </c>
      <c r="H983" s="24" t="n">
        <f aca="false">E983-G983</f>
        <v>347553.668341709</v>
      </c>
      <c r="I983" s="24" t="n">
        <f aca="false">I982+D983</f>
        <v>374520</v>
      </c>
      <c r="J983" s="16" t="n">
        <f aca="false">(H983+D983)*가정!$B$10</f>
        <v>348053.668341709</v>
      </c>
      <c r="K983" s="24" t="n">
        <f aca="false">A983*가정!$B$8*가정!$B$7</f>
        <v>4895</v>
      </c>
      <c r="L983" s="11" t="n">
        <f aca="false">C983+F983</f>
        <v>100</v>
      </c>
    </row>
    <row r="984" customFormat="false" ht="15" hidden="false" customHeight="false" outlineLevel="0" collapsed="false">
      <c r="A984" s="11" t="n">
        <v>980</v>
      </c>
      <c r="B984" s="11" t="n">
        <f aca="false">MATCH(A984,월별!$C$6:$C$41,1)</f>
        <v>33</v>
      </c>
      <c r="C984" s="11" t="n">
        <f aca="false">L983</f>
        <v>100</v>
      </c>
      <c r="D984" s="24" t="n">
        <f aca="false">C984*가정!$B$8</f>
        <v>500</v>
      </c>
      <c r="E984" s="24" t="n">
        <f aca="false">H983+D983</f>
        <v>348053.668341709</v>
      </c>
      <c r="F984" s="11" t="n">
        <f aca="false">IF(가정!$B$11=1,MAX(0,MIN(가정!$B$16-C984,INT(E984/가정!$B$17))),0)</f>
        <v>0</v>
      </c>
      <c r="G984" s="24" t="n">
        <f aca="false">F984*가정!$B$17</f>
        <v>0</v>
      </c>
      <c r="H984" s="24" t="n">
        <f aca="false">E984-G984</f>
        <v>348053.668341709</v>
      </c>
      <c r="I984" s="24" t="n">
        <f aca="false">I983+D984</f>
        <v>375020</v>
      </c>
      <c r="J984" s="16" t="n">
        <f aca="false">(H984+D984)*가정!$B$10</f>
        <v>348553.668341709</v>
      </c>
      <c r="K984" s="24" t="n">
        <f aca="false">A984*가정!$B$8*가정!$B$7</f>
        <v>4900</v>
      </c>
      <c r="L984" s="11" t="n">
        <f aca="false">C984+F984</f>
        <v>100</v>
      </c>
    </row>
    <row r="985" customFormat="false" ht="15" hidden="false" customHeight="false" outlineLevel="0" collapsed="false">
      <c r="A985" s="11" t="n">
        <v>981</v>
      </c>
      <c r="B985" s="11" t="n">
        <f aca="false">MATCH(A985,월별!$C$6:$C$41,1)</f>
        <v>33</v>
      </c>
      <c r="C985" s="11" t="n">
        <f aca="false">L984</f>
        <v>100</v>
      </c>
      <c r="D985" s="24" t="n">
        <f aca="false">C985*가정!$B$8</f>
        <v>500</v>
      </c>
      <c r="E985" s="24" t="n">
        <f aca="false">H984+D984</f>
        <v>348553.668341709</v>
      </c>
      <c r="F985" s="11" t="n">
        <f aca="false">IF(가정!$B$11=1,MAX(0,MIN(가정!$B$16-C985,INT(E985/가정!$B$17))),0)</f>
        <v>0</v>
      </c>
      <c r="G985" s="24" t="n">
        <f aca="false">F985*가정!$B$17</f>
        <v>0</v>
      </c>
      <c r="H985" s="24" t="n">
        <f aca="false">E985-G985</f>
        <v>348553.668341709</v>
      </c>
      <c r="I985" s="24" t="n">
        <f aca="false">I984+D985</f>
        <v>375520</v>
      </c>
      <c r="J985" s="16" t="n">
        <f aca="false">(H985+D985)*가정!$B$10</f>
        <v>349053.668341709</v>
      </c>
      <c r="K985" s="24" t="n">
        <f aca="false">A985*가정!$B$8*가정!$B$7</f>
        <v>4905</v>
      </c>
      <c r="L985" s="11" t="n">
        <f aca="false">C985+F985</f>
        <v>100</v>
      </c>
    </row>
    <row r="986" customFormat="false" ht="15" hidden="false" customHeight="false" outlineLevel="0" collapsed="false">
      <c r="A986" s="11" t="n">
        <v>982</v>
      </c>
      <c r="B986" s="11" t="n">
        <f aca="false">MATCH(A986,월별!$C$6:$C$41,1)</f>
        <v>33</v>
      </c>
      <c r="C986" s="11" t="n">
        <f aca="false">L985</f>
        <v>100</v>
      </c>
      <c r="D986" s="24" t="n">
        <f aca="false">C986*가정!$B$8</f>
        <v>500</v>
      </c>
      <c r="E986" s="24" t="n">
        <f aca="false">H985+D985</f>
        <v>349053.668341709</v>
      </c>
      <c r="F986" s="11" t="n">
        <f aca="false">IF(가정!$B$11=1,MAX(0,MIN(가정!$B$16-C986,INT(E986/가정!$B$17))),0)</f>
        <v>0</v>
      </c>
      <c r="G986" s="24" t="n">
        <f aca="false">F986*가정!$B$17</f>
        <v>0</v>
      </c>
      <c r="H986" s="24" t="n">
        <f aca="false">E986-G986</f>
        <v>349053.668341709</v>
      </c>
      <c r="I986" s="24" t="n">
        <f aca="false">I985+D986</f>
        <v>376020</v>
      </c>
      <c r="J986" s="16" t="n">
        <f aca="false">(H986+D986)*가정!$B$10</f>
        <v>349553.668341709</v>
      </c>
      <c r="K986" s="24" t="n">
        <f aca="false">A986*가정!$B$8*가정!$B$7</f>
        <v>4910</v>
      </c>
      <c r="L986" s="11" t="n">
        <f aca="false">C986+F986</f>
        <v>100</v>
      </c>
    </row>
    <row r="987" customFormat="false" ht="15" hidden="false" customHeight="false" outlineLevel="0" collapsed="false">
      <c r="A987" s="11" t="n">
        <v>983</v>
      </c>
      <c r="B987" s="11" t="n">
        <f aca="false">MATCH(A987,월별!$C$6:$C$41,1)</f>
        <v>33</v>
      </c>
      <c r="C987" s="11" t="n">
        <f aca="false">L986</f>
        <v>100</v>
      </c>
      <c r="D987" s="24" t="n">
        <f aca="false">C987*가정!$B$8</f>
        <v>500</v>
      </c>
      <c r="E987" s="24" t="n">
        <f aca="false">H986+D986</f>
        <v>349553.668341709</v>
      </c>
      <c r="F987" s="11" t="n">
        <f aca="false">IF(가정!$B$11=1,MAX(0,MIN(가정!$B$16-C987,INT(E987/가정!$B$17))),0)</f>
        <v>0</v>
      </c>
      <c r="G987" s="24" t="n">
        <f aca="false">F987*가정!$B$17</f>
        <v>0</v>
      </c>
      <c r="H987" s="24" t="n">
        <f aca="false">E987-G987</f>
        <v>349553.668341709</v>
      </c>
      <c r="I987" s="24" t="n">
        <f aca="false">I986+D987</f>
        <v>376520</v>
      </c>
      <c r="J987" s="16" t="n">
        <f aca="false">(H987+D987)*가정!$B$10</f>
        <v>350053.668341709</v>
      </c>
      <c r="K987" s="24" t="n">
        <f aca="false">A987*가정!$B$8*가정!$B$7</f>
        <v>4915</v>
      </c>
      <c r="L987" s="11" t="n">
        <f aca="false">C987+F987</f>
        <v>100</v>
      </c>
    </row>
    <row r="988" customFormat="false" ht="15" hidden="false" customHeight="false" outlineLevel="0" collapsed="false">
      <c r="A988" s="11" t="n">
        <v>984</v>
      </c>
      <c r="B988" s="11" t="n">
        <f aca="false">MATCH(A988,월별!$C$6:$C$41,1)</f>
        <v>33</v>
      </c>
      <c r="C988" s="11" t="n">
        <f aca="false">L987</f>
        <v>100</v>
      </c>
      <c r="D988" s="24" t="n">
        <f aca="false">C988*가정!$B$8</f>
        <v>500</v>
      </c>
      <c r="E988" s="24" t="n">
        <f aca="false">H987+D987</f>
        <v>350053.668341709</v>
      </c>
      <c r="F988" s="11" t="n">
        <f aca="false">IF(가정!$B$11=1,MAX(0,MIN(가정!$B$16-C988,INT(E988/가정!$B$17))),0)</f>
        <v>0</v>
      </c>
      <c r="G988" s="24" t="n">
        <f aca="false">F988*가정!$B$17</f>
        <v>0</v>
      </c>
      <c r="H988" s="24" t="n">
        <f aca="false">E988-G988</f>
        <v>350053.668341709</v>
      </c>
      <c r="I988" s="24" t="n">
        <f aca="false">I987+D988</f>
        <v>377020</v>
      </c>
      <c r="J988" s="16" t="n">
        <f aca="false">(H988+D988)*가정!$B$10</f>
        <v>350553.668341709</v>
      </c>
      <c r="K988" s="24" t="n">
        <f aca="false">A988*가정!$B$8*가정!$B$7</f>
        <v>4920</v>
      </c>
      <c r="L988" s="11" t="n">
        <f aca="false">C988+F988</f>
        <v>100</v>
      </c>
    </row>
    <row r="989" customFormat="false" ht="15" hidden="false" customHeight="false" outlineLevel="0" collapsed="false">
      <c r="A989" s="11" t="n">
        <v>985</v>
      </c>
      <c r="B989" s="11" t="n">
        <f aca="false">MATCH(A989,월별!$C$6:$C$41,1)</f>
        <v>33</v>
      </c>
      <c r="C989" s="11" t="n">
        <f aca="false">L988</f>
        <v>100</v>
      </c>
      <c r="D989" s="24" t="n">
        <f aca="false">C989*가정!$B$8</f>
        <v>500</v>
      </c>
      <c r="E989" s="24" t="n">
        <f aca="false">H988+D988</f>
        <v>350553.668341709</v>
      </c>
      <c r="F989" s="11" t="n">
        <f aca="false">IF(가정!$B$11=1,MAX(0,MIN(가정!$B$16-C989,INT(E989/가정!$B$17))),0)</f>
        <v>0</v>
      </c>
      <c r="G989" s="24" t="n">
        <f aca="false">F989*가정!$B$17</f>
        <v>0</v>
      </c>
      <c r="H989" s="24" t="n">
        <f aca="false">E989-G989</f>
        <v>350553.668341709</v>
      </c>
      <c r="I989" s="24" t="n">
        <f aca="false">I988+D989</f>
        <v>377520</v>
      </c>
      <c r="J989" s="16" t="n">
        <f aca="false">(H989+D989)*가정!$B$10</f>
        <v>351053.668341709</v>
      </c>
      <c r="K989" s="24" t="n">
        <f aca="false">A989*가정!$B$8*가정!$B$7</f>
        <v>4925</v>
      </c>
      <c r="L989" s="11" t="n">
        <f aca="false">C989+F989</f>
        <v>100</v>
      </c>
    </row>
    <row r="990" customFormat="false" ht="15" hidden="false" customHeight="false" outlineLevel="0" collapsed="false">
      <c r="A990" s="11" t="n">
        <v>986</v>
      </c>
      <c r="B990" s="11" t="n">
        <f aca="false">MATCH(A990,월별!$C$6:$C$41,1)</f>
        <v>33</v>
      </c>
      <c r="C990" s="11" t="n">
        <f aca="false">L989</f>
        <v>100</v>
      </c>
      <c r="D990" s="24" t="n">
        <f aca="false">C990*가정!$B$8</f>
        <v>500</v>
      </c>
      <c r="E990" s="24" t="n">
        <f aca="false">H989+D989</f>
        <v>351053.668341709</v>
      </c>
      <c r="F990" s="11" t="n">
        <f aca="false">IF(가정!$B$11=1,MAX(0,MIN(가정!$B$16-C990,INT(E990/가정!$B$17))),0)</f>
        <v>0</v>
      </c>
      <c r="G990" s="24" t="n">
        <f aca="false">F990*가정!$B$17</f>
        <v>0</v>
      </c>
      <c r="H990" s="24" t="n">
        <f aca="false">E990-G990</f>
        <v>351053.668341709</v>
      </c>
      <c r="I990" s="24" t="n">
        <f aca="false">I989+D990</f>
        <v>378020</v>
      </c>
      <c r="J990" s="16" t="n">
        <f aca="false">(H990+D990)*가정!$B$10</f>
        <v>351553.668341709</v>
      </c>
      <c r="K990" s="24" t="n">
        <f aca="false">A990*가정!$B$8*가정!$B$7</f>
        <v>4930</v>
      </c>
      <c r="L990" s="11" t="n">
        <f aca="false">C990+F990</f>
        <v>100</v>
      </c>
    </row>
    <row r="991" customFormat="false" ht="15" hidden="false" customHeight="false" outlineLevel="0" collapsed="false">
      <c r="A991" s="11" t="n">
        <v>987</v>
      </c>
      <c r="B991" s="11" t="n">
        <f aca="false">MATCH(A991,월별!$C$6:$C$41,1)</f>
        <v>33</v>
      </c>
      <c r="C991" s="11" t="n">
        <f aca="false">L990</f>
        <v>100</v>
      </c>
      <c r="D991" s="24" t="n">
        <f aca="false">C991*가정!$B$8</f>
        <v>500</v>
      </c>
      <c r="E991" s="24" t="n">
        <f aca="false">H990+D990</f>
        <v>351553.668341709</v>
      </c>
      <c r="F991" s="11" t="n">
        <f aca="false">IF(가정!$B$11=1,MAX(0,MIN(가정!$B$16-C991,INT(E991/가정!$B$17))),0)</f>
        <v>0</v>
      </c>
      <c r="G991" s="24" t="n">
        <f aca="false">F991*가정!$B$17</f>
        <v>0</v>
      </c>
      <c r="H991" s="24" t="n">
        <f aca="false">E991-G991</f>
        <v>351553.668341709</v>
      </c>
      <c r="I991" s="24" t="n">
        <f aca="false">I990+D991</f>
        <v>378520</v>
      </c>
      <c r="J991" s="16" t="n">
        <f aca="false">(H991+D991)*가정!$B$10</f>
        <v>352053.668341709</v>
      </c>
      <c r="K991" s="24" t="n">
        <f aca="false">A991*가정!$B$8*가정!$B$7</f>
        <v>4935</v>
      </c>
      <c r="L991" s="11" t="n">
        <f aca="false">C991+F991</f>
        <v>100</v>
      </c>
    </row>
    <row r="992" customFormat="false" ht="15" hidden="false" customHeight="false" outlineLevel="0" collapsed="false">
      <c r="A992" s="11" t="n">
        <v>988</v>
      </c>
      <c r="B992" s="11" t="n">
        <f aca="false">MATCH(A992,월별!$C$6:$C$41,1)</f>
        <v>33</v>
      </c>
      <c r="C992" s="11" t="n">
        <f aca="false">L991</f>
        <v>100</v>
      </c>
      <c r="D992" s="24" t="n">
        <f aca="false">C992*가정!$B$8</f>
        <v>500</v>
      </c>
      <c r="E992" s="24" t="n">
        <f aca="false">H991+D991</f>
        <v>352053.668341709</v>
      </c>
      <c r="F992" s="11" t="n">
        <f aca="false">IF(가정!$B$11=1,MAX(0,MIN(가정!$B$16-C992,INT(E992/가정!$B$17))),0)</f>
        <v>0</v>
      </c>
      <c r="G992" s="24" t="n">
        <f aca="false">F992*가정!$B$17</f>
        <v>0</v>
      </c>
      <c r="H992" s="24" t="n">
        <f aca="false">E992-G992</f>
        <v>352053.668341709</v>
      </c>
      <c r="I992" s="24" t="n">
        <f aca="false">I991+D992</f>
        <v>379020</v>
      </c>
      <c r="J992" s="16" t="n">
        <f aca="false">(H992+D992)*가정!$B$10</f>
        <v>352553.668341709</v>
      </c>
      <c r="K992" s="24" t="n">
        <f aca="false">A992*가정!$B$8*가정!$B$7</f>
        <v>4940</v>
      </c>
      <c r="L992" s="11" t="n">
        <f aca="false">C992+F992</f>
        <v>100</v>
      </c>
    </row>
    <row r="993" customFormat="false" ht="15" hidden="false" customHeight="false" outlineLevel="0" collapsed="false">
      <c r="A993" s="11" t="n">
        <v>989</v>
      </c>
      <c r="B993" s="11" t="n">
        <f aca="false">MATCH(A993,월별!$C$6:$C$41,1)</f>
        <v>33</v>
      </c>
      <c r="C993" s="11" t="n">
        <f aca="false">L992</f>
        <v>100</v>
      </c>
      <c r="D993" s="24" t="n">
        <f aca="false">C993*가정!$B$8</f>
        <v>500</v>
      </c>
      <c r="E993" s="24" t="n">
        <f aca="false">H992+D992</f>
        <v>352553.668341709</v>
      </c>
      <c r="F993" s="11" t="n">
        <f aca="false">IF(가정!$B$11=1,MAX(0,MIN(가정!$B$16-C993,INT(E993/가정!$B$17))),0)</f>
        <v>0</v>
      </c>
      <c r="G993" s="24" t="n">
        <f aca="false">F993*가정!$B$17</f>
        <v>0</v>
      </c>
      <c r="H993" s="24" t="n">
        <f aca="false">E993-G993</f>
        <v>352553.668341709</v>
      </c>
      <c r="I993" s="24" t="n">
        <f aca="false">I992+D993</f>
        <v>379520</v>
      </c>
      <c r="J993" s="16" t="n">
        <f aca="false">(H993+D993)*가정!$B$10</f>
        <v>353053.668341709</v>
      </c>
      <c r="K993" s="24" t="n">
        <f aca="false">A993*가정!$B$8*가정!$B$7</f>
        <v>4945</v>
      </c>
      <c r="L993" s="11" t="n">
        <f aca="false">C993+F993</f>
        <v>100</v>
      </c>
    </row>
    <row r="994" customFormat="false" ht="15" hidden="false" customHeight="false" outlineLevel="0" collapsed="false">
      <c r="A994" s="11" t="n">
        <v>990</v>
      </c>
      <c r="B994" s="11" t="n">
        <f aca="false">MATCH(A994,월별!$C$6:$C$41,1)</f>
        <v>33</v>
      </c>
      <c r="C994" s="11" t="n">
        <f aca="false">L993</f>
        <v>100</v>
      </c>
      <c r="D994" s="24" t="n">
        <f aca="false">C994*가정!$B$8</f>
        <v>500</v>
      </c>
      <c r="E994" s="24" t="n">
        <f aca="false">H993+D993</f>
        <v>353053.668341709</v>
      </c>
      <c r="F994" s="11" t="n">
        <f aca="false">IF(가정!$B$11=1,MAX(0,MIN(가정!$B$16-C994,INT(E994/가정!$B$17))),0)</f>
        <v>0</v>
      </c>
      <c r="G994" s="24" t="n">
        <f aca="false">F994*가정!$B$17</f>
        <v>0</v>
      </c>
      <c r="H994" s="24" t="n">
        <f aca="false">E994-G994</f>
        <v>353053.668341709</v>
      </c>
      <c r="I994" s="24" t="n">
        <f aca="false">I993+D994</f>
        <v>380020</v>
      </c>
      <c r="J994" s="16" t="n">
        <f aca="false">(H994+D994)*가정!$B$10</f>
        <v>353553.668341709</v>
      </c>
      <c r="K994" s="24" t="n">
        <f aca="false">A994*가정!$B$8*가정!$B$7</f>
        <v>4950</v>
      </c>
      <c r="L994" s="11" t="n">
        <f aca="false">C994+F994</f>
        <v>100</v>
      </c>
    </row>
    <row r="995" customFormat="false" ht="15" hidden="false" customHeight="false" outlineLevel="0" collapsed="false">
      <c r="A995" s="11" t="n">
        <v>991</v>
      </c>
      <c r="B995" s="11" t="n">
        <f aca="false">MATCH(A995,월별!$C$6:$C$41,1)</f>
        <v>33</v>
      </c>
      <c r="C995" s="11" t="n">
        <f aca="false">L994</f>
        <v>100</v>
      </c>
      <c r="D995" s="24" t="n">
        <f aca="false">C995*가정!$B$8</f>
        <v>500</v>
      </c>
      <c r="E995" s="24" t="n">
        <f aca="false">H994+D994</f>
        <v>353553.668341709</v>
      </c>
      <c r="F995" s="11" t="n">
        <f aca="false">IF(가정!$B$11=1,MAX(0,MIN(가정!$B$16-C995,INT(E995/가정!$B$17))),0)</f>
        <v>0</v>
      </c>
      <c r="G995" s="24" t="n">
        <f aca="false">F995*가정!$B$17</f>
        <v>0</v>
      </c>
      <c r="H995" s="24" t="n">
        <f aca="false">E995-G995</f>
        <v>353553.668341709</v>
      </c>
      <c r="I995" s="24" t="n">
        <f aca="false">I994+D995</f>
        <v>380520</v>
      </c>
      <c r="J995" s="16" t="n">
        <f aca="false">(H995+D995)*가정!$B$10</f>
        <v>354053.668341709</v>
      </c>
      <c r="K995" s="24" t="n">
        <f aca="false">A995*가정!$B$8*가정!$B$7</f>
        <v>4955</v>
      </c>
      <c r="L995" s="11" t="n">
        <f aca="false">C995+F995</f>
        <v>100</v>
      </c>
    </row>
    <row r="996" customFormat="false" ht="15" hidden="false" customHeight="false" outlineLevel="0" collapsed="false">
      <c r="A996" s="11" t="n">
        <v>992</v>
      </c>
      <c r="B996" s="11" t="n">
        <f aca="false">MATCH(A996,월별!$C$6:$C$41,1)</f>
        <v>33</v>
      </c>
      <c r="C996" s="11" t="n">
        <f aca="false">L995</f>
        <v>100</v>
      </c>
      <c r="D996" s="24" t="n">
        <f aca="false">C996*가정!$B$8</f>
        <v>500</v>
      </c>
      <c r="E996" s="24" t="n">
        <f aca="false">H995+D995</f>
        <v>354053.668341709</v>
      </c>
      <c r="F996" s="11" t="n">
        <f aca="false">IF(가정!$B$11=1,MAX(0,MIN(가정!$B$16-C996,INT(E996/가정!$B$17))),0)</f>
        <v>0</v>
      </c>
      <c r="G996" s="24" t="n">
        <f aca="false">F996*가정!$B$17</f>
        <v>0</v>
      </c>
      <c r="H996" s="24" t="n">
        <f aca="false">E996-G996</f>
        <v>354053.668341709</v>
      </c>
      <c r="I996" s="24" t="n">
        <f aca="false">I995+D996</f>
        <v>381020</v>
      </c>
      <c r="J996" s="16" t="n">
        <f aca="false">(H996+D996)*가정!$B$10</f>
        <v>354553.668341709</v>
      </c>
      <c r="K996" s="24" t="n">
        <f aca="false">A996*가정!$B$8*가정!$B$7</f>
        <v>4960</v>
      </c>
      <c r="L996" s="11" t="n">
        <f aca="false">C996+F996</f>
        <v>100</v>
      </c>
    </row>
    <row r="997" customFormat="false" ht="15" hidden="false" customHeight="false" outlineLevel="0" collapsed="false">
      <c r="A997" s="11" t="n">
        <v>993</v>
      </c>
      <c r="B997" s="11" t="n">
        <f aca="false">MATCH(A997,월별!$C$6:$C$41,1)</f>
        <v>33</v>
      </c>
      <c r="C997" s="11" t="n">
        <f aca="false">L996</f>
        <v>100</v>
      </c>
      <c r="D997" s="24" t="n">
        <f aca="false">C997*가정!$B$8</f>
        <v>500</v>
      </c>
      <c r="E997" s="24" t="n">
        <f aca="false">H996+D996</f>
        <v>354553.668341709</v>
      </c>
      <c r="F997" s="11" t="n">
        <f aca="false">IF(가정!$B$11=1,MAX(0,MIN(가정!$B$16-C997,INT(E997/가정!$B$17))),0)</f>
        <v>0</v>
      </c>
      <c r="G997" s="24" t="n">
        <f aca="false">F997*가정!$B$17</f>
        <v>0</v>
      </c>
      <c r="H997" s="24" t="n">
        <f aca="false">E997-G997</f>
        <v>354553.668341709</v>
      </c>
      <c r="I997" s="24" t="n">
        <f aca="false">I996+D997</f>
        <v>381520</v>
      </c>
      <c r="J997" s="16" t="n">
        <f aca="false">(H997+D997)*가정!$B$10</f>
        <v>355053.668341709</v>
      </c>
      <c r="K997" s="24" t="n">
        <f aca="false">A997*가정!$B$8*가정!$B$7</f>
        <v>4965</v>
      </c>
      <c r="L997" s="11" t="n">
        <f aca="false">C997+F997</f>
        <v>100</v>
      </c>
    </row>
    <row r="998" customFormat="false" ht="15" hidden="false" customHeight="false" outlineLevel="0" collapsed="false">
      <c r="A998" s="11" t="n">
        <v>994</v>
      </c>
      <c r="B998" s="11" t="n">
        <f aca="false">MATCH(A998,월별!$C$6:$C$41,1)</f>
        <v>33</v>
      </c>
      <c r="C998" s="11" t="n">
        <f aca="false">L997</f>
        <v>100</v>
      </c>
      <c r="D998" s="24" t="n">
        <f aca="false">C998*가정!$B$8</f>
        <v>500</v>
      </c>
      <c r="E998" s="24" t="n">
        <f aca="false">H997+D997</f>
        <v>355053.668341709</v>
      </c>
      <c r="F998" s="11" t="n">
        <f aca="false">IF(가정!$B$11=1,MAX(0,MIN(가정!$B$16-C998,INT(E998/가정!$B$17))),0)</f>
        <v>0</v>
      </c>
      <c r="G998" s="24" t="n">
        <f aca="false">F998*가정!$B$17</f>
        <v>0</v>
      </c>
      <c r="H998" s="24" t="n">
        <f aca="false">E998-G998</f>
        <v>355053.668341709</v>
      </c>
      <c r="I998" s="24" t="n">
        <f aca="false">I997+D998</f>
        <v>382020</v>
      </c>
      <c r="J998" s="16" t="n">
        <f aca="false">(H998+D998)*가정!$B$10</f>
        <v>355553.668341709</v>
      </c>
      <c r="K998" s="24" t="n">
        <f aca="false">A998*가정!$B$8*가정!$B$7</f>
        <v>4970</v>
      </c>
      <c r="L998" s="11" t="n">
        <f aca="false">C998+F998</f>
        <v>100</v>
      </c>
    </row>
    <row r="999" customFormat="false" ht="15" hidden="false" customHeight="false" outlineLevel="0" collapsed="false">
      <c r="A999" s="11" t="n">
        <v>995</v>
      </c>
      <c r="B999" s="11" t="n">
        <f aca="false">MATCH(A999,월별!$C$6:$C$41,1)</f>
        <v>33</v>
      </c>
      <c r="C999" s="11" t="n">
        <f aca="false">L998</f>
        <v>100</v>
      </c>
      <c r="D999" s="24" t="n">
        <f aca="false">C999*가정!$B$8</f>
        <v>500</v>
      </c>
      <c r="E999" s="24" t="n">
        <f aca="false">H998+D998</f>
        <v>355553.668341709</v>
      </c>
      <c r="F999" s="11" t="n">
        <f aca="false">IF(가정!$B$11=1,MAX(0,MIN(가정!$B$16-C999,INT(E999/가정!$B$17))),0)</f>
        <v>0</v>
      </c>
      <c r="G999" s="24" t="n">
        <f aca="false">F999*가정!$B$17</f>
        <v>0</v>
      </c>
      <c r="H999" s="24" t="n">
        <f aca="false">E999-G999</f>
        <v>355553.668341709</v>
      </c>
      <c r="I999" s="24" t="n">
        <f aca="false">I998+D999</f>
        <v>382520</v>
      </c>
      <c r="J999" s="16" t="n">
        <f aca="false">(H999+D999)*가정!$B$10</f>
        <v>356053.668341709</v>
      </c>
      <c r="K999" s="24" t="n">
        <f aca="false">A999*가정!$B$8*가정!$B$7</f>
        <v>4975</v>
      </c>
      <c r="L999" s="11" t="n">
        <f aca="false">C999+F999</f>
        <v>100</v>
      </c>
    </row>
    <row r="1000" customFormat="false" ht="15" hidden="false" customHeight="false" outlineLevel="0" collapsed="false">
      <c r="A1000" s="11" t="n">
        <v>996</v>
      </c>
      <c r="B1000" s="11" t="n">
        <f aca="false">MATCH(A1000,월별!$C$6:$C$41,1)</f>
        <v>33</v>
      </c>
      <c r="C1000" s="11" t="n">
        <f aca="false">L999</f>
        <v>100</v>
      </c>
      <c r="D1000" s="24" t="n">
        <f aca="false">C1000*가정!$B$8</f>
        <v>500</v>
      </c>
      <c r="E1000" s="24" t="n">
        <f aca="false">H999+D999</f>
        <v>356053.668341709</v>
      </c>
      <c r="F1000" s="11" t="n">
        <f aca="false">IF(가정!$B$11=1,MAX(0,MIN(가정!$B$16-C1000,INT(E1000/가정!$B$17))),0)</f>
        <v>0</v>
      </c>
      <c r="G1000" s="24" t="n">
        <f aca="false">F1000*가정!$B$17</f>
        <v>0</v>
      </c>
      <c r="H1000" s="24" t="n">
        <f aca="false">E1000-G1000</f>
        <v>356053.668341709</v>
      </c>
      <c r="I1000" s="24" t="n">
        <f aca="false">I999+D1000</f>
        <v>383020</v>
      </c>
      <c r="J1000" s="16" t="n">
        <f aca="false">(H1000+D1000)*가정!$B$10</f>
        <v>356553.668341709</v>
      </c>
      <c r="K1000" s="24" t="n">
        <f aca="false">A1000*가정!$B$8*가정!$B$7</f>
        <v>4980</v>
      </c>
      <c r="L1000" s="11" t="n">
        <f aca="false">C1000+F1000</f>
        <v>100</v>
      </c>
    </row>
    <row r="1001" customFormat="false" ht="15" hidden="false" customHeight="false" outlineLevel="0" collapsed="false">
      <c r="A1001" s="11" t="n">
        <v>997</v>
      </c>
      <c r="B1001" s="11" t="n">
        <f aca="false">MATCH(A1001,월별!$C$6:$C$41,1)</f>
        <v>33</v>
      </c>
      <c r="C1001" s="11" t="n">
        <f aca="false">L1000</f>
        <v>100</v>
      </c>
      <c r="D1001" s="24" t="n">
        <f aca="false">C1001*가정!$B$8</f>
        <v>500</v>
      </c>
      <c r="E1001" s="24" t="n">
        <f aca="false">H1000+D1000</f>
        <v>356553.668341709</v>
      </c>
      <c r="F1001" s="11" t="n">
        <f aca="false">IF(가정!$B$11=1,MAX(0,MIN(가정!$B$16-C1001,INT(E1001/가정!$B$17))),0)</f>
        <v>0</v>
      </c>
      <c r="G1001" s="24" t="n">
        <f aca="false">F1001*가정!$B$17</f>
        <v>0</v>
      </c>
      <c r="H1001" s="24" t="n">
        <f aca="false">E1001-G1001</f>
        <v>356553.668341709</v>
      </c>
      <c r="I1001" s="24" t="n">
        <f aca="false">I1000+D1001</f>
        <v>383520</v>
      </c>
      <c r="J1001" s="16" t="n">
        <f aca="false">(H1001+D1001)*가정!$B$10</f>
        <v>357053.668341709</v>
      </c>
      <c r="K1001" s="24" t="n">
        <f aca="false">A1001*가정!$B$8*가정!$B$7</f>
        <v>4985</v>
      </c>
      <c r="L1001" s="11" t="n">
        <f aca="false">C1001+F1001</f>
        <v>100</v>
      </c>
    </row>
    <row r="1002" customFormat="false" ht="15" hidden="false" customHeight="false" outlineLevel="0" collapsed="false">
      <c r="A1002" s="11" t="n">
        <v>998</v>
      </c>
      <c r="B1002" s="11" t="n">
        <f aca="false">MATCH(A1002,월별!$C$6:$C$41,1)</f>
        <v>33</v>
      </c>
      <c r="C1002" s="11" t="n">
        <f aca="false">L1001</f>
        <v>100</v>
      </c>
      <c r="D1002" s="24" t="n">
        <f aca="false">C1002*가정!$B$8</f>
        <v>500</v>
      </c>
      <c r="E1002" s="24" t="n">
        <f aca="false">H1001+D1001</f>
        <v>357053.668341709</v>
      </c>
      <c r="F1002" s="11" t="n">
        <f aca="false">IF(가정!$B$11=1,MAX(0,MIN(가정!$B$16-C1002,INT(E1002/가정!$B$17))),0)</f>
        <v>0</v>
      </c>
      <c r="G1002" s="24" t="n">
        <f aca="false">F1002*가정!$B$17</f>
        <v>0</v>
      </c>
      <c r="H1002" s="24" t="n">
        <f aca="false">E1002-G1002</f>
        <v>357053.668341709</v>
      </c>
      <c r="I1002" s="24" t="n">
        <f aca="false">I1001+D1002</f>
        <v>384020</v>
      </c>
      <c r="J1002" s="16" t="n">
        <f aca="false">(H1002+D1002)*가정!$B$10</f>
        <v>357553.668341709</v>
      </c>
      <c r="K1002" s="24" t="n">
        <f aca="false">A1002*가정!$B$8*가정!$B$7</f>
        <v>4990</v>
      </c>
      <c r="L1002" s="11" t="n">
        <f aca="false">C1002+F1002</f>
        <v>100</v>
      </c>
    </row>
    <row r="1003" customFormat="false" ht="15" hidden="false" customHeight="false" outlineLevel="0" collapsed="false">
      <c r="A1003" s="11" t="n">
        <v>999</v>
      </c>
      <c r="B1003" s="11" t="n">
        <f aca="false">MATCH(A1003,월별!$C$6:$C$41,1)</f>
        <v>33</v>
      </c>
      <c r="C1003" s="11" t="n">
        <f aca="false">L1002</f>
        <v>100</v>
      </c>
      <c r="D1003" s="24" t="n">
        <f aca="false">C1003*가정!$B$8</f>
        <v>500</v>
      </c>
      <c r="E1003" s="24" t="n">
        <f aca="false">H1002+D1002</f>
        <v>357553.668341709</v>
      </c>
      <c r="F1003" s="11" t="n">
        <f aca="false">IF(가정!$B$11=1,MAX(0,MIN(가정!$B$16-C1003,INT(E1003/가정!$B$17))),0)</f>
        <v>0</v>
      </c>
      <c r="G1003" s="24" t="n">
        <f aca="false">F1003*가정!$B$17</f>
        <v>0</v>
      </c>
      <c r="H1003" s="24" t="n">
        <f aca="false">E1003-G1003</f>
        <v>357553.668341709</v>
      </c>
      <c r="I1003" s="24" t="n">
        <f aca="false">I1002+D1003</f>
        <v>384520</v>
      </c>
      <c r="J1003" s="16" t="n">
        <f aca="false">(H1003+D1003)*가정!$B$10</f>
        <v>358053.668341709</v>
      </c>
      <c r="K1003" s="24" t="n">
        <f aca="false">A1003*가정!$B$8*가정!$B$7</f>
        <v>4995</v>
      </c>
      <c r="L1003" s="11" t="n">
        <f aca="false">C1003+F1003</f>
        <v>100</v>
      </c>
    </row>
    <row r="1004" customFormat="false" ht="15" hidden="false" customHeight="false" outlineLevel="0" collapsed="false">
      <c r="A1004" s="11" t="n">
        <v>1000</v>
      </c>
      <c r="B1004" s="11" t="n">
        <f aca="false">MATCH(A1004,월별!$C$6:$C$41,1)</f>
        <v>33</v>
      </c>
      <c r="C1004" s="11" t="n">
        <f aca="false">L1003</f>
        <v>100</v>
      </c>
      <c r="D1004" s="24" t="n">
        <f aca="false">C1004*가정!$B$8</f>
        <v>500</v>
      </c>
      <c r="E1004" s="24" t="n">
        <f aca="false">H1003+D1003</f>
        <v>358053.668341709</v>
      </c>
      <c r="F1004" s="11" t="n">
        <f aca="false">IF(가정!$B$11=1,MAX(0,MIN(가정!$B$16-C1004,INT(E1004/가정!$B$17))),0)</f>
        <v>0</v>
      </c>
      <c r="G1004" s="24" t="n">
        <f aca="false">F1004*가정!$B$17</f>
        <v>0</v>
      </c>
      <c r="H1004" s="24" t="n">
        <f aca="false">E1004-G1004</f>
        <v>358053.668341709</v>
      </c>
      <c r="I1004" s="24" t="n">
        <f aca="false">I1003+D1004</f>
        <v>385020</v>
      </c>
      <c r="J1004" s="16" t="n">
        <f aca="false">(H1004+D1004)*가정!$B$10</f>
        <v>358553.668341709</v>
      </c>
      <c r="K1004" s="24" t="n">
        <f aca="false">A1004*가정!$B$8*가정!$B$7</f>
        <v>5000</v>
      </c>
      <c r="L1004" s="11" t="n">
        <f aca="false">C1004+F1004</f>
        <v>100</v>
      </c>
    </row>
    <row r="1005" customFormat="false" ht="15" hidden="false" customHeight="false" outlineLevel="0" collapsed="false">
      <c r="A1005" s="11" t="n">
        <v>1001</v>
      </c>
      <c r="B1005" s="11" t="n">
        <f aca="false">MATCH(A1005,월별!$C$6:$C$41,1)</f>
        <v>33</v>
      </c>
      <c r="C1005" s="11" t="n">
        <f aca="false">L1004</f>
        <v>100</v>
      </c>
      <c r="D1005" s="24" t="n">
        <f aca="false">C1005*가정!$B$8</f>
        <v>500</v>
      </c>
      <c r="E1005" s="24" t="n">
        <f aca="false">H1004+D1004</f>
        <v>358553.668341709</v>
      </c>
      <c r="F1005" s="11" t="n">
        <f aca="false">IF(가정!$B$11=1,MAX(0,MIN(가정!$B$16-C1005,INT(E1005/가정!$B$17))),0)</f>
        <v>0</v>
      </c>
      <c r="G1005" s="24" t="n">
        <f aca="false">F1005*가정!$B$17</f>
        <v>0</v>
      </c>
      <c r="H1005" s="24" t="n">
        <f aca="false">E1005-G1005</f>
        <v>358553.668341709</v>
      </c>
      <c r="I1005" s="24" t="n">
        <f aca="false">I1004+D1005</f>
        <v>385520</v>
      </c>
      <c r="J1005" s="16" t="n">
        <f aca="false">(H1005+D1005)*가정!$B$10</f>
        <v>359053.668341709</v>
      </c>
      <c r="K1005" s="24" t="n">
        <f aca="false">A1005*가정!$B$8*가정!$B$7</f>
        <v>5005</v>
      </c>
      <c r="L1005" s="11" t="n">
        <f aca="false">C1005+F1005</f>
        <v>100</v>
      </c>
    </row>
    <row r="1006" customFormat="false" ht="15" hidden="false" customHeight="false" outlineLevel="0" collapsed="false">
      <c r="A1006" s="11" t="n">
        <v>1002</v>
      </c>
      <c r="B1006" s="11" t="n">
        <f aca="false">MATCH(A1006,월별!$C$6:$C$41,1)</f>
        <v>33</v>
      </c>
      <c r="C1006" s="11" t="n">
        <f aca="false">L1005</f>
        <v>100</v>
      </c>
      <c r="D1006" s="24" t="n">
        <f aca="false">C1006*가정!$B$8</f>
        <v>500</v>
      </c>
      <c r="E1006" s="24" t="n">
        <f aca="false">H1005+D1005</f>
        <v>359053.668341709</v>
      </c>
      <c r="F1006" s="11" t="n">
        <f aca="false">IF(가정!$B$11=1,MAX(0,MIN(가정!$B$16-C1006,INT(E1006/가정!$B$17))),0)</f>
        <v>0</v>
      </c>
      <c r="G1006" s="24" t="n">
        <f aca="false">F1006*가정!$B$17</f>
        <v>0</v>
      </c>
      <c r="H1006" s="24" t="n">
        <f aca="false">E1006-G1006</f>
        <v>359053.668341709</v>
      </c>
      <c r="I1006" s="24" t="n">
        <f aca="false">I1005+D1006</f>
        <v>386020</v>
      </c>
      <c r="J1006" s="16" t="n">
        <f aca="false">(H1006+D1006)*가정!$B$10</f>
        <v>359553.668341709</v>
      </c>
      <c r="K1006" s="24" t="n">
        <f aca="false">A1006*가정!$B$8*가정!$B$7</f>
        <v>5010</v>
      </c>
      <c r="L1006" s="11" t="n">
        <f aca="false">C1006+F1006</f>
        <v>100</v>
      </c>
    </row>
    <row r="1007" customFormat="false" ht="15" hidden="false" customHeight="false" outlineLevel="0" collapsed="false">
      <c r="A1007" s="11" t="n">
        <v>1003</v>
      </c>
      <c r="B1007" s="11" t="n">
        <f aca="false">MATCH(A1007,월별!$C$6:$C$41,1)</f>
        <v>33</v>
      </c>
      <c r="C1007" s="11" t="n">
        <f aca="false">L1006</f>
        <v>100</v>
      </c>
      <c r="D1007" s="24" t="n">
        <f aca="false">C1007*가정!$B$8</f>
        <v>500</v>
      </c>
      <c r="E1007" s="24" t="n">
        <f aca="false">H1006+D1006</f>
        <v>359553.668341709</v>
      </c>
      <c r="F1007" s="11" t="n">
        <f aca="false">IF(가정!$B$11=1,MAX(0,MIN(가정!$B$16-C1007,INT(E1007/가정!$B$17))),0)</f>
        <v>0</v>
      </c>
      <c r="G1007" s="24" t="n">
        <f aca="false">F1007*가정!$B$17</f>
        <v>0</v>
      </c>
      <c r="H1007" s="24" t="n">
        <f aca="false">E1007-G1007</f>
        <v>359553.668341709</v>
      </c>
      <c r="I1007" s="24" t="n">
        <f aca="false">I1006+D1007</f>
        <v>386520</v>
      </c>
      <c r="J1007" s="16" t="n">
        <f aca="false">(H1007+D1007)*가정!$B$10</f>
        <v>360053.668341709</v>
      </c>
      <c r="K1007" s="24" t="n">
        <f aca="false">A1007*가정!$B$8*가정!$B$7</f>
        <v>5015</v>
      </c>
      <c r="L1007" s="11" t="n">
        <f aca="false">C1007+F1007</f>
        <v>100</v>
      </c>
    </row>
    <row r="1008" customFormat="false" ht="15" hidden="false" customHeight="false" outlineLevel="0" collapsed="false">
      <c r="A1008" s="11" t="n">
        <v>1004</v>
      </c>
      <c r="B1008" s="11" t="n">
        <f aca="false">MATCH(A1008,월별!$C$6:$C$41,1)</f>
        <v>33</v>
      </c>
      <c r="C1008" s="11" t="n">
        <f aca="false">L1007</f>
        <v>100</v>
      </c>
      <c r="D1008" s="24" t="n">
        <f aca="false">C1008*가정!$B$8</f>
        <v>500</v>
      </c>
      <c r="E1008" s="24" t="n">
        <f aca="false">H1007+D1007</f>
        <v>360053.668341709</v>
      </c>
      <c r="F1008" s="11" t="n">
        <f aca="false">IF(가정!$B$11=1,MAX(0,MIN(가정!$B$16-C1008,INT(E1008/가정!$B$17))),0)</f>
        <v>0</v>
      </c>
      <c r="G1008" s="24" t="n">
        <f aca="false">F1008*가정!$B$17</f>
        <v>0</v>
      </c>
      <c r="H1008" s="24" t="n">
        <f aca="false">E1008-G1008</f>
        <v>360053.668341709</v>
      </c>
      <c r="I1008" s="24" t="n">
        <f aca="false">I1007+D1008</f>
        <v>387020</v>
      </c>
      <c r="J1008" s="16" t="n">
        <f aca="false">(H1008+D1008)*가정!$B$10</f>
        <v>360553.668341709</v>
      </c>
      <c r="K1008" s="24" t="n">
        <f aca="false">A1008*가정!$B$8*가정!$B$7</f>
        <v>5020</v>
      </c>
      <c r="L1008" s="11" t="n">
        <f aca="false">C1008+F1008</f>
        <v>100</v>
      </c>
    </row>
    <row r="1009" customFormat="false" ht="15" hidden="false" customHeight="false" outlineLevel="0" collapsed="false">
      <c r="A1009" s="11" t="n">
        <v>1005</v>
      </c>
      <c r="B1009" s="11" t="n">
        <f aca="false">MATCH(A1009,월별!$C$6:$C$41,1)</f>
        <v>34</v>
      </c>
      <c r="C1009" s="11" t="n">
        <f aca="false">L1008</f>
        <v>100</v>
      </c>
      <c r="D1009" s="24" t="n">
        <f aca="false">C1009*가정!$B$8</f>
        <v>500</v>
      </c>
      <c r="E1009" s="24" t="n">
        <f aca="false">H1008+D1008</f>
        <v>360553.668341709</v>
      </c>
      <c r="F1009" s="11" t="n">
        <f aca="false">IF(가정!$B$11=1,MAX(0,MIN(가정!$B$16-C1009,INT(E1009/가정!$B$17))),0)</f>
        <v>0</v>
      </c>
      <c r="G1009" s="24" t="n">
        <f aca="false">F1009*가정!$B$17</f>
        <v>0</v>
      </c>
      <c r="H1009" s="24" t="n">
        <f aca="false">E1009-G1009</f>
        <v>360553.668341709</v>
      </c>
      <c r="I1009" s="24" t="n">
        <f aca="false">I1008+D1009</f>
        <v>387520</v>
      </c>
      <c r="J1009" s="16" t="n">
        <f aca="false">(H1009+D1009)*가정!$B$10</f>
        <v>361053.668341709</v>
      </c>
      <c r="K1009" s="24" t="n">
        <f aca="false">A1009*가정!$B$8*가정!$B$7</f>
        <v>5025</v>
      </c>
      <c r="L1009" s="11" t="n">
        <f aca="false">C1009+F1009</f>
        <v>100</v>
      </c>
    </row>
    <row r="1010" customFormat="false" ht="15" hidden="false" customHeight="false" outlineLevel="0" collapsed="false">
      <c r="A1010" s="11" t="n">
        <v>1006</v>
      </c>
      <c r="B1010" s="11" t="n">
        <f aca="false">MATCH(A1010,월별!$C$6:$C$41,1)</f>
        <v>34</v>
      </c>
      <c r="C1010" s="11" t="n">
        <f aca="false">L1009</f>
        <v>100</v>
      </c>
      <c r="D1010" s="24" t="n">
        <f aca="false">C1010*가정!$B$8</f>
        <v>500</v>
      </c>
      <c r="E1010" s="24" t="n">
        <f aca="false">H1009+D1009</f>
        <v>361053.668341709</v>
      </c>
      <c r="F1010" s="11" t="n">
        <f aca="false">IF(가정!$B$11=1,MAX(0,MIN(가정!$B$16-C1010,INT(E1010/가정!$B$17))),0)</f>
        <v>0</v>
      </c>
      <c r="G1010" s="24" t="n">
        <f aca="false">F1010*가정!$B$17</f>
        <v>0</v>
      </c>
      <c r="H1010" s="24" t="n">
        <f aca="false">E1010-G1010</f>
        <v>361053.668341709</v>
      </c>
      <c r="I1010" s="24" t="n">
        <f aca="false">I1009+D1010</f>
        <v>388020</v>
      </c>
      <c r="J1010" s="16" t="n">
        <f aca="false">(H1010+D1010)*가정!$B$10</f>
        <v>361553.668341709</v>
      </c>
      <c r="K1010" s="24" t="n">
        <f aca="false">A1010*가정!$B$8*가정!$B$7</f>
        <v>5030</v>
      </c>
      <c r="L1010" s="11" t="n">
        <f aca="false">C1010+F1010</f>
        <v>100</v>
      </c>
    </row>
    <row r="1011" customFormat="false" ht="15" hidden="false" customHeight="false" outlineLevel="0" collapsed="false">
      <c r="A1011" s="11" t="n">
        <v>1007</v>
      </c>
      <c r="B1011" s="11" t="n">
        <f aca="false">MATCH(A1011,월별!$C$6:$C$41,1)</f>
        <v>34</v>
      </c>
      <c r="C1011" s="11" t="n">
        <f aca="false">L1010</f>
        <v>100</v>
      </c>
      <c r="D1011" s="24" t="n">
        <f aca="false">C1011*가정!$B$8</f>
        <v>500</v>
      </c>
      <c r="E1011" s="24" t="n">
        <f aca="false">H1010+D1010</f>
        <v>361553.668341709</v>
      </c>
      <c r="F1011" s="11" t="n">
        <f aca="false">IF(가정!$B$11=1,MAX(0,MIN(가정!$B$16-C1011,INT(E1011/가정!$B$17))),0)</f>
        <v>0</v>
      </c>
      <c r="G1011" s="24" t="n">
        <f aca="false">F1011*가정!$B$17</f>
        <v>0</v>
      </c>
      <c r="H1011" s="24" t="n">
        <f aca="false">E1011-G1011</f>
        <v>361553.668341709</v>
      </c>
      <c r="I1011" s="24" t="n">
        <f aca="false">I1010+D1011</f>
        <v>388520</v>
      </c>
      <c r="J1011" s="16" t="n">
        <f aca="false">(H1011+D1011)*가정!$B$10</f>
        <v>362053.668341709</v>
      </c>
      <c r="K1011" s="24" t="n">
        <f aca="false">A1011*가정!$B$8*가정!$B$7</f>
        <v>5035</v>
      </c>
      <c r="L1011" s="11" t="n">
        <f aca="false">C1011+F1011</f>
        <v>100</v>
      </c>
    </row>
    <row r="1012" customFormat="false" ht="15" hidden="false" customHeight="false" outlineLevel="0" collapsed="false">
      <c r="A1012" s="11" t="n">
        <v>1008</v>
      </c>
      <c r="B1012" s="11" t="n">
        <f aca="false">MATCH(A1012,월별!$C$6:$C$41,1)</f>
        <v>34</v>
      </c>
      <c r="C1012" s="11" t="n">
        <f aca="false">L1011</f>
        <v>100</v>
      </c>
      <c r="D1012" s="24" t="n">
        <f aca="false">C1012*가정!$B$8</f>
        <v>500</v>
      </c>
      <c r="E1012" s="24" t="n">
        <f aca="false">H1011+D1011</f>
        <v>362053.668341709</v>
      </c>
      <c r="F1012" s="11" t="n">
        <f aca="false">IF(가정!$B$11=1,MAX(0,MIN(가정!$B$16-C1012,INT(E1012/가정!$B$17))),0)</f>
        <v>0</v>
      </c>
      <c r="G1012" s="24" t="n">
        <f aca="false">F1012*가정!$B$17</f>
        <v>0</v>
      </c>
      <c r="H1012" s="24" t="n">
        <f aca="false">E1012-G1012</f>
        <v>362053.668341709</v>
      </c>
      <c r="I1012" s="24" t="n">
        <f aca="false">I1011+D1012</f>
        <v>389020</v>
      </c>
      <c r="J1012" s="16" t="n">
        <f aca="false">(H1012+D1012)*가정!$B$10</f>
        <v>362553.668341709</v>
      </c>
      <c r="K1012" s="24" t="n">
        <f aca="false">A1012*가정!$B$8*가정!$B$7</f>
        <v>5040</v>
      </c>
      <c r="L1012" s="11" t="n">
        <f aca="false">C1012+F1012</f>
        <v>100</v>
      </c>
    </row>
    <row r="1013" customFormat="false" ht="15" hidden="false" customHeight="false" outlineLevel="0" collapsed="false">
      <c r="A1013" s="11" t="n">
        <v>1009</v>
      </c>
      <c r="B1013" s="11" t="n">
        <f aca="false">MATCH(A1013,월별!$C$6:$C$41,1)</f>
        <v>34</v>
      </c>
      <c r="C1013" s="11" t="n">
        <f aca="false">L1012</f>
        <v>100</v>
      </c>
      <c r="D1013" s="24" t="n">
        <f aca="false">C1013*가정!$B$8</f>
        <v>500</v>
      </c>
      <c r="E1013" s="24" t="n">
        <f aca="false">H1012+D1012</f>
        <v>362553.668341709</v>
      </c>
      <c r="F1013" s="11" t="n">
        <f aca="false">IF(가정!$B$11=1,MAX(0,MIN(가정!$B$16-C1013,INT(E1013/가정!$B$17))),0)</f>
        <v>0</v>
      </c>
      <c r="G1013" s="24" t="n">
        <f aca="false">F1013*가정!$B$17</f>
        <v>0</v>
      </c>
      <c r="H1013" s="24" t="n">
        <f aca="false">E1013-G1013</f>
        <v>362553.668341709</v>
      </c>
      <c r="I1013" s="24" t="n">
        <f aca="false">I1012+D1013</f>
        <v>389520</v>
      </c>
      <c r="J1013" s="16" t="n">
        <f aca="false">(H1013+D1013)*가정!$B$10</f>
        <v>363053.668341709</v>
      </c>
      <c r="K1013" s="24" t="n">
        <f aca="false">A1013*가정!$B$8*가정!$B$7</f>
        <v>5045</v>
      </c>
      <c r="L1013" s="11" t="n">
        <f aca="false">C1013+F1013</f>
        <v>100</v>
      </c>
    </row>
    <row r="1014" customFormat="false" ht="15" hidden="false" customHeight="false" outlineLevel="0" collapsed="false">
      <c r="A1014" s="11" t="n">
        <v>1010</v>
      </c>
      <c r="B1014" s="11" t="n">
        <f aca="false">MATCH(A1014,월별!$C$6:$C$41,1)</f>
        <v>34</v>
      </c>
      <c r="C1014" s="11" t="n">
        <f aca="false">L1013</f>
        <v>100</v>
      </c>
      <c r="D1014" s="24" t="n">
        <f aca="false">C1014*가정!$B$8</f>
        <v>500</v>
      </c>
      <c r="E1014" s="24" t="n">
        <f aca="false">H1013+D1013</f>
        <v>363053.668341709</v>
      </c>
      <c r="F1014" s="11" t="n">
        <f aca="false">IF(가정!$B$11=1,MAX(0,MIN(가정!$B$16-C1014,INT(E1014/가정!$B$17))),0)</f>
        <v>0</v>
      </c>
      <c r="G1014" s="24" t="n">
        <f aca="false">F1014*가정!$B$17</f>
        <v>0</v>
      </c>
      <c r="H1014" s="24" t="n">
        <f aca="false">E1014-G1014</f>
        <v>363053.668341709</v>
      </c>
      <c r="I1014" s="24" t="n">
        <f aca="false">I1013+D1014</f>
        <v>390020</v>
      </c>
      <c r="J1014" s="16" t="n">
        <f aca="false">(H1014+D1014)*가정!$B$10</f>
        <v>363553.668341709</v>
      </c>
      <c r="K1014" s="24" t="n">
        <f aca="false">A1014*가정!$B$8*가정!$B$7</f>
        <v>5050</v>
      </c>
      <c r="L1014" s="11" t="n">
        <f aca="false">C1014+F1014</f>
        <v>100</v>
      </c>
    </row>
    <row r="1015" customFormat="false" ht="15" hidden="false" customHeight="false" outlineLevel="0" collapsed="false">
      <c r="A1015" s="11" t="n">
        <v>1011</v>
      </c>
      <c r="B1015" s="11" t="n">
        <f aca="false">MATCH(A1015,월별!$C$6:$C$41,1)</f>
        <v>34</v>
      </c>
      <c r="C1015" s="11" t="n">
        <f aca="false">L1014</f>
        <v>100</v>
      </c>
      <c r="D1015" s="24" t="n">
        <f aca="false">C1015*가정!$B$8</f>
        <v>500</v>
      </c>
      <c r="E1015" s="24" t="n">
        <f aca="false">H1014+D1014</f>
        <v>363553.668341709</v>
      </c>
      <c r="F1015" s="11" t="n">
        <f aca="false">IF(가정!$B$11=1,MAX(0,MIN(가정!$B$16-C1015,INT(E1015/가정!$B$17))),0)</f>
        <v>0</v>
      </c>
      <c r="G1015" s="24" t="n">
        <f aca="false">F1015*가정!$B$17</f>
        <v>0</v>
      </c>
      <c r="H1015" s="24" t="n">
        <f aca="false">E1015-G1015</f>
        <v>363553.668341709</v>
      </c>
      <c r="I1015" s="24" t="n">
        <f aca="false">I1014+D1015</f>
        <v>390520</v>
      </c>
      <c r="J1015" s="16" t="n">
        <f aca="false">(H1015+D1015)*가정!$B$10</f>
        <v>364053.668341709</v>
      </c>
      <c r="K1015" s="24" t="n">
        <f aca="false">A1015*가정!$B$8*가정!$B$7</f>
        <v>5055</v>
      </c>
      <c r="L1015" s="11" t="n">
        <f aca="false">C1015+F1015</f>
        <v>100</v>
      </c>
    </row>
    <row r="1016" customFormat="false" ht="15" hidden="false" customHeight="false" outlineLevel="0" collapsed="false">
      <c r="A1016" s="11" t="n">
        <v>1012</v>
      </c>
      <c r="B1016" s="11" t="n">
        <f aca="false">MATCH(A1016,월별!$C$6:$C$41,1)</f>
        <v>34</v>
      </c>
      <c r="C1016" s="11" t="n">
        <f aca="false">L1015</f>
        <v>100</v>
      </c>
      <c r="D1016" s="24" t="n">
        <f aca="false">C1016*가정!$B$8</f>
        <v>500</v>
      </c>
      <c r="E1016" s="24" t="n">
        <f aca="false">H1015+D1015</f>
        <v>364053.668341709</v>
      </c>
      <c r="F1016" s="11" t="n">
        <f aca="false">IF(가정!$B$11=1,MAX(0,MIN(가정!$B$16-C1016,INT(E1016/가정!$B$17))),0)</f>
        <v>0</v>
      </c>
      <c r="G1016" s="24" t="n">
        <f aca="false">F1016*가정!$B$17</f>
        <v>0</v>
      </c>
      <c r="H1016" s="24" t="n">
        <f aca="false">E1016-G1016</f>
        <v>364053.668341709</v>
      </c>
      <c r="I1016" s="24" t="n">
        <f aca="false">I1015+D1016</f>
        <v>391020</v>
      </c>
      <c r="J1016" s="16" t="n">
        <f aca="false">(H1016+D1016)*가정!$B$10</f>
        <v>364553.668341709</v>
      </c>
      <c r="K1016" s="24" t="n">
        <f aca="false">A1016*가정!$B$8*가정!$B$7</f>
        <v>5060</v>
      </c>
      <c r="L1016" s="11" t="n">
        <f aca="false">C1016+F1016</f>
        <v>100</v>
      </c>
    </row>
    <row r="1017" customFormat="false" ht="15" hidden="false" customHeight="false" outlineLevel="0" collapsed="false">
      <c r="A1017" s="11" t="n">
        <v>1013</v>
      </c>
      <c r="B1017" s="11" t="n">
        <f aca="false">MATCH(A1017,월별!$C$6:$C$41,1)</f>
        <v>34</v>
      </c>
      <c r="C1017" s="11" t="n">
        <f aca="false">L1016</f>
        <v>100</v>
      </c>
      <c r="D1017" s="24" t="n">
        <f aca="false">C1017*가정!$B$8</f>
        <v>500</v>
      </c>
      <c r="E1017" s="24" t="n">
        <f aca="false">H1016+D1016</f>
        <v>364553.668341709</v>
      </c>
      <c r="F1017" s="11" t="n">
        <f aca="false">IF(가정!$B$11=1,MAX(0,MIN(가정!$B$16-C1017,INT(E1017/가정!$B$17))),0)</f>
        <v>0</v>
      </c>
      <c r="G1017" s="24" t="n">
        <f aca="false">F1017*가정!$B$17</f>
        <v>0</v>
      </c>
      <c r="H1017" s="24" t="n">
        <f aca="false">E1017-G1017</f>
        <v>364553.668341709</v>
      </c>
      <c r="I1017" s="24" t="n">
        <f aca="false">I1016+D1017</f>
        <v>391520</v>
      </c>
      <c r="J1017" s="16" t="n">
        <f aca="false">(H1017+D1017)*가정!$B$10</f>
        <v>365053.668341709</v>
      </c>
      <c r="K1017" s="24" t="n">
        <f aca="false">A1017*가정!$B$8*가정!$B$7</f>
        <v>5065</v>
      </c>
      <c r="L1017" s="11" t="n">
        <f aca="false">C1017+F1017</f>
        <v>100</v>
      </c>
    </row>
    <row r="1018" customFormat="false" ht="15" hidden="false" customHeight="false" outlineLevel="0" collapsed="false">
      <c r="A1018" s="11" t="n">
        <v>1014</v>
      </c>
      <c r="B1018" s="11" t="n">
        <f aca="false">MATCH(A1018,월별!$C$6:$C$41,1)</f>
        <v>34</v>
      </c>
      <c r="C1018" s="11" t="n">
        <f aca="false">L1017</f>
        <v>100</v>
      </c>
      <c r="D1018" s="24" t="n">
        <f aca="false">C1018*가정!$B$8</f>
        <v>500</v>
      </c>
      <c r="E1018" s="24" t="n">
        <f aca="false">H1017+D1017</f>
        <v>365053.668341709</v>
      </c>
      <c r="F1018" s="11" t="n">
        <f aca="false">IF(가정!$B$11=1,MAX(0,MIN(가정!$B$16-C1018,INT(E1018/가정!$B$17))),0)</f>
        <v>0</v>
      </c>
      <c r="G1018" s="24" t="n">
        <f aca="false">F1018*가정!$B$17</f>
        <v>0</v>
      </c>
      <c r="H1018" s="24" t="n">
        <f aca="false">E1018-G1018</f>
        <v>365053.668341709</v>
      </c>
      <c r="I1018" s="24" t="n">
        <f aca="false">I1017+D1018</f>
        <v>392020</v>
      </c>
      <c r="J1018" s="16" t="n">
        <f aca="false">(H1018+D1018)*가정!$B$10</f>
        <v>365553.668341709</v>
      </c>
      <c r="K1018" s="24" t="n">
        <f aca="false">A1018*가정!$B$8*가정!$B$7</f>
        <v>5070</v>
      </c>
      <c r="L1018" s="11" t="n">
        <f aca="false">C1018+F1018</f>
        <v>100</v>
      </c>
    </row>
    <row r="1019" customFormat="false" ht="15" hidden="false" customHeight="false" outlineLevel="0" collapsed="false">
      <c r="A1019" s="11" t="n">
        <v>1015</v>
      </c>
      <c r="B1019" s="11" t="n">
        <f aca="false">MATCH(A1019,월별!$C$6:$C$41,1)</f>
        <v>34</v>
      </c>
      <c r="C1019" s="11" t="n">
        <f aca="false">L1018</f>
        <v>100</v>
      </c>
      <c r="D1019" s="24" t="n">
        <f aca="false">C1019*가정!$B$8</f>
        <v>500</v>
      </c>
      <c r="E1019" s="24" t="n">
        <f aca="false">H1018+D1018</f>
        <v>365553.668341709</v>
      </c>
      <c r="F1019" s="11" t="n">
        <f aca="false">IF(가정!$B$11=1,MAX(0,MIN(가정!$B$16-C1019,INT(E1019/가정!$B$17))),0)</f>
        <v>0</v>
      </c>
      <c r="G1019" s="24" t="n">
        <f aca="false">F1019*가정!$B$17</f>
        <v>0</v>
      </c>
      <c r="H1019" s="24" t="n">
        <f aca="false">E1019-G1019</f>
        <v>365553.668341709</v>
      </c>
      <c r="I1019" s="24" t="n">
        <f aca="false">I1018+D1019</f>
        <v>392520</v>
      </c>
      <c r="J1019" s="16" t="n">
        <f aca="false">(H1019+D1019)*가정!$B$10</f>
        <v>366053.668341709</v>
      </c>
      <c r="K1019" s="24" t="n">
        <f aca="false">A1019*가정!$B$8*가정!$B$7</f>
        <v>5075</v>
      </c>
      <c r="L1019" s="11" t="n">
        <f aca="false">C1019+F1019</f>
        <v>100</v>
      </c>
    </row>
    <row r="1020" customFormat="false" ht="15" hidden="false" customHeight="false" outlineLevel="0" collapsed="false">
      <c r="A1020" s="11" t="n">
        <v>1016</v>
      </c>
      <c r="B1020" s="11" t="n">
        <f aca="false">MATCH(A1020,월별!$C$6:$C$41,1)</f>
        <v>34</v>
      </c>
      <c r="C1020" s="11" t="n">
        <f aca="false">L1019</f>
        <v>100</v>
      </c>
      <c r="D1020" s="24" t="n">
        <f aca="false">C1020*가정!$B$8</f>
        <v>500</v>
      </c>
      <c r="E1020" s="24" t="n">
        <f aca="false">H1019+D1019</f>
        <v>366053.668341709</v>
      </c>
      <c r="F1020" s="11" t="n">
        <f aca="false">IF(가정!$B$11=1,MAX(0,MIN(가정!$B$16-C1020,INT(E1020/가정!$B$17))),0)</f>
        <v>0</v>
      </c>
      <c r="G1020" s="24" t="n">
        <f aca="false">F1020*가정!$B$17</f>
        <v>0</v>
      </c>
      <c r="H1020" s="24" t="n">
        <f aca="false">E1020-G1020</f>
        <v>366053.668341709</v>
      </c>
      <c r="I1020" s="24" t="n">
        <f aca="false">I1019+D1020</f>
        <v>393020</v>
      </c>
      <c r="J1020" s="16" t="n">
        <f aca="false">(H1020+D1020)*가정!$B$10</f>
        <v>366553.668341709</v>
      </c>
      <c r="K1020" s="24" t="n">
        <f aca="false">A1020*가정!$B$8*가정!$B$7</f>
        <v>5080</v>
      </c>
      <c r="L1020" s="11" t="n">
        <f aca="false">C1020+F1020</f>
        <v>100</v>
      </c>
    </row>
    <row r="1021" customFormat="false" ht="15" hidden="false" customHeight="false" outlineLevel="0" collapsed="false">
      <c r="A1021" s="11" t="n">
        <v>1017</v>
      </c>
      <c r="B1021" s="11" t="n">
        <f aca="false">MATCH(A1021,월별!$C$6:$C$41,1)</f>
        <v>34</v>
      </c>
      <c r="C1021" s="11" t="n">
        <f aca="false">L1020</f>
        <v>100</v>
      </c>
      <c r="D1021" s="24" t="n">
        <f aca="false">C1021*가정!$B$8</f>
        <v>500</v>
      </c>
      <c r="E1021" s="24" t="n">
        <f aca="false">H1020+D1020</f>
        <v>366553.668341709</v>
      </c>
      <c r="F1021" s="11" t="n">
        <f aca="false">IF(가정!$B$11=1,MAX(0,MIN(가정!$B$16-C1021,INT(E1021/가정!$B$17))),0)</f>
        <v>0</v>
      </c>
      <c r="G1021" s="24" t="n">
        <f aca="false">F1021*가정!$B$17</f>
        <v>0</v>
      </c>
      <c r="H1021" s="24" t="n">
        <f aca="false">E1021-G1021</f>
        <v>366553.668341709</v>
      </c>
      <c r="I1021" s="24" t="n">
        <f aca="false">I1020+D1021</f>
        <v>393520</v>
      </c>
      <c r="J1021" s="16" t="n">
        <f aca="false">(H1021+D1021)*가정!$B$10</f>
        <v>367053.668341709</v>
      </c>
      <c r="K1021" s="24" t="n">
        <f aca="false">A1021*가정!$B$8*가정!$B$7</f>
        <v>5085</v>
      </c>
      <c r="L1021" s="11" t="n">
        <f aca="false">C1021+F1021</f>
        <v>100</v>
      </c>
    </row>
    <row r="1022" customFormat="false" ht="15" hidden="false" customHeight="false" outlineLevel="0" collapsed="false">
      <c r="A1022" s="11" t="n">
        <v>1018</v>
      </c>
      <c r="B1022" s="11" t="n">
        <f aca="false">MATCH(A1022,월별!$C$6:$C$41,1)</f>
        <v>34</v>
      </c>
      <c r="C1022" s="11" t="n">
        <f aca="false">L1021</f>
        <v>100</v>
      </c>
      <c r="D1022" s="24" t="n">
        <f aca="false">C1022*가정!$B$8</f>
        <v>500</v>
      </c>
      <c r="E1022" s="24" t="n">
        <f aca="false">H1021+D1021</f>
        <v>367053.668341709</v>
      </c>
      <c r="F1022" s="11" t="n">
        <f aca="false">IF(가정!$B$11=1,MAX(0,MIN(가정!$B$16-C1022,INT(E1022/가정!$B$17))),0)</f>
        <v>0</v>
      </c>
      <c r="G1022" s="24" t="n">
        <f aca="false">F1022*가정!$B$17</f>
        <v>0</v>
      </c>
      <c r="H1022" s="24" t="n">
        <f aca="false">E1022-G1022</f>
        <v>367053.668341709</v>
      </c>
      <c r="I1022" s="24" t="n">
        <f aca="false">I1021+D1022</f>
        <v>394020</v>
      </c>
      <c r="J1022" s="16" t="n">
        <f aca="false">(H1022+D1022)*가정!$B$10</f>
        <v>367553.668341709</v>
      </c>
      <c r="K1022" s="24" t="n">
        <f aca="false">A1022*가정!$B$8*가정!$B$7</f>
        <v>5090</v>
      </c>
      <c r="L1022" s="11" t="n">
        <f aca="false">C1022+F1022</f>
        <v>100</v>
      </c>
    </row>
    <row r="1023" customFormat="false" ht="15" hidden="false" customHeight="false" outlineLevel="0" collapsed="false">
      <c r="A1023" s="11" t="n">
        <v>1019</v>
      </c>
      <c r="B1023" s="11" t="n">
        <f aca="false">MATCH(A1023,월별!$C$6:$C$41,1)</f>
        <v>34</v>
      </c>
      <c r="C1023" s="11" t="n">
        <f aca="false">L1022</f>
        <v>100</v>
      </c>
      <c r="D1023" s="24" t="n">
        <f aca="false">C1023*가정!$B$8</f>
        <v>500</v>
      </c>
      <c r="E1023" s="24" t="n">
        <f aca="false">H1022+D1022</f>
        <v>367553.668341709</v>
      </c>
      <c r="F1023" s="11" t="n">
        <f aca="false">IF(가정!$B$11=1,MAX(0,MIN(가정!$B$16-C1023,INT(E1023/가정!$B$17))),0)</f>
        <v>0</v>
      </c>
      <c r="G1023" s="24" t="n">
        <f aca="false">F1023*가정!$B$17</f>
        <v>0</v>
      </c>
      <c r="H1023" s="24" t="n">
        <f aca="false">E1023-G1023</f>
        <v>367553.668341709</v>
      </c>
      <c r="I1023" s="24" t="n">
        <f aca="false">I1022+D1023</f>
        <v>394520</v>
      </c>
      <c r="J1023" s="16" t="n">
        <f aca="false">(H1023+D1023)*가정!$B$10</f>
        <v>368053.668341709</v>
      </c>
      <c r="K1023" s="24" t="n">
        <f aca="false">A1023*가정!$B$8*가정!$B$7</f>
        <v>5095</v>
      </c>
      <c r="L1023" s="11" t="n">
        <f aca="false">C1023+F1023</f>
        <v>100</v>
      </c>
    </row>
    <row r="1024" customFormat="false" ht="15" hidden="false" customHeight="false" outlineLevel="0" collapsed="false">
      <c r="A1024" s="11" t="n">
        <v>1020</v>
      </c>
      <c r="B1024" s="11" t="n">
        <f aca="false">MATCH(A1024,월별!$C$6:$C$41,1)</f>
        <v>34</v>
      </c>
      <c r="C1024" s="11" t="n">
        <f aca="false">L1023</f>
        <v>100</v>
      </c>
      <c r="D1024" s="24" t="n">
        <f aca="false">C1024*가정!$B$8</f>
        <v>500</v>
      </c>
      <c r="E1024" s="24" t="n">
        <f aca="false">H1023+D1023</f>
        <v>368053.668341709</v>
      </c>
      <c r="F1024" s="11" t="n">
        <f aca="false">IF(가정!$B$11=1,MAX(0,MIN(가정!$B$16-C1024,INT(E1024/가정!$B$17))),0)</f>
        <v>0</v>
      </c>
      <c r="G1024" s="24" t="n">
        <f aca="false">F1024*가정!$B$17</f>
        <v>0</v>
      </c>
      <c r="H1024" s="24" t="n">
        <f aca="false">E1024-G1024</f>
        <v>368053.668341709</v>
      </c>
      <c r="I1024" s="24" t="n">
        <f aca="false">I1023+D1024</f>
        <v>395020</v>
      </c>
      <c r="J1024" s="16" t="n">
        <f aca="false">(H1024+D1024)*가정!$B$10</f>
        <v>368553.668341709</v>
      </c>
      <c r="K1024" s="24" t="n">
        <f aca="false">A1024*가정!$B$8*가정!$B$7</f>
        <v>5100</v>
      </c>
      <c r="L1024" s="11" t="n">
        <f aca="false">C1024+F1024</f>
        <v>100</v>
      </c>
    </row>
    <row r="1025" customFormat="false" ht="15" hidden="false" customHeight="false" outlineLevel="0" collapsed="false">
      <c r="A1025" s="11" t="n">
        <v>1021</v>
      </c>
      <c r="B1025" s="11" t="n">
        <f aca="false">MATCH(A1025,월별!$C$6:$C$41,1)</f>
        <v>34</v>
      </c>
      <c r="C1025" s="11" t="n">
        <f aca="false">L1024</f>
        <v>100</v>
      </c>
      <c r="D1025" s="24" t="n">
        <f aca="false">C1025*가정!$B$8</f>
        <v>500</v>
      </c>
      <c r="E1025" s="24" t="n">
        <f aca="false">H1024+D1024</f>
        <v>368553.668341709</v>
      </c>
      <c r="F1025" s="11" t="n">
        <f aca="false">IF(가정!$B$11=1,MAX(0,MIN(가정!$B$16-C1025,INT(E1025/가정!$B$17))),0)</f>
        <v>0</v>
      </c>
      <c r="G1025" s="24" t="n">
        <f aca="false">F1025*가정!$B$17</f>
        <v>0</v>
      </c>
      <c r="H1025" s="24" t="n">
        <f aca="false">E1025-G1025</f>
        <v>368553.668341709</v>
      </c>
      <c r="I1025" s="24" t="n">
        <f aca="false">I1024+D1025</f>
        <v>395520</v>
      </c>
      <c r="J1025" s="16" t="n">
        <f aca="false">(H1025+D1025)*가정!$B$10</f>
        <v>369053.668341709</v>
      </c>
      <c r="K1025" s="24" t="n">
        <f aca="false">A1025*가정!$B$8*가정!$B$7</f>
        <v>5105</v>
      </c>
      <c r="L1025" s="11" t="n">
        <f aca="false">C1025+F1025</f>
        <v>100</v>
      </c>
    </row>
    <row r="1026" customFormat="false" ht="15" hidden="false" customHeight="false" outlineLevel="0" collapsed="false">
      <c r="A1026" s="11" t="n">
        <v>1022</v>
      </c>
      <c r="B1026" s="11" t="n">
        <f aca="false">MATCH(A1026,월별!$C$6:$C$41,1)</f>
        <v>34</v>
      </c>
      <c r="C1026" s="11" t="n">
        <f aca="false">L1025</f>
        <v>100</v>
      </c>
      <c r="D1026" s="24" t="n">
        <f aca="false">C1026*가정!$B$8</f>
        <v>500</v>
      </c>
      <c r="E1026" s="24" t="n">
        <f aca="false">H1025+D1025</f>
        <v>369053.668341709</v>
      </c>
      <c r="F1026" s="11" t="n">
        <f aca="false">IF(가정!$B$11=1,MAX(0,MIN(가정!$B$16-C1026,INT(E1026/가정!$B$17))),0)</f>
        <v>0</v>
      </c>
      <c r="G1026" s="24" t="n">
        <f aca="false">F1026*가정!$B$17</f>
        <v>0</v>
      </c>
      <c r="H1026" s="24" t="n">
        <f aca="false">E1026-G1026</f>
        <v>369053.668341709</v>
      </c>
      <c r="I1026" s="24" t="n">
        <f aca="false">I1025+D1026</f>
        <v>396020</v>
      </c>
      <c r="J1026" s="16" t="n">
        <f aca="false">(H1026+D1026)*가정!$B$10</f>
        <v>369553.668341709</v>
      </c>
      <c r="K1026" s="24" t="n">
        <f aca="false">A1026*가정!$B$8*가정!$B$7</f>
        <v>5110</v>
      </c>
      <c r="L1026" s="11" t="n">
        <f aca="false">C1026+F1026</f>
        <v>100</v>
      </c>
    </row>
    <row r="1027" customFormat="false" ht="15" hidden="false" customHeight="false" outlineLevel="0" collapsed="false">
      <c r="A1027" s="11" t="n">
        <v>1023</v>
      </c>
      <c r="B1027" s="11" t="n">
        <f aca="false">MATCH(A1027,월별!$C$6:$C$41,1)</f>
        <v>34</v>
      </c>
      <c r="C1027" s="11" t="n">
        <f aca="false">L1026</f>
        <v>100</v>
      </c>
      <c r="D1027" s="24" t="n">
        <f aca="false">C1027*가정!$B$8</f>
        <v>500</v>
      </c>
      <c r="E1027" s="24" t="n">
        <f aca="false">H1026+D1026</f>
        <v>369553.668341709</v>
      </c>
      <c r="F1027" s="11" t="n">
        <f aca="false">IF(가정!$B$11=1,MAX(0,MIN(가정!$B$16-C1027,INT(E1027/가정!$B$17))),0)</f>
        <v>0</v>
      </c>
      <c r="G1027" s="24" t="n">
        <f aca="false">F1027*가정!$B$17</f>
        <v>0</v>
      </c>
      <c r="H1027" s="24" t="n">
        <f aca="false">E1027-G1027</f>
        <v>369553.668341709</v>
      </c>
      <c r="I1027" s="24" t="n">
        <f aca="false">I1026+D1027</f>
        <v>396520</v>
      </c>
      <c r="J1027" s="16" t="n">
        <f aca="false">(H1027+D1027)*가정!$B$10</f>
        <v>370053.668341709</v>
      </c>
      <c r="K1027" s="24" t="n">
        <f aca="false">A1027*가정!$B$8*가정!$B$7</f>
        <v>5115</v>
      </c>
      <c r="L1027" s="11" t="n">
        <f aca="false">C1027+F1027</f>
        <v>100</v>
      </c>
    </row>
    <row r="1028" customFormat="false" ht="15" hidden="false" customHeight="false" outlineLevel="0" collapsed="false">
      <c r="A1028" s="11" t="n">
        <v>1024</v>
      </c>
      <c r="B1028" s="11" t="n">
        <f aca="false">MATCH(A1028,월별!$C$6:$C$41,1)</f>
        <v>34</v>
      </c>
      <c r="C1028" s="11" t="n">
        <f aca="false">L1027</f>
        <v>100</v>
      </c>
      <c r="D1028" s="24" t="n">
        <f aca="false">C1028*가정!$B$8</f>
        <v>500</v>
      </c>
      <c r="E1028" s="24" t="n">
        <f aca="false">H1027+D1027</f>
        <v>370053.668341709</v>
      </c>
      <c r="F1028" s="11" t="n">
        <f aca="false">IF(가정!$B$11=1,MAX(0,MIN(가정!$B$16-C1028,INT(E1028/가정!$B$17))),0)</f>
        <v>0</v>
      </c>
      <c r="G1028" s="24" t="n">
        <f aca="false">F1028*가정!$B$17</f>
        <v>0</v>
      </c>
      <c r="H1028" s="24" t="n">
        <f aca="false">E1028-G1028</f>
        <v>370053.668341709</v>
      </c>
      <c r="I1028" s="24" t="n">
        <f aca="false">I1027+D1028</f>
        <v>397020</v>
      </c>
      <c r="J1028" s="16" t="n">
        <f aca="false">(H1028+D1028)*가정!$B$10</f>
        <v>370553.668341709</v>
      </c>
      <c r="K1028" s="24" t="n">
        <f aca="false">A1028*가정!$B$8*가정!$B$7</f>
        <v>5120</v>
      </c>
      <c r="L1028" s="11" t="n">
        <f aca="false">C1028+F1028</f>
        <v>100</v>
      </c>
    </row>
    <row r="1029" customFormat="false" ht="15" hidden="false" customHeight="false" outlineLevel="0" collapsed="false">
      <c r="A1029" s="11" t="n">
        <v>1025</v>
      </c>
      <c r="B1029" s="11" t="n">
        <f aca="false">MATCH(A1029,월별!$C$6:$C$41,1)</f>
        <v>34</v>
      </c>
      <c r="C1029" s="11" t="n">
        <f aca="false">L1028</f>
        <v>100</v>
      </c>
      <c r="D1029" s="24" t="n">
        <f aca="false">C1029*가정!$B$8</f>
        <v>500</v>
      </c>
      <c r="E1029" s="24" t="n">
        <f aca="false">H1028+D1028</f>
        <v>370553.668341709</v>
      </c>
      <c r="F1029" s="11" t="n">
        <f aca="false">IF(가정!$B$11=1,MAX(0,MIN(가정!$B$16-C1029,INT(E1029/가정!$B$17))),0)</f>
        <v>0</v>
      </c>
      <c r="G1029" s="24" t="n">
        <f aca="false">F1029*가정!$B$17</f>
        <v>0</v>
      </c>
      <c r="H1029" s="24" t="n">
        <f aca="false">E1029-G1029</f>
        <v>370553.668341709</v>
      </c>
      <c r="I1029" s="24" t="n">
        <f aca="false">I1028+D1029</f>
        <v>397520</v>
      </c>
      <c r="J1029" s="16" t="n">
        <f aca="false">(H1029+D1029)*가정!$B$10</f>
        <v>371053.668341709</v>
      </c>
      <c r="K1029" s="24" t="n">
        <f aca="false">A1029*가정!$B$8*가정!$B$7</f>
        <v>5125</v>
      </c>
      <c r="L1029" s="11" t="n">
        <f aca="false">C1029+F1029</f>
        <v>100</v>
      </c>
    </row>
    <row r="1030" customFormat="false" ht="15" hidden="false" customHeight="false" outlineLevel="0" collapsed="false">
      <c r="A1030" s="11" t="n">
        <v>1026</v>
      </c>
      <c r="B1030" s="11" t="n">
        <f aca="false">MATCH(A1030,월별!$C$6:$C$41,1)</f>
        <v>34</v>
      </c>
      <c r="C1030" s="11" t="n">
        <f aca="false">L1029</f>
        <v>100</v>
      </c>
      <c r="D1030" s="24" t="n">
        <f aca="false">C1030*가정!$B$8</f>
        <v>500</v>
      </c>
      <c r="E1030" s="24" t="n">
        <f aca="false">H1029+D1029</f>
        <v>371053.668341709</v>
      </c>
      <c r="F1030" s="11" t="n">
        <f aca="false">IF(가정!$B$11=1,MAX(0,MIN(가정!$B$16-C1030,INT(E1030/가정!$B$17))),0)</f>
        <v>0</v>
      </c>
      <c r="G1030" s="24" t="n">
        <f aca="false">F1030*가정!$B$17</f>
        <v>0</v>
      </c>
      <c r="H1030" s="24" t="n">
        <f aca="false">E1030-G1030</f>
        <v>371053.668341709</v>
      </c>
      <c r="I1030" s="24" t="n">
        <f aca="false">I1029+D1030</f>
        <v>398020</v>
      </c>
      <c r="J1030" s="16" t="n">
        <f aca="false">(H1030+D1030)*가정!$B$10</f>
        <v>371553.668341709</v>
      </c>
      <c r="K1030" s="24" t="n">
        <f aca="false">A1030*가정!$B$8*가정!$B$7</f>
        <v>5130</v>
      </c>
      <c r="L1030" s="11" t="n">
        <f aca="false">C1030+F1030</f>
        <v>100</v>
      </c>
    </row>
    <row r="1031" customFormat="false" ht="15" hidden="false" customHeight="false" outlineLevel="0" collapsed="false">
      <c r="A1031" s="11" t="n">
        <v>1027</v>
      </c>
      <c r="B1031" s="11" t="n">
        <f aca="false">MATCH(A1031,월별!$C$6:$C$41,1)</f>
        <v>34</v>
      </c>
      <c r="C1031" s="11" t="n">
        <f aca="false">L1030</f>
        <v>100</v>
      </c>
      <c r="D1031" s="24" t="n">
        <f aca="false">C1031*가정!$B$8</f>
        <v>500</v>
      </c>
      <c r="E1031" s="24" t="n">
        <f aca="false">H1030+D1030</f>
        <v>371553.668341709</v>
      </c>
      <c r="F1031" s="11" t="n">
        <f aca="false">IF(가정!$B$11=1,MAX(0,MIN(가정!$B$16-C1031,INT(E1031/가정!$B$17))),0)</f>
        <v>0</v>
      </c>
      <c r="G1031" s="24" t="n">
        <f aca="false">F1031*가정!$B$17</f>
        <v>0</v>
      </c>
      <c r="H1031" s="24" t="n">
        <f aca="false">E1031-G1031</f>
        <v>371553.668341709</v>
      </c>
      <c r="I1031" s="24" t="n">
        <f aca="false">I1030+D1031</f>
        <v>398520</v>
      </c>
      <c r="J1031" s="16" t="n">
        <f aca="false">(H1031+D1031)*가정!$B$10</f>
        <v>372053.668341709</v>
      </c>
      <c r="K1031" s="24" t="n">
        <f aca="false">A1031*가정!$B$8*가정!$B$7</f>
        <v>5135</v>
      </c>
      <c r="L1031" s="11" t="n">
        <f aca="false">C1031+F1031</f>
        <v>100</v>
      </c>
    </row>
    <row r="1032" customFormat="false" ht="15" hidden="false" customHeight="false" outlineLevel="0" collapsed="false">
      <c r="A1032" s="11" t="n">
        <v>1028</v>
      </c>
      <c r="B1032" s="11" t="n">
        <f aca="false">MATCH(A1032,월별!$C$6:$C$41,1)</f>
        <v>34</v>
      </c>
      <c r="C1032" s="11" t="n">
        <f aca="false">L1031</f>
        <v>100</v>
      </c>
      <c r="D1032" s="24" t="n">
        <f aca="false">C1032*가정!$B$8</f>
        <v>500</v>
      </c>
      <c r="E1032" s="24" t="n">
        <f aca="false">H1031+D1031</f>
        <v>372053.668341709</v>
      </c>
      <c r="F1032" s="11" t="n">
        <f aca="false">IF(가정!$B$11=1,MAX(0,MIN(가정!$B$16-C1032,INT(E1032/가정!$B$17))),0)</f>
        <v>0</v>
      </c>
      <c r="G1032" s="24" t="n">
        <f aca="false">F1032*가정!$B$17</f>
        <v>0</v>
      </c>
      <c r="H1032" s="24" t="n">
        <f aca="false">E1032-G1032</f>
        <v>372053.668341709</v>
      </c>
      <c r="I1032" s="24" t="n">
        <f aca="false">I1031+D1032</f>
        <v>399020</v>
      </c>
      <c r="J1032" s="16" t="n">
        <f aca="false">(H1032+D1032)*가정!$B$10</f>
        <v>372553.668341709</v>
      </c>
      <c r="K1032" s="24" t="n">
        <f aca="false">A1032*가정!$B$8*가정!$B$7</f>
        <v>5140</v>
      </c>
      <c r="L1032" s="11" t="n">
        <f aca="false">C1032+F1032</f>
        <v>100</v>
      </c>
    </row>
    <row r="1033" customFormat="false" ht="15" hidden="false" customHeight="false" outlineLevel="0" collapsed="false">
      <c r="A1033" s="11" t="n">
        <v>1029</v>
      </c>
      <c r="B1033" s="11" t="n">
        <f aca="false">MATCH(A1033,월별!$C$6:$C$41,1)</f>
        <v>34</v>
      </c>
      <c r="C1033" s="11" t="n">
        <f aca="false">L1032</f>
        <v>100</v>
      </c>
      <c r="D1033" s="24" t="n">
        <f aca="false">C1033*가정!$B$8</f>
        <v>500</v>
      </c>
      <c r="E1033" s="24" t="n">
        <f aca="false">H1032+D1032</f>
        <v>372553.668341709</v>
      </c>
      <c r="F1033" s="11" t="n">
        <f aca="false">IF(가정!$B$11=1,MAX(0,MIN(가정!$B$16-C1033,INT(E1033/가정!$B$17))),0)</f>
        <v>0</v>
      </c>
      <c r="G1033" s="24" t="n">
        <f aca="false">F1033*가정!$B$17</f>
        <v>0</v>
      </c>
      <c r="H1033" s="24" t="n">
        <f aca="false">E1033-G1033</f>
        <v>372553.668341709</v>
      </c>
      <c r="I1033" s="24" t="n">
        <f aca="false">I1032+D1033</f>
        <v>399520</v>
      </c>
      <c r="J1033" s="16" t="n">
        <f aca="false">(H1033+D1033)*가정!$B$10</f>
        <v>373053.668341709</v>
      </c>
      <c r="K1033" s="24" t="n">
        <f aca="false">A1033*가정!$B$8*가정!$B$7</f>
        <v>5145</v>
      </c>
      <c r="L1033" s="11" t="n">
        <f aca="false">C1033+F1033</f>
        <v>100</v>
      </c>
    </row>
    <row r="1034" customFormat="false" ht="15" hidden="false" customHeight="false" outlineLevel="0" collapsed="false">
      <c r="A1034" s="11" t="n">
        <v>1030</v>
      </c>
      <c r="B1034" s="11" t="n">
        <f aca="false">MATCH(A1034,월별!$C$6:$C$41,1)</f>
        <v>34</v>
      </c>
      <c r="C1034" s="11" t="n">
        <f aca="false">L1033</f>
        <v>100</v>
      </c>
      <c r="D1034" s="24" t="n">
        <f aca="false">C1034*가정!$B$8</f>
        <v>500</v>
      </c>
      <c r="E1034" s="24" t="n">
        <f aca="false">H1033+D1033</f>
        <v>373053.668341709</v>
      </c>
      <c r="F1034" s="11" t="n">
        <f aca="false">IF(가정!$B$11=1,MAX(0,MIN(가정!$B$16-C1034,INT(E1034/가정!$B$17))),0)</f>
        <v>0</v>
      </c>
      <c r="G1034" s="24" t="n">
        <f aca="false">F1034*가정!$B$17</f>
        <v>0</v>
      </c>
      <c r="H1034" s="24" t="n">
        <f aca="false">E1034-G1034</f>
        <v>373053.668341709</v>
      </c>
      <c r="I1034" s="24" t="n">
        <f aca="false">I1033+D1034</f>
        <v>400020</v>
      </c>
      <c r="J1034" s="16" t="n">
        <f aca="false">(H1034+D1034)*가정!$B$10</f>
        <v>373553.668341709</v>
      </c>
      <c r="K1034" s="24" t="n">
        <f aca="false">A1034*가정!$B$8*가정!$B$7</f>
        <v>5150</v>
      </c>
      <c r="L1034" s="11" t="n">
        <f aca="false">C1034+F1034</f>
        <v>100</v>
      </c>
    </row>
    <row r="1035" customFormat="false" ht="15" hidden="false" customHeight="false" outlineLevel="0" collapsed="false">
      <c r="A1035" s="11" t="n">
        <v>1031</v>
      </c>
      <c r="B1035" s="11" t="n">
        <f aca="false">MATCH(A1035,월별!$C$6:$C$41,1)</f>
        <v>34</v>
      </c>
      <c r="C1035" s="11" t="n">
        <f aca="false">L1034</f>
        <v>100</v>
      </c>
      <c r="D1035" s="24" t="n">
        <f aca="false">C1035*가정!$B$8</f>
        <v>500</v>
      </c>
      <c r="E1035" s="24" t="n">
        <f aca="false">H1034+D1034</f>
        <v>373553.668341709</v>
      </c>
      <c r="F1035" s="11" t="n">
        <f aca="false">IF(가정!$B$11=1,MAX(0,MIN(가정!$B$16-C1035,INT(E1035/가정!$B$17))),0)</f>
        <v>0</v>
      </c>
      <c r="G1035" s="24" t="n">
        <f aca="false">F1035*가정!$B$17</f>
        <v>0</v>
      </c>
      <c r="H1035" s="24" t="n">
        <f aca="false">E1035-G1035</f>
        <v>373553.668341709</v>
      </c>
      <c r="I1035" s="24" t="n">
        <f aca="false">I1034+D1035</f>
        <v>400520</v>
      </c>
      <c r="J1035" s="16" t="n">
        <f aca="false">(H1035+D1035)*가정!$B$10</f>
        <v>374053.668341709</v>
      </c>
      <c r="K1035" s="24" t="n">
        <f aca="false">A1035*가정!$B$8*가정!$B$7</f>
        <v>5155</v>
      </c>
      <c r="L1035" s="11" t="n">
        <f aca="false">C1035+F1035</f>
        <v>100</v>
      </c>
    </row>
    <row r="1036" customFormat="false" ht="15" hidden="false" customHeight="false" outlineLevel="0" collapsed="false">
      <c r="A1036" s="11" t="n">
        <v>1032</v>
      </c>
      <c r="B1036" s="11" t="n">
        <f aca="false">MATCH(A1036,월별!$C$6:$C$41,1)</f>
        <v>34</v>
      </c>
      <c r="C1036" s="11" t="n">
        <f aca="false">L1035</f>
        <v>100</v>
      </c>
      <c r="D1036" s="24" t="n">
        <f aca="false">C1036*가정!$B$8</f>
        <v>500</v>
      </c>
      <c r="E1036" s="24" t="n">
        <f aca="false">H1035+D1035</f>
        <v>374053.668341709</v>
      </c>
      <c r="F1036" s="11" t="n">
        <f aca="false">IF(가정!$B$11=1,MAX(0,MIN(가정!$B$16-C1036,INT(E1036/가정!$B$17))),0)</f>
        <v>0</v>
      </c>
      <c r="G1036" s="24" t="n">
        <f aca="false">F1036*가정!$B$17</f>
        <v>0</v>
      </c>
      <c r="H1036" s="24" t="n">
        <f aca="false">E1036-G1036</f>
        <v>374053.668341709</v>
      </c>
      <c r="I1036" s="24" t="n">
        <f aca="false">I1035+D1036</f>
        <v>401020</v>
      </c>
      <c r="J1036" s="16" t="n">
        <f aca="false">(H1036+D1036)*가정!$B$10</f>
        <v>374553.668341709</v>
      </c>
      <c r="K1036" s="24" t="n">
        <f aca="false">A1036*가정!$B$8*가정!$B$7</f>
        <v>5160</v>
      </c>
      <c r="L1036" s="11" t="n">
        <f aca="false">C1036+F1036</f>
        <v>100</v>
      </c>
    </row>
    <row r="1037" customFormat="false" ht="15" hidden="false" customHeight="false" outlineLevel="0" collapsed="false">
      <c r="A1037" s="11" t="n">
        <v>1033</v>
      </c>
      <c r="B1037" s="11" t="n">
        <f aca="false">MATCH(A1037,월별!$C$6:$C$41,1)</f>
        <v>34</v>
      </c>
      <c r="C1037" s="11" t="n">
        <f aca="false">L1036</f>
        <v>100</v>
      </c>
      <c r="D1037" s="24" t="n">
        <f aca="false">C1037*가정!$B$8</f>
        <v>500</v>
      </c>
      <c r="E1037" s="24" t="n">
        <f aca="false">H1036+D1036</f>
        <v>374553.668341709</v>
      </c>
      <c r="F1037" s="11" t="n">
        <f aca="false">IF(가정!$B$11=1,MAX(0,MIN(가정!$B$16-C1037,INT(E1037/가정!$B$17))),0)</f>
        <v>0</v>
      </c>
      <c r="G1037" s="24" t="n">
        <f aca="false">F1037*가정!$B$17</f>
        <v>0</v>
      </c>
      <c r="H1037" s="24" t="n">
        <f aca="false">E1037-G1037</f>
        <v>374553.668341709</v>
      </c>
      <c r="I1037" s="24" t="n">
        <f aca="false">I1036+D1037</f>
        <v>401520</v>
      </c>
      <c r="J1037" s="16" t="n">
        <f aca="false">(H1037+D1037)*가정!$B$10</f>
        <v>375053.668341709</v>
      </c>
      <c r="K1037" s="24" t="n">
        <f aca="false">A1037*가정!$B$8*가정!$B$7</f>
        <v>5165</v>
      </c>
      <c r="L1037" s="11" t="n">
        <f aca="false">C1037+F1037</f>
        <v>100</v>
      </c>
    </row>
    <row r="1038" customFormat="false" ht="15" hidden="false" customHeight="false" outlineLevel="0" collapsed="false">
      <c r="A1038" s="11" t="n">
        <v>1034</v>
      </c>
      <c r="B1038" s="11" t="n">
        <f aca="false">MATCH(A1038,월별!$C$6:$C$41,1)</f>
        <v>34</v>
      </c>
      <c r="C1038" s="11" t="n">
        <f aca="false">L1037</f>
        <v>100</v>
      </c>
      <c r="D1038" s="24" t="n">
        <f aca="false">C1038*가정!$B$8</f>
        <v>500</v>
      </c>
      <c r="E1038" s="24" t="n">
        <f aca="false">H1037+D1037</f>
        <v>375053.668341709</v>
      </c>
      <c r="F1038" s="11" t="n">
        <f aca="false">IF(가정!$B$11=1,MAX(0,MIN(가정!$B$16-C1038,INT(E1038/가정!$B$17))),0)</f>
        <v>0</v>
      </c>
      <c r="G1038" s="24" t="n">
        <f aca="false">F1038*가정!$B$17</f>
        <v>0</v>
      </c>
      <c r="H1038" s="24" t="n">
        <f aca="false">E1038-G1038</f>
        <v>375053.668341709</v>
      </c>
      <c r="I1038" s="24" t="n">
        <f aca="false">I1037+D1038</f>
        <v>402020</v>
      </c>
      <c r="J1038" s="16" t="n">
        <f aca="false">(H1038+D1038)*가정!$B$10</f>
        <v>375553.668341709</v>
      </c>
      <c r="K1038" s="24" t="n">
        <f aca="false">A1038*가정!$B$8*가정!$B$7</f>
        <v>5170</v>
      </c>
      <c r="L1038" s="11" t="n">
        <f aca="false">C1038+F1038</f>
        <v>100</v>
      </c>
    </row>
    <row r="1039" customFormat="false" ht="15" hidden="false" customHeight="false" outlineLevel="0" collapsed="false">
      <c r="A1039" s="11" t="n">
        <v>1035</v>
      </c>
      <c r="B1039" s="11" t="n">
        <f aca="false">MATCH(A1039,월별!$C$6:$C$41,1)</f>
        <v>35</v>
      </c>
      <c r="C1039" s="11" t="n">
        <f aca="false">L1038</f>
        <v>100</v>
      </c>
      <c r="D1039" s="24" t="n">
        <f aca="false">C1039*가정!$B$8</f>
        <v>500</v>
      </c>
      <c r="E1039" s="24" t="n">
        <f aca="false">H1038+D1038</f>
        <v>375553.668341709</v>
      </c>
      <c r="F1039" s="11" t="n">
        <f aca="false">IF(가정!$B$11=1,MAX(0,MIN(가정!$B$16-C1039,INT(E1039/가정!$B$17))),0)</f>
        <v>0</v>
      </c>
      <c r="G1039" s="24" t="n">
        <f aca="false">F1039*가정!$B$17</f>
        <v>0</v>
      </c>
      <c r="H1039" s="24" t="n">
        <f aca="false">E1039-G1039</f>
        <v>375553.668341709</v>
      </c>
      <c r="I1039" s="24" t="n">
        <f aca="false">I1038+D1039</f>
        <v>402520</v>
      </c>
      <c r="J1039" s="16" t="n">
        <f aca="false">(H1039+D1039)*가정!$B$10</f>
        <v>376053.668341709</v>
      </c>
      <c r="K1039" s="24" t="n">
        <f aca="false">A1039*가정!$B$8*가정!$B$7</f>
        <v>5175</v>
      </c>
      <c r="L1039" s="11" t="n">
        <f aca="false">C1039+F1039</f>
        <v>100</v>
      </c>
    </row>
    <row r="1040" customFormat="false" ht="15" hidden="false" customHeight="false" outlineLevel="0" collapsed="false">
      <c r="A1040" s="11" t="n">
        <v>1036</v>
      </c>
      <c r="B1040" s="11" t="n">
        <f aca="false">MATCH(A1040,월별!$C$6:$C$41,1)</f>
        <v>35</v>
      </c>
      <c r="C1040" s="11" t="n">
        <f aca="false">L1039</f>
        <v>100</v>
      </c>
      <c r="D1040" s="24" t="n">
        <f aca="false">C1040*가정!$B$8</f>
        <v>500</v>
      </c>
      <c r="E1040" s="24" t="n">
        <f aca="false">H1039+D1039</f>
        <v>376053.668341709</v>
      </c>
      <c r="F1040" s="11" t="n">
        <f aca="false">IF(가정!$B$11=1,MAX(0,MIN(가정!$B$16-C1040,INT(E1040/가정!$B$17))),0)</f>
        <v>0</v>
      </c>
      <c r="G1040" s="24" t="n">
        <f aca="false">F1040*가정!$B$17</f>
        <v>0</v>
      </c>
      <c r="H1040" s="24" t="n">
        <f aca="false">E1040-G1040</f>
        <v>376053.668341709</v>
      </c>
      <c r="I1040" s="24" t="n">
        <f aca="false">I1039+D1040</f>
        <v>403020</v>
      </c>
      <c r="J1040" s="16" t="n">
        <f aca="false">(H1040+D1040)*가정!$B$10</f>
        <v>376553.668341709</v>
      </c>
      <c r="K1040" s="24" t="n">
        <f aca="false">A1040*가정!$B$8*가정!$B$7</f>
        <v>5180</v>
      </c>
      <c r="L1040" s="11" t="n">
        <f aca="false">C1040+F1040</f>
        <v>100</v>
      </c>
    </row>
    <row r="1041" customFormat="false" ht="15" hidden="false" customHeight="false" outlineLevel="0" collapsed="false">
      <c r="A1041" s="11" t="n">
        <v>1037</v>
      </c>
      <c r="B1041" s="11" t="n">
        <f aca="false">MATCH(A1041,월별!$C$6:$C$41,1)</f>
        <v>35</v>
      </c>
      <c r="C1041" s="11" t="n">
        <f aca="false">L1040</f>
        <v>100</v>
      </c>
      <c r="D1041" s="24" t="n">
        <f aca="false">C1041*가정!$B$8</f>
        <v>500</v>
      </c>
      <c r="E1041" s="24" t="n">
        <f aca="false">H1040+D1040</f>
        <v>376553.668341709</v>
      </c>
      <c r="F1041" s="11" t="n">
        <f aca="false">IF(가정!$B$11=1,MAX(0,MIN(가정!$B$16-C1041,INT(E1041/가정!$B$17))),0)</f>
        <v>0</v>
      </c>
      <c r="G1041" s="24" t="n">
        <f aca="false">F1041*가정!$B$17</f>
        <v>0</v>
      </c>
      <c r="H1041" s="24" t="n">
        <f aca="false">E1041-G1041</f>
        <v>376553.668341709</v>
      </c>
      <c r="I1041" s="24" t="n">
        <f aca="false">I1040+D1041</f>
        <v>403520</v>
      </c>
      <c r="J1041" s="16" t="n">
        <f aca="false">(H1041+D1041)*가정!$B$10</f>
        <v>377053.668341709</v>
      </c>
      <c r="K1041" s="24" t="n">
        <f aca="false">A1041*가정!$B$8*가정!$B$7</f>
        <v>5185</v>
      </c>
      <c r="L1041" s="11" t="n">
        <f aca="false">C1041+F1041</f>
        <v>100</v>
      </c>
    </row>
    <row r="1042" customFormat="false" ht="15" hidden="false" customHeight="false" outlineLevel="0" collapsed="false">
      <c r="A1042" s="11" t="n">
        <v>1038</v>
      </c>
      <c r="B1042" s="11" t="n">
        <f aca="false">MATCH(A1042,월별!$C$6:$C$41,1)</f>
        <v>35</v>
      </c>
      <c r="C1042" s="11" t="n">
        <f aca="false">L1041</f>
        <v>100</v>
      </c>
      <c r="D1042" s="24" t="n">
        <f aca="false">C1042*가정!$B$8</f>
        <v>500</v>
      </c>
      <c r="E1042" s="24" t="n">
        <f aca="false">H1041+D1041</f>
        <v>377053.668341709</v>
      </c>
      <c r="F1042" s="11" t="n">
        <f aca="false">IF(가정!$B$11=1,MAX(0,MIN(가정!$B$16-C1042,INT(E1042/가정!$B$17))),0)</f>
        <v>0</v>
      </c>
      <c r="G1042" s="24" t="n">
        <f aca="false">F1042*가정!$B$17</f>
        <v>0</v>
      </c>
      <c r="H1042" s="24" t="n">
        <f aca="false">E1042-G1042</f>
        <v>377053.668341709</v>
      </c>
      <c r="I1042" s="24" t="n">
        <f aca="false">I1041+D1042</f>
        <v>404020</v>
      </c>
      <c r="J1042" s="16" t="n">
        <f aca="false">(H1042+D1042)*가정!$B$10</f>
        <v>377553.668341709</v>
      </c>
      <c r="K1042" s="24" t="n">
        <f aca="false">A1042*가정!$B$8*가정!$B$7</f>
        <v>5190</v>
      </c>
      <c r="L1042" s="11" t="n">
        <f aca="false">C1042+F1042</f>
        <v>100</v>
      </c>
    </row>
    <row r="1043" customFormat="false" ht="15" hidden="false" customHeight="false" outlineLevel="0" collapsed="false">
      <c r="A1043" s="11" t="n">
        <v>1039</v>
      </c>
      <c r="B1043" s="11" t="n">
        <f aca="false">MATCH(A1043,월별!$C$6:$C$41,1)</f>
        <v>35</v>
      </c>
      <c r="C1043" s="11" t="n">
        <f aca="false">L1042</f>
        <v>100</v>
      </c>
      <c r="D1043" s="24" t="n">
        <f aca="false">C1043*가정!$B$8</f>
        <v>500</v>
      </c>
      <c r="E1043" s="24" t="n">
        <f aca="false">H1042+D1042</f>
        <v>377553.668341709</v>
      </c>
      <c r="F1043" s="11" t="n">
        <f aca="false">IF(가정!$B$11=1,MAX(0,MIN(가정!$B$16-C1043,INT(E1043/가정!$B$17))),0)</f>
        <v>0</v>
      </c>
      <c r="G1043" s="24" t="n">
        <f aca="false">F1043*가정!$B$17</f>
        <v>0</v>
      </c>
      <c r="H1043" s="24" t="n">
        <f aca="false">E1043-G1043</f>
        <v>377553.668341709</v>
      </c>
      <c r="I1043" s="24" t="n">
        <f aca="false">I1042+D1043</f>
        <v>404520</v>
      </c>
      <c r="J1043" s="16" t="n">
        <f aca="false">(H1043+D1043)*가정!$B$10</f>
        <v>378053.668341709</v>
      </c>
      <c r="K1043" s="24" t="n">
        <f aca="false">A1043*가정!$B$8*가정!$B$7</f>
        <v>5195</v>
      </c>
      <c r="L1043" s="11" t="n">
        <f aca="false">C1043+F1043</f>
        <v>100</v>
      </c>
    </row>
    <row r="1044" customFormat="false" ht="15" hidden="false" customHeight="false" outlineLevel="0" collapsed="false">
      <c r="A1044" s="11" t="n">
        <v>1040</v>
      </c>
      <c r="B1044" s="11" t="n">
        <f aca="false">MATCH(A1044,월별!$C$6:$C$41,1)</f>
        <v>35</v>
      </c>
      <c r="C1044" s="11" t="n">
        <f aca="false">L1043</f>
        <v>100</v>
      </c>
      <c r="D1044" s="24" t="n">
        <f aca="false">C1044*가정!$B$8</f>
        <v>500</v>
      </c>
      <c r="E1044" s="24" t="n">
        <f aca="false">H1043+D1043</f>
        <v>378053.668341709</v>
      </c>
      <c r="F1044" s="11" t="n">
        <f aca="false">IF(가정!$B$11=1,MAX(0,MIN(가정!$B$16-C1044,INT(E1044/가정!$B$17))),0)</f>
        <v>0</v>
      </c>
      <c r="G1044" s="24" t="n">
        <f aca="false">F1044*가정!$B$17</f>
        <v>0</v>
      </c>
      <c r="H1044" s="24" t="n">
        <f aca="false">E1044-G1044</f>
        <v>378053.668341709</v>
      </c>
      <c r="I1044" s="24" t="n">
        <f aca="false">I1043+D1044</f>
        <v>405020</v>
      </c>
      <c r="J1044" s="16" t="n">
        <f aca="false">(H1044+D1044)*가정!$B$10</f>
        <v>378553.668341709</v>
      </c>
      <c r="K1044" s="24" t="n">
        <f aca="false">A1044*가정!$B$8*가정!$B$7</f>
        <v>5200</v>
      </c>
      <c r="L1044" s="11" t="n">
        <f aca="false">C1044+F1044</f>
        <v>100</v>
      </c>
    </row>
    <row r="1045" customFormat="false" ht="15" hidden="false" customHeight="false" outlineLevel="0" collapsed="false">
      <c r="A1045" s="11" t="n">
        <v>1041</v>
      </c>
      <c r="B1045" s="11" t="n">
        <f aca="false">MATCH(A1045,월별!$C$6:$C$41,1)</f>
        <v>35</v>
      </c>
      <c r="C1045" s="11" t="n">
        <f aca="false">L1044</f>
        <v>100</v>
      </c>
      <c r="D1045" s="24" t="n">
        <f aca="false">C1045*가정!$B$8</f>
        <v>500</v>
      </c>
      <c r="E1045" s="24" t="n">
        <f aca="false">H1044+D1044</f>
        <v>378553.668341709</v>
      </c>
      <c r="F1045" s="11" t="n">
        <f aca="false">IF(가정!$B$11=1,MAX(0,MIN(가정!$B$16-C1045,INT(E1045/가정!$B$17))),0)</f>
        <v>0</v>
      </c>
      <c r="G1045" s="24" t="n">
        <f aca="false">F1045*가정!$B$17</f>
        <v>0</v>
      </c>
      <c r="H1045" s="24" t="n">
        <f aca="false">E1045-G1045</f>
        <v>378553.668341709</v>
      </c>
      <c r="I1045" s="24" t="n">
        <f aca="false">I1044+D1045</f>
        <v>405520</v>
      </c>
      <c r="J1045" s="16" t="n">
        <f aca="false">(H1045+D1045)*가정!$B$10</f>
        <v>379053.668341709</v>
      </c>
      <c r="K1045" s="24" t="n">
        <f aca="false">A1045*가정!$B$8*가정!$B$7</f>
        <v>5205</v>
      </c>
      <c r="L1045" s="11" t="n">
        <f aca="false">C1045+F1045</f>
        <v>100</v>
      </c>
    </row>
    <row r="1046" customFormat="false" ht="15" hidden="false" customHeight="false" outlineLevel="0" collapsed="false">
      <c r="A1046" s="11" t="n">
        <v>1042</v>
      </c>
      <c r="B1046" s="11" t="n">
        <f aca="false">MATCH(A1046,월별!$C$6:$C$41,1)</f>
        <v>35</v>
      </c>
      <c r="C1046" s="11" t="n">
        <f aca="false">L1045</f>
        <v>100</v>
      </c>
      <c r="D1046" s="24" t="n">
        <f aca="false">C1046*가정!$B$8</f>
        <v>500</v>
      </c>
      <c r="E1046" s="24" t="n">
        <f aca="false">H1045+D1045</f>
        <v>379053.668341709</v>
      </c>
      <c r="F1046" s="11" t="n">
        <f aca="false">IF(가정!$B$11=1,MAX(0,MIN(가정!$B$16-C1046,INT(E1046/가정!$B$17))),0)</f>
        <v>0</v>
      </c>
      <c r="G1046" s="24" t="n">
        <f aca="false">F1046*가정!$B$17</f>
        <v>0</v>
      </c>
      <c r="H1046" s="24" t="n">
        <f aca="false">E1046-G1046</f>
        <v>379053.668341709</v>
      </c>
      <c r="I1046" s="24" t="n">
        <f aca="false">I1045+D1046</f>
        <v>406020</v>
      </c>
      <c r="J1046" s="16" t="n">
        <f aca="false">(H1046+D1046)*가정!$B$10</f>
        <v>379553.668341709</v>
      </c>
      <c r="K1046" s="24" t="n">
        <f aca="false">A1046*가정!$B$8*가정!$B$7</f>
        <v>5210</v>
      </c>
      <c r="L1046" s="11" t="n">
        <f aca="false">C1046+F1046</f>
        <v>100</v>
      </c>
    </row>
    <row r="1047" customFormat="false" ht="15" hidden="false" customHeight="false" outlineLevel="0" collapsed="false">
      <c r="A1047" s="11" t="n">
        <v>1043</v>
      </c>
      <c r="B1047" s="11" t="n">
        <f aca="false">MATCH(A1047,월별!$C$6:$C$41,1)</f>
        <v>35</v>
      </c>
      <c r="C1047" s="11" t="n">
        <f aca="false">L1046</f>
        <v>100</v>
      </c>
      <c r="D1047" s="24" t="n">
        <f aca="false">C1047*가정!$B$8</f>
        <v>500</v>
      </c>
      <c r="E1047" s="24" t="n">
        <f aca="false">H1046+D1046</f>
        <v>379553.668341709</v>
      </c>
      <c r="F1047" s="11" t="n">
        <f aca="false">IF(가정!$B$11=1,MAX(0,MIN(가정!$B$16-C1047,INT(E1047/가정!$B$17))),0)</f>
        <v>0</v>
      </c>
      <c r="G1047" s="24" t="n">
        <f aca="false">F1047*가정!$B$17</f>
        <v>0</v>
      </c>
      <c r="H1047" s="24" t="n">
        <f aca="false">E1047-G1047</f>
        <v>379553.668341709</v>
      </c>
      <c r="I1047" s="24" t="n">
        <f aca="false">I1046+D1047</f>
        <v>406520</v>
      </c>
      <c r="J1047" s="16" t="n">
        <f aca="false">(H1047+D1047)*가정!$B$10</f>
        <v>380053.668341709</v>
      </c>
      <c r="K1047" s="24" t="n">
        <f aca="false">A1047*가정!$B$8*가정!$B$7</f>
        <v>5215</v>
      </c>
      <c r="L1047" s="11" t="n">
        <f aca="false">C1047+F1047</f>
        <v>100</v>
      </c>
    </row>
    <row r="1048" customFormat="false" ht="15" hidden="false" customHeight="false" outlineLevel="0" collapsed="false">
      <c r="A1048" s="11" t="n">
        <v>1044</v>
      </c>
      <c r="B1048" s="11" t="n">
        <f aca="false">MATCH(A1048,월별!$C$6:$C$41,1)</f>
        <v>35</v>
      </c>
      <c r="C1048" s="11" t="n">
        <f aca="false">L1047</f>
        <v>100</v>
      </c>
      <c r="D1048" s="24" t="n">
        <f aca="false">C1048*가정!$B$8</f>
        <v>500</v>
      </c>
      <c r="E1048" s="24" t="n">
        <f aca="false">H1047+D1047</f>
        <v>380053.668341709</v>
      </c>
      <c r="F1048" s="11" t="n">
        <f aca="false">IF(가정!$B$11=1,MAX(0,MIN(가정!$B$16-C1048,INT(E1048/가정!$B$17))),0)</f>
        <v>0</v>
      </c>
      <c r="G1048" s="24" t="n">
        <f aca="false">F1048*가정!$B$17</f>
        <v>0</v>
      </c>
      <c r="H1048" s="24" t="n">
        <f aca="false">E1048-G1048</f>
        <v>380053.668341709</v>
      </c>
      <c r="I1048" s="24" t="n">
        <f aca="false">I1047+D1048</f>
        <v>407020</v>
      </c>
      <c r="J1048" s="16" t="n">
        <f aca="false">(H1048+D1048)*가정!$B$10</f>
        <v>380553.668341709</v>
      </c>
      <c r="K1048" s="24" t="n">
        <f aca="false">A1048*가정!$B$8*가정!$B$7</f>
        <v>5220</v>
      </c>
      <c r="L1048" s="11" t="n">
        <f aca="false">C1048+F1048</f>
        <v>100</v>
      </c>
    </row>
    <row r="1049" customFormat="false" ht="15" hidden="false" customHeight="false" outlineLevel="0" collapsed="false">
      <c r="A1049" s="11" t="n">
        <v>1045</v>
      </c>
      <c r="B1049" s="11" t="n">
        <f aca="false">MATCH(A1049,월별!$C$6:$C$41,1)</f>
        <v>35</v>
      </c>
      <c r="C1049" s="11" t="n">
        <f aca="false">L1048</f>
        <v>100</v>
      </c>
      <c r="D1049" s="24" t="n">
        <f aca="false">C1049*가정!$B$8</f>
        <v>500</v>
      </c>
      <c r="E1049" s="24" t="n">
        <f aca="false">H1048+D1048</f>
        <v>380553.668341709</v>
      </c>
      <c r="F1049" s="11" t="n">
        <f aca="false">IF(가정!$B$11=1,MAX(0,MIN(가정!$B$16-C1049,INT(E1049/가정!$B$17))),0)</f>
        <v>0</v>
      </c>
      <c r="G1049" s="24" t="n">
        <f aca="false">F1049*가정!$B$17</f>
        <v>0</v>
      </c>
      <c r="H1049" s="24" t="n">
        <f aca="false">E1049-G1049</f>
        <v>380553.668341709</v>
      </c>
      <c r="I1049" s="24" t="n">
        <f aca="false">I1048+D1049</f>
        <v>407520</v>
      </c>
      <c r="J1049" s="16" t="n">
        <f aca="false">(H1049+D1049)*가정!$B$10</f>
        <v>381053.668341709</v>
      </c>
      <c r="K1049" s="24" t="n">
        <f aca="false">A1049*가정!$B$8*가정!$B$7</f>
        <v>5225</v>
      </c>
      <c r="L1049" s="11" t="n">
        <f aca="false">C1049+F1049</f>
        <v>100</v>
      </c>
    </row>
    <row r="1050" customFormat="false" ht="15" hidden="false" customHeight="false" outlineLevel="0" collapsed="false">
      <c r="A1050" s="11" t="n">
        <v>1046</v>
      </c>
      <c r="B1050" s="11" t="n">
        <f aca="false">MATCH(A1050,월별!$C$6:$C$41,1)</f>
        <v>35</v>
      </c>
      <c r="C1050" s="11" t="n">
        <f aca="false">L1049</f>
        <v>100</v>
      </c>
      <c r="D1050" s="24" t="n">
        <f aca="false">C1050*가정!$B$8</f>
        <v>500</v>
      </c>
      <c r="E1050" s="24" t="n">
        <f aca="false">H1049+D1049</f>
        <v>381053.668341709</v>
      </c>
      <c r="F1050" s="11" t="n">
        <f aca="false">IF(가정!$B$11=1,MAX(0,MIN(가정!$B$16-C1050,INT(E1050/가정!$B$17))),0)</f>
        <v>0</v>
      </c>
      <c r="G1050" s="24" t="n">
        <f aca="false">F1050*가정!$B$17</f>
        <v>0</v>
      </c>
      <c r="H1050" s="24" t="n">
        <f aca="false">E1050-G1050</f>
        <v>381053.668341709</v>
      </c>
      <c r="I1050" s="24" t="n">
        <f aca="false">I1049+D1050</f>
        <v>408020</v>
      </c>
      <c r="J1050" s="16" t="n">
        <f aca="false">(H1050+D1050)*가정!$B$10</f>
        <v>381553.668341709</v>
      </c>
      <c r="K1050" s="24" t="n">
        <f aca="false">A1050*가정!$B$8*가정!$B$7</f>
        <v>5230</v>
      </c>
      <c r="L1050" s="11" t="n">
        <f aca="false">C1050+F1050</f>
        <v>100</v>
      </c>
    </row>
    <row r="1051" customFormat="false" ht="15" hidden="false" customHeight="false" outlineLevel="0" collapsed="false">
      <c r="A1051" s="11" t="n">
        <v>1047</v>
      </c>
      <c r="B1051" s="11" t="n">
        <f aca="false">MATCH(A1051,월별!$C$6:$C$41,1)</f>
        <v>35</v>
      </c>
      <c r="C1051" s="11" t="n">
        <f aca="false">L1050</f>
        <v>100</v>
      </c>
      <c r="D1051" s="24" t="n">
        <f aca="false">C1051*가정!$B$8</f>
        <v>500</v>
      </c>
      <c r="E1051" s="24" t="n">
        <f aca="false">H1050+D1050</f>
        <v>381553.668341709</v>
      </c>
      <c r="F1051" s="11" t="n">
        <f aca="false">IF(가정!$B$11=1,MAX(0,MIN(가정!$B$16-C1051,INT(E1051/가정!$B$17))),0)</f>
        <v>0</v>
      </c>
      <c r="G1051" s="24" t="n">
        <f aca="false">F1051*가정!$B$17</f>
        <v>0</v>
      </c>
      <c r="H1051" s="24" t="n">
        <f aca="false">E1051-G1051</f>
        <v>381553.668341709</v>
      </c>
      <c r="I1051" s="24" t="n">
        <f aca="false">I1050+D1051</f>
        <v>408520</v>
      </c>
      <c r="J1051" s="16" t="n">
        <f aca="false">(H1051+D1051)*가정!$B$10</f>
        <v>382053.668341709</v>
      </c>
      <c r="K1051" s="24" t="n">
        <f aca="false">A1051*가정!$B$8*가정!$B$7</f>
        <v>5235</v>
      </c>
      <c r="L1051" s="11" t="n">
        <f aca="false">C1051+F1051</f>
        <v>100</v>
      </c>
    </row>
    <row r="1052" customFormat="false" ht="15" hidden="false" customHeight="false" outlineLevel="0" collapsed="false">
      <c r="A1052" s="11" t="n">
        <v>1048</v>
      </c>
      <c r="B1052" s="11" t="n">
        <f aca="false">MATCH(A1052,월별!$C$6:$C$41,1)</f>
        <v>35</v>
      </c>
      <c r="C1052" s="11" t="n">
        <f aca="false">L1051</f>
        <v>100</v>
      </c>
      <c r="D1052" s="24" t="n">
        <f aca="false">C1052*가정!$B$8</f>
        <v>500</v>
      </c>
      <c r="E1052" s="24" t="n">
        <f aca="false">H1051+D1051</f>
        <v>382053.668341709</v>
      </c>
      <c r="F1052" s="11" t="n">
        <f aca="false">IF(가정!$B$11=1,MAX(0,MIN(가정!$B$16-C1052,INT(E1052/가정!$B$17))),0)</f>
        <v>0</v>
      </c>
      <c r="G1052" s="24" t="n">
        <f aca="false">F1052*가정!$B$17</f>
        <v>0</v>
      </c>
      <c r="H1052" s="24" t="n">
        <f aca="false">E1052-G1052</f>
        <v>382053.668341709</v>
      </c>
      <c r="I1052" s="24" t="n">
        <f aca="false">I1051+D1052</f>
        <v>409020</v>
      </c>
      <c r="J1052" s="16" t="n">
        <f aca="false">(H1052+D1052)*가정!$B$10</f>
        <v>382553.668341709</v>
      </c>
      <c r="K1052" s="24" t="n">
        <f aca="false">A1052*가정!$B$8*가정!$B$7</f>
        <v>5240</v>
      </c>
      <c r="L1052" s="11" t="n">
        <f aca="false">C1052+F1052</f>
        <v>100</v>
      </c>
    </row>
    <row r="1053" customFormat="false" ht="15" hidden="false" customHeight="false" outlineLevel="0" collapsed="false">
      <c r="A1053" s="11" t="n">
        <v>1049</v>
      </c>
      <c r="B1053" s="11" t="n">
        <f aca="false">MATCH(A1053,월별!$C$6:$C$41,1)</f>
        <v>35</v>
      </c>
      <c r="C1053" s="11" t="n">
        <f aca="false">L1052</f>
        <v>100</v>
      </c>
      <c r="D1053" s="24" t="n">
        <f aca="false">C1053*가정!$B$8</f>
        <v>500</v>
      </c>
      <c r="E1053" s="24" t="n">
        <f aca="false">H1052+D1052</f>
        <v>382553.668341709</v>
      </c>
      <c r="F1053" s="11" t="n">
        <f aca="false">IF(가정!$B$11=1,MAX(0,MIN(가정!$B$16-C1053,INT(E1053/가정!$B$17))),0)</f>
        <v>0</v>
      </c>
      <c r="G1053" s="24" t="n">
        <f aca="false">F1053*가정!$B$17</f>
        <v>0</v>
      </c>
      <c r="H1053" s="24" t="n">
        <f aca="false">E1053-G1053</f>
        <v>382553.668341709</v>
      </c>
      <c r="I1053" s="24" t="n">
        <f aca="false">I1052+D1053</f>
        <v>409520</v>
      </c>
      <c r="J1053" s="16" t="n">
        <f aca="false">(H1053+D1053)*가정!$B$10</f>
        <v>383053.668341709</v>
      </c>
      <c r="K1053" s="24" t="n">
        <f aca="false">A1053*가정!$B$8*가정!$B$7</f>
        <v>5245</v>
      </c>
      <c r="L1053" s="11" t="n">
        <f aca="false">C1053+F1053</f>
        <v>100</v>
      </c>
    </row>
    <row r="1054" customFormat="false" ht="15" hidden="false" customHeight="false" outlineLevel="0" collapsed="false">
      <c r="A1054" s="11" t="n">
        <v>1050</v>
      </c>
      <c r="B1054" s="11" t="n">
        <f aca="false">MATCH(A1054,월별!$C$6:$C$41,1)</f>
        <v>35</v>
      </c>
      <c r="C1054" s="11" t="n">
        <f aca="false">L1053</f>
        <v>100</v>
      </c>
      <c r="D1054" s="24" t="n">
        <f aca="false">C1054*가정!$B$8</f>
        <v>500</v>
      </c>
      <c r="E1054" s="24" t="n">
        <f aca="false">H1053+D1053</f>
        <v>383053.668341709</v>
      </c>
      <c r="F1054" s="11" t="n">
        <f aca="false">IF(가정!$B$11=1,MAX(0,MIN(가정!$B$16-C1054,INT(E1054/가정!$B$17))),0)</f>
        <v>0</v>
      </c>
      <c r="G1054" s="24" t="n">
        <f aca="false">F1054*가정!$B$17</f>
        <v>0</v>
      </c>
      <c r="H1054" s="24" t="n">
        <f aca="false">E1054-G1054</f>
        <v>383053.668341709</v>
      </c>
      <c r="I1054" s="24" t="n">
        <f aca="false">I1053+D1054</f>
        <v>410020</v>
      </c>
      <c r="J1054" s="16" t="n">
        <f aca="false">(H1054+D1054)*가정!$B$10</f>
        <v>383553.668341709</v>
      </c>
      <c r="K1054" s="24" t="n">
        <f aca="false">A1054*가정!$B$8*가정!$B$7</f>
        <v>5250</v>
      </c>
      <c r="L1054" s="11" t="n">
        <f aca="false">C1054+F1054</f>
        <v>100</v>
      </c>
    </row>
    <row r="1055" customFormat="false" ht="15" hidden="false" customHeight="false" outlineLevel="0" collapsed="false">
      <c r="A1055" s="11" t="n">
        <v>1051</v>
      </c>
      <c r="B1055" s="11" t="n">
        <f aca="false">MATCH(A1055,월별!$C$6:$C$41,1)</f>
        <v>35</v>
      </c>
      <c r="C1055" s="11" t="n">
        <f aca="false">L1054</f>
        <v>100</v>
      </c>
      <c r="D1055" s="24" t="n">
        <f aca="false">C1055*가정!$B$8</f>
        <v>500</v>
      </c>
      <c r="E1055" s="24" t="n">
        <f aca="false">H1054+D1054</f>
        <v>383553.668341709</v>
      </c>
      <c r="F1055" s="11" t="n">
        <f aca="false">IF(가정!$B$11=1,MAX(0,MIN(가정!$B$16-C1055,INT(E1055/가정!$B$17))),0)</f>
        <v>0</v>
      </c>
      <c r="G1055" s="24" t="n">
        <f aca="false">F1055*가정!$B$17</f>
        <v>0</v>
      </c>
      <c r="H1055" s="24" t="n">
        <f aca="false">E1055-G1055</f>
        <v>383553.668341709</v>
      </c>
      <c r="I1055" s="24" t="n">
        <f aca="false">I1054+D1055</f>
        <v>410520</v>
      </c>
      <c r="J1055" s="16" t="n">
        <f aca="false">(H1055+D1055)*가정!$B$10</f>
        <v>384053.668341709</v>
      </c>
      <c r="K1055" s="24" t="n">
        <f aca="false">A1055*가정!$B$8*가정!$B$7</f>
        <v>5255</v>
      </c>
      <c r="L1055" s="11" t="n">
        <f aca="false">C1055+F1055</f>
        <v>100</v>
      </c>
    </row>
    <row r="1056" customFormat="false" ht="15" hidden="false" customHeight="false" outlineLevel="0" collapsed="false">
      <c r="A1056" s="11" t="n">
        <v>1052</v>
      </c>
      <c r="B1056" s="11" t="n">
        <f aca="false">MATCH(A1056,월별!$C$6:$C$41,1)</f>
        <v>35</v>
      </c>
      <c r="C1056" s="11" t="n">
        <f aca="false">L1055</f>
        <v>100</v>
      </c>
      <c r="D1056" s="24" t="n">
        <f aca="false">C1056*가정!$B$8</f>
        <v>500</v>
      </c>
      <c r="E1056" s="24" t="n">
        <f aca="false">H1055+D1055</f>
        <v>384053.668341709</v>
      </c>
      <c r="F1056" s="11" t="n">
        <f aca="false">IF(가정!$B$11=1,MAX(0,MIN(가정!$B$16-C1056,INT(E1056/가정!$B$17))),0)</f>
        <v>0</v>
      </c>
      <c r="G1056" s="24" t="n">
        <f aca="false">F1056*가정!$B$17</f>
        <v>0</v>
      </c>
      <c r="H1056" s="24" t="n">
        <f aca="false">E1056-G1056</f>
        <v>384053.668341709</v>
      </c>
      <c r="I1056" s="24" t="n">
        <f aca="false">I1055+D1056</f>
        <v>411020</v>
      </c>
      <c r="J1056" s="16" t="n">
        <f aca="false">(H1056+D1056)*가정!$B$10</f>
        <v>384553.668341709</v>
      </c>
      <c r="K1056" s="24" t="n">
        <f aca="false">A1056*가정!$B$8*가정!$B$7</f>
        <v>5260</v>
      </c>
      <c r="L1056" s="11" t="n">
        <f aca="false">C1056+F1056</f>
        <v>100</v>
      </c>
    </row>
    <row r="1057" customFormat="false" ht="15" hidden="false" customHeight="false" outlineLevel="0" collapsed="false">
      <c r="A1057" s="11" t="n">
        <v>1053</v>
      </c>
      <c r="B1057" s="11" t="n">
        <f aca="false">MATCH(A1057,월별!$C$6:$C$41,1)</f>
        <v>35</v>
      </c>
      <c r="C1057" s="11" t="n">
        <f aca="false">L1056</f>
        <v>100</v>
      </c>
      <c r="D1057" s="24" t="n">
        <f aca="false">C1057*가정!$B$8</f>
        <v>500</v>
      </c>
      <c r="E1057" s="24" t="n">
        <f aca="false">H1056+D1056</f>
        <v>384553.668341709</v>
      </c>
      <c r="F1057" s="11" t="n">
        <f aca="false">IF(가정!$B$11=1,MAX(0,MIN(가정!$B$16-C1057,INT(E1057/가정!$B$17))),0)</f>
        <v>0</v>
      </c>
      <c r="G1057" s="24" t="n">
        <f aca="false">F1057*가정!$B$17</f>
        <v>0</v>
      </c>
      <c r="H1057" s="24" t="n">
        <f aca="false">E1057-G1057</f>
        <v>384553.668341709</v>
      </c>
      <c r="I1057" s="24" t="n">
        <f aca="false">I1056+D1057</f>
        <v>411520</v>
      </c>
      <c r="J1057" s="16" t="n">
        <f aca="false">(H1057+D1057)*가정!$B$10</f>
        <v>385053.668341709</v>
      </c>
      <c r="K1057" s="24" t="n">
        <f aca="false">A1057*가정!$B$8*가정!$B$7</f>
        <v>5265</v>
      </c>
      <c r="L1057" s="11" t="n">
        <f aca="false">C1057+F1057</f>
        <v>100</v>
      </c>
    </row>
    <row r="1058" customFormat="false" ht="15" hidden="false" customHeight="false" outlineLevel="0" collapsed="false">
      <c r="A1058" s="11" t="n">
        <v>1054</v>
      </c>
      <c r="B1058" s="11" t="n">
        <f aca="false">MATCH(A1058,월별!$C$6:$C$41,1)</f>
        <v>35</v>
      </c>
      <c r="C1058" s="11" t="n">
        <f aca="false">L1057</f>
        <v>100</v>
      </c>
      <c r="D1058" s="24" t="n">
        <f aca="false">C1058*가정!$B$8</f>
        <v>500</v>
      </c>
      <c r="E1058" s="24" t="n">
        <f aca="false">H1057+D1057</f>
        <v>385053.668341709</v>
      </c>
      <c r="F1058" s="11" t="n">
        <f aca="false">IF(가정!$B$11=1,MAX(0,MIN(가정!$B$16-C1058,INT(E1058/가정!$B$17))),0)</f>
        <v>0</v>
      </c>
      <c r="G1058" s="24" t="n">
        <f aca="false">F1058*가정!$B$17</f>
        <v>0</v>
      </c>
      <c r="H1058" s="24" t="n">
        <f aca="false">E1058-G1058</f>
        <v>385053.668341709</v>
      </c>
      <c r="I1058" s="24" t="n">
        <f aca="false">I1057+D1058</f>
        <v>412020</v>
      </c>
      <c r="J1058" s="16" t="n">
        <f aca="false">(H1058+D1058)*가정!$B$10</f>
        <v>385553.668341709</v>
      </c>
      <c r="K1058" s="24" t="n">
        <f aca="false">A1058*가정!$B$8*가정!$B$7</f>
        <v>5270</v>
      </c>
      <c r="L1058" s="11" t="n">
        <f aca="false">C1058+F1058</f>
        <v>100</v>
      </c>
    </row>
    <row r="1059" customFormat="false" ht="15" hidden="false" customHeight="false" outlineLevel="0" collapsed="false">
      <c r="A1059" s="11" t="n">
        <v>1055</v>
      </c>
      <c r="B1059" s="11" t="n">
        <f aca="false">MATCH(A1059,월별!$C$6:$C$41,1)</f>
        <v>35</v>
      </c>
      <c r="C1059" s="11" t="n">
        <f aca="false">L1058</f>
        <v>100</v>
      </c>
      <c r="D1059" s="24" t="n">
        <f aca="false">C1059*가정!$B$8</f>
        <v>500</v>
      </c>
      <c r="E1059" s="24" t="n">
        <f aca="false">H1058+D1058</f>
        <v>385553.668341709</v>
      </c>
      <c r="F1059" s="11" t="n">
        <f aca="false">IF(가정!$B$11=1,MAX(0,MIN(가정!$B$16-C1059,INT(E1059/가정!$B$17))),0)</f>
        <v>0</v>
      </c>
      <c r="G1059" s="24" t="n">
        <f aca="false">F1059*가정!$B$17</f>
        <v>0</v>
      </c>
      <c r="H1059" s="24" t="n">
        <f aca="false">E1059-G1059</f>
        <v>385553.668341709</v>
      </c>
      <c r="I1059" s="24" t="n">
        <f aca="false">I1058+D1059</f>
        <v>412520</v>
      </c>
      <c r="J1059" s="16" t="n">
        <f aca="false">(H1059+D1059)*가정!$B$10</f>
        <v>386053.668341709</v>
      </c>
      <c r="K1059" s="24" t="n">
        <f aca="false">A1059*가정!$B$8*가정!$B$7</f>
        <v>5275</v>
      </c>
      <c r="L1059" s="11" t="n">
        <f aca="false">C1059+F1059</f>
        <v>100</v>
      </c>
    </row>
    <row r="1060" customFormat="false" ht="15" hidden="false" customHeight="false" outlineLevel="0" collapsed="false">
      <c r="A1060" s="11" t="n">
        <v>1056</v>
      </c>
      <c r="B1060" s="11" t="n">
        <f aca="false">MATCH(A1060,월별!$C$6:$C$41,1)</f>
        <v>35</v>
      </c>
      <c r="C1060" s="11" t="n">
        <f aca="false">L1059</f>
        <v>100</v>
      </c>
      <c r="D1060" s="24" t="n">
        <f aca="false">C1060*가정!$B$8</f>
        <v>500</v>
      </c>
      <c r="E1060" s="24" t="n">
        <f aca="false">H1059+D1059</f>
        <v>386053.668341709</v>
      </c>
      <c r="F1060" s="11" t="n">
        <f aca="false">IF(가정!$B$11=1,MAX(0,MIN(가정!$B$16-C1060,INT(E1060/가정!$B$17))),0)</f>
        <v>0</v>
      </c>
      <c r="G1060" s="24" t="n">
        <f aca="false">F1060*가정!$B$17</f>
        <v>0</v>
      </c>
      <c r="H1060" s="24" t="n">
        <f aca="false">E1060-G1060</f>
        <v>386053.668341709</v>
      </c>
      <c r="I1060" s="24" t="n">
        <f aca="false">I1059+D1060</f>
        <v>413020</v>
      </c>
      <c r="J1060" s="16" t="n">
        <f aca="false">(H1060+D1060)*가정!$B$10</f>
        <v>386553.668341709</v>
      </c>
      <c r="K1060" s="24" t="n">
        <f aca="false">A1060*가정!$B$8*가정!$B$7</f>
        <v>5280</v>
      </c>
      <c r="L1060" s="11" t="n">
        <f aca="false">C1060+F1060</f>
        <v>100</v>
      </c>
    </row>
    <row r="1061" customFormat="false" ht="15" hidden="false" customHeight="false" outlineLevel="0" collapsed="false">
      <c r="A1061" s="11" t="n">
        <v>1057</v>
      </c>
      <c r="B1061" s="11" t="n">
        <f aca="false">MATCH(A1061,월별!$C$6:$C$41,1)</f>
        <v>35</v>
      </c>
      <c r="C1061" s="11" t="n">
        <f aca="false">L1060</f>
        <v>100</v>
      </c>
      <c r="D1061" s="24" t="n">
        <f aca="false">C1061*가정!$B$8</f>
        <v>500</v>
      </c>
      <c r="E1061" s="24" t="n">
        <f aca="false">H1060+D1060</f>
        <v>386553.668341709</v>
      </c>
      <c r="F1061" s="11" t="n">
        <f aca="false">IF(가정!$B$11=1,MAX(0,MIN(가정!$B$16-C1061,INT(E1061/가정!$B$17))),0)</f>
        <v>0</v>
      </c>
      <c r="G1061" s="24" t="n">
        <f aca="false">F1061*가정!$B$17</f>
        <v>0</v>
      </c>
      <c r="H1061" s="24" t="n">
        <f aca="false">E1061-G1061</f>
        <v>386553.668341709</v>
      </c>
      <c r="I1061" s="24" t="n">
        <f aca="false">I1060+D1061</f>
        <v>413520</v>
      </c>
      <c r="J1061" s="16" t="n">
        <f aca="false">(H1061+D1061)*가정!$B$10</f>
        <v>387053.668341709</v>
      </c>
      <c r="K1061" s="24" t="n">
        <f aca="false">A1061*가정!$B$8*가정!$B$7</f>
        <v>5285</v>
      </c>
      <c r="L1061" s="11" t="n">
        <f aca="false">C1061+F1061</f>
        <v>100</v>
      </c>
    </row>
    <row r="1062" customFormat="false" ht="15" hidden="false" customHeight="false" outlineLevel="0" collapsed="false">
      <c r="A1062" s="11" t="n">
        <v>1058</v>
      </c>
      <c r="B1062" s="11" t="n">
        <f aca="false">MATCH(A1062,월별!$C$6:$C$41,1)</f>
        <v>35</v>
      </c>
      <c r="C1062" s="11" t="n">
        <f aca="false">L1061</f>
        <v>100</v>
      </c>
      <c r="D1062" s="24" t="n">
        <f aca="false">C1062*가정!$B$8</f>
        <v>500</v>
      </c>
      <c r="E1062" s="24" t="n">
        <f aca="false">H1061+D1061</f>
        <v>387053.668341709</v>
      </c>
      <c r="F1062" s="11" t="n">
        <f aca="false">IF(가정!$B$11=1,MAX(0,MIN(가정!$B$16-C1062,INT(E1062/가정!$B$17))),0)</f>
        <v>0</v>
      </c>
      <c r="G1062" s="24" t="n">
        <f aca="false">F1062*가정!$B$17</f>
        <v>0</v>
      </c>
      <c r="H1062" s="24" t="n">
        <f aca="false">E1062-G1062</f>
        <v>387053.668341709</v>
      </c>
      <c r="I1062" s="24" t="n">
        <f aca="false">I1061+D1062</f>
        <v>414020</v>
      </c>
      <c r="J1062" s="16" t="n">
        <f aca="false">(H1062+D1062)*가정!$B$10</f>
        <v>387553.668341709</v>
      </c>
      <c r="K1062" s="24" t="n">
        <f aca="false">A1062*가정!$B$8*가정!$B$7</f>
        <v>5290</v>
      </c>
      <c r="L1062" s="11" t="n">
        <f aca="false">C1062+F1062</f>
        <v>100</v>
      </c>
    </row>
    <row r="1063" customFormat="false" ht="15" hidden="false" customHeight="false" outlineLevel="0" collapsed="false">
      <c r="A1063" s="11" t="n">
        <v>1059</v>
      </c>
      <c r="B1063" s="11" t="n">
        <f aca="false">MATCH(A1063,월별!$C$6:$C$41,1)</f>
        <v>35</v>
      </c>
      <c r="C1063" s="11" t="n">
        <f aca="false">L1062</f>
        <v>100</v>
      </c>
      <c r="D1063" s="24" t="n">
        <f aca="false">C1063*가정!$B$8</f>
        <v>500</v>
      </c>
      <c r="E1063" s="24" t="n">
        <f aca="false">H1062+D1062</f>
        <v>387553.668341709</v>
      </c>
      <c r="F1063" s="11" t="n">
        <f aca="false">IF(가정!$B$11=1,MAX(0,MIN(가정!$B$16-C1063,INT(E1063/가정!$B$17))),0)</f>
        <v>0</v>
      </c>
      <c r="G1063" s="24" t="n">
        <f aca="false">F1063*가정!$B$17</f>
        <v>0</v>
      </c>
      <c r="H1063" s="24" t="n">
        <f aca="false">E1063-G1063</f>
        <v>387553.668341709</v>
      </c>
      <c r="I1063" s="24" t="n">
        <f aca="false">I1062+D1063</f>
        <v>414520</v>
      </c>
      <c r="J1063" s="16" t="n">
        <f aca="false">(H1063+D1063)*가정!$B$10</f>
        <v>388053.668341709</v>
      </c>
      <c r="K1063" s="24" t="n">
        <f aca="false">A1063*가정!$B$8*가정!$B$7</f>
        <v>5295</v>
      </c>
      <c r="L1063" s="11" t="n">
        <f aca="false">C1063+F1063</f>
        <v>100</v>
      </c>
    </row>
    <row r="1064" customFormat="false" ht="15" hidden="false" customHeight="false" outlineLevel="0" collapsed="false">
      <c r="A1064" s="11" t="n">
        <v>1060</v>
      </c>
      <c r="B1064" s="11" t="n">
        <f aca="false">MATCH(A1064,월별!$C$6:$C$41,1)</f>
        <v>35</v>
      </c>
      <c r="C1064" s="11" t="n">
        <f aca="false">L1063</f>
        <v>100</v>
      </c>
      <c r="D1064" s="24" t="n">
        <f aca="false">C1064*가정!$B$8</f>
        <v>500</v>
      </c>
      <c r="E1064" s="24" t="n">
        <f aca="false">H1063+D1063</f>
        <v>388053.668341709</v>
      </c>
      <c r="F1064" s="11" t="n">
        <f aca="false">IF(가정!$B$11=1,MAX(0,MIN(가정!$B$16-C1064,INT(E1064/가정!$B$17))),0)</f>
        <v>0</v>
      </c>
      <c r="G1064" s="24" t="n">
        <f aca="false">F1064*가정!$B$17</f>
        <v>0</v>
      </c>
      <c r="H1064" s="24" t="n">
        <f aca="false">E1064-G1064</f>
        <v>388053.668341709</v>
      </c>
      <c r="I1064" s="24" t="n">
        <f aca="false">I1063+D1064</f>
        <v>415020</v>
      </c>
      <c r="J1064" s="16" t="n">
        <f aca="false">(H1064+D1064)*가정!$B$10</f>
        <v>388553.668341709</v>
      </c>
      <c r="K1064" s="24" t="n">
        <f aca="false">A1064*가정!$B$8*가정!$B$7</f>
        <v>5300</v>
      </c>
      <c r="L1064" s="11" t="n">
        <f aca="false">C1064+F1064</f>
        <v>100</v>
      </c>
    </row>
    <row r="1065" customFormat="false" ht="15" hidden="false" customHeight="false" outlineLevel="0" collapsed="false">
      <c r="A1065" s="11" t="n">
        <v>1061</v>
      </c>
      <c r="B1065" s="11" t="n">
        <f aca="false">MATCH(A1065,월별!$C$6:$C$41,1)</f>
        <v>35</v>
      </c>
      <c r="C1065" s="11" t="n">
        <f aca="false">L1064</f>
        <v>100</v>
      </c>
      <c r="D1065" s="24" t="n">
        <f aca="false">C1065*가정!$B$8</f>
        <v>500</v>
      </c>
      <c r="E1065" s="24" t="n">
        <f aca="false">H1064+D1064</f>
        <v>388553.668341709</v>
      </c>
      <c r="F1065" s="11" t="n">
        <f aca="false">IF(가정!$B$11=1,MAX(0,MIN(가정!$B$16-C1065,INT(E1065/가정!$B$17))),0)</f>
        <v>0</v>
      </c>
      <c r="G1065" s="24" t="n">
        <f aca="false">F1065*가정!$B$17</f>
        <v>0</v>
      </c>
      <c r="H1065" s="24" t="n">
        <f aca="false">E1065-G1065</f>
        <v>388553.668341709</v>
      </c>
      <c r="I1065" s="24" t="n">
        <f aca="false">I1064+D1065</f>
        <v>415520</v>
      </c>
      <c r="J1065" s="16" t="n">
        <f aca="false">(H1065+D1065)*가정!$B$10</f>
        <v>389053.668341709</v>
      </c>
      <c r="K1065" s="24" t="n">
        <f aca="false">A1065*가정!$B$8*가정!$B$7</f>
        <v>5305</v>
      </c>
      <c r="L1065" s="11" t="n">
        <f aca="false">C1065+F1065</f>
        <v>100</v>
      </c>
    </row>
    <row r="1066" customFormat="false" ht="15" hidden="false" customHeight="false" outlineLevel="0" collapsed="false">
      <c r="A1066" s="11" t="n">
        <v>1062</v>
      </c>
      <c r="B1066" s="11" t="n">
        <f aca="false">MATCH(A1066,월별!$C$6:$C$41,1)</f>
        <v>35</v>
      </c>
      <c r="C1066" s="11" t="n">
        <f aca="false">L1065</f>
        <v>100</v>
      </c>
      <c r="D1066" s="24" t="n">
        <f aca="false">C1066*가정!$B$8</f>
        <v>500</v>
      </c>
      <c r="E1066" s="24" t="n">
        <f aca="false">H1065+D1065</f>
        <v>389053.668341709</v>
      </c>
      <c r="F1066" s="11" t="n">
        <f aca="false">IF(가정!$B$11=1,MAX(0,MIN(가정!$B$16-C1066,INT(E1066/가정!$B$17))),0)</f>
        <v>0</v>
      </c>
      <c r="G1066" s="24" t="n">
        <f aca="false">F1066*가정!$B$17</f>
        <v>0</v>
      </c>
      <c r="H1066" s="24" t="n">
        <f aca="false">E1066-G1066</f>
        <v>389053.668341709</v>
      </c>
      <c r="I1066" s="24" t="n">
        <f aca="false">I1065+D1066</f>
        <v>416020</v>
      </c>
      <c r="J1066" s="16" t="n">
        <f aca="false">(H1066+D1066)*가정!$B$10</f>
        <v>389553.668341709</v>
      </c>
      <c r="K1066" s="24" t="n">
        <f aca="false">A1066*가정!$B$8*가정!$B$7</f>
        <v>5310</v>
      </c>
      <c r="L1066" s="11" t="n">
        <f aca="false">C1066+F1066</f>
        <v>100</v>
      </c>
    </row>
    <row r="1067" customFormat="false" ht="15" hidden="false" customHeight="false" outlineLevel="0" collapsed="false">
      <c r="A1067" s="11" t="n">
        <v>1063</v>
      </c>
      <c r="B1067" s="11" t="n">
        <f aca="false">MATCH(A1067,월별!$C$6:$C$41,1)</f>
        <v>35</v>
      </c>
      <c r="C1067" s="11" t="n">
        <f aca="false">L1066</f>
        <v>100</v>
      </c>
      <c r="D1067" s="24" t="n">
        <f aca="false">C1067*가정!$B$8</f>
        <v>500</v>
      </c>
      <c r="E1067" s="24" t="n">
        <f aca="false">H1066+D1066</f>
        <v>389553.668341709</v>
      </c>
      <c r="F1067" s="11" t="n">
        <f aca="false">IF(가정!$B$11=1,MAX(0,MIN(가정!$B$16-C1067,INT(E1067/가정!$B$17))),0)</f>
        <v>0</v>
      </c>
      <c r="G1067" s="24" t="n">
        <f aca="false">F1067*가정!$B$17</f>
        <v>0</v>
      </c>
      <c r="H1067" s="24" t="n">
        <f aca="false">E1067-G1067</f>
        <v>389553.668341709</v>
      </c>
      <c r="I1067" s="24" t="n">
        <f aca="false">I1066+D1067</f>
        <v>416520</v>
      </c>
      <c r="J1067" s="16" t="n">
        <f aca="false">(H1067+D1067)*가정!$B$10</f>
        <v>390053.668341709</v>
      </c>
      <c r="K1067" s="24" t="n">
        <f aca="false">A1067*가정!$B$8*가정!$B$7</f>
        <v>5315</v>
      </c>
      <c r="L1067" s="11" t="n">
        <f aca="false">C1067+F1067</f>
        <v>100</v>
      </c>
    </row>
    <row r="1068" customFormat="false" ht="15" hidden="false" customHeight="false" outlineLevel="0" collapsed="false">
      <c r="A1068" s="11" t="n">
        <v>1064</v>
      </c>
      <c r="B1068" s="11" t="n">
        <f aca="false">MATCH(A1068,월별!$C$6:$C$41,1)</f>
        <v>35</v>
      </c>
      <c r="C1068" s="11" t="n">
        <f aca="false">L1067</f>
        <v>100</v>
      </c>
      <c r="D1068" s="24" t="n">
        <f aca="false">C1068*가정!$B$8</f>
        <v>500</v>
      </c>
      <c r="E1068" s="24" t="n">
        <f aca="false">H1067+D1067</f>
        <v>390053.668341709</v>
      </c>
      <c r="F1068" s="11" t="n">
        <f aca="false">IF(가정!$B$11=1,MAX(0,MIN(가정!$B$16-C1068,INT(E1068/가정!$B$17))),0)</f>
        <v>0</v>
      </c>
      <c r="G1068" s="24" t="n">
        <f aca="false">F1068*가정!$B$17</f>
        <v>0</v>
      </c>
      <c r="H1068" s="24" t="n">
        <f aca="false">E1068-G1068</f>
        <v>390053.668341709</v>
      </c>
      <c r="I1068" s="24" t="n">
        <f aca="false">I1067+D1068</f>
        <v>417020</v>
      </c>
      <c r="J1068" s="16" t="n">
        <f aca="false">(H1068+D1068)*가정!$B$10</f>
        <v>390553.668341709</v>
      </c>
      <c r="K1068" s="24" t="n">
        <f aca="false">A1068*가정!$B$8*가정!$B$7</f>
        <v>5320</v>
      </c>
      <c r="L1068" s="11" t="n">
        <f aca="false">C1068+F1068</f>
        <v>100</v>
      </c>
    </row>
    <row r="1069" customFormat="false" ht="15" hidden="false" customHeight="false" outlineLevel="0" collapsed="false">
      <c r="A1069" s="11" t="n">
        <v>1065</v>
      </c>
      <c r="B1069" s="11" t="n">
        <f aca="false">MATCH(A1069,월별!$C$6:$C$41,1)</f>
        <v>35</v>
      </c>
      <c r="C1069" s="11" t="n">
        <f aca="false">L1068</f>
        <v>100</v>
      </c>
      <c r="D1069" s="24" t="n">
        <f aca="false">C1069*가정!$B$8</f>
        <v>500</v>
      </c>
      <c r="E1069" s="24" t="n">
        <f aca="false">H1068+D1068</f>
        <v>390553.668341709</v>
      </c>
      <c r="F1069" s="11" t="n">
        <f aca="false">IF(가정!$B$11=1,MAX(0,MIN(가정!$B$16-C1069,INT(E1069/가정!$B$17))),0)</f>
        <v>0</v>
      </c>
      <c r="G1069" s="24" t="n">
        <f aca="false">F1069*가정!$B$17</f>
        <v>0</v>
      </c>
      <c r="H1069" s="24" t="n">
        <f aca="false">E1069-G1069</f>
        <v>390553.668341709</v>
      </c>
      <c r="I1069" s="24" t="n">
        <f aca="false">I1068+D1069</f>
        <v>417520</v>
      </c>
      <c r="J1069" s="16" t="n">
        <f aca="false">(H1069+D1069)*가정!$B$10</f>
        <v>391053.668341709</v>
      </c>
      <c r="K1069" s="24" t="n">
        <f aca="false">A1069*가정!$B$8*가정!$B$7</f>
        <v>5325</v>
      </c>
      <c r="L1069" s="11" t="n">
        <f aca="false">C1069+F1069</f>
        <v>100</v>
      </c>
    </row>
    <row r="1070" customFormat="false" ht="15" hidden="false" customHeight="false" outlineLevel="0" collapsed="false">
      <c r="A1070" s="11" t="n">
        <v>1066</v>
      </c>
      <c r="B1070" s="11" t="n">
        <f aca="false">MATCH(A1070,월별!$C$6:$C$41,1)</f>
        <v>36</v>
      </c>
      <c r="C1070" s="11" t="n">
        <f aca="false">L1069</f>
        <v>100</v>
      </c>
      <c r="D1070" s="24" t="n">
        <f aca="false">C1070*가정!$B$8</f>
        <v>500</v>
      </c>
      <c r="E1070" s="24" t="n">
        <f aca="false">H1069+D1069</f>
        <v>391053.668341709</v>
      </c>
      <c r="F1070" s="11" t="n">
        <f aca="false">IF(가정!$B$11=1,MAX(0,MIN(가정!$B$16-C1070,INT(E1070/가정!$B$17))),0)</f>
        <v>0</v>
      </c>
      <c r="G1070" s="24" t="n">
        <f aca="false">F1070*가정!$B$17</f>
        <v>0</v>
      </c>
      <c r="H1070" s="24" t="n">
        <f aca="false">E1070-G1070</f>
        <v>391053.668341709</v>
      </c>
      <c r="I1070" s="24" t="n">
        <f aca="false">I1069+D1070</f>
        <v>418020</v>
      </c>
      <c r="J1070" s="16" t="n">
        <f aca="false">(H1070+D1070)*가정!$B$10</f>
        <v>391553.668341709</v>
      </c>
      <c r="K1070" s="24" t="n">
        <f aca="false">A1070*가정!$B$8*가정!$B$7</f>
        <v>5330</v>
      </c>
      <c r="L1070" s="11" t="n">
        <f aca="false">C1070+F1070</f>
        <v>100</v>
      </c>
    </row>
    <row r="1071" customFormat="false" ht="15" hidden="false" customHeight="false" outlineLevel="0" collapsed="false">
      <c r="A1071" s="11" t="n">
        <v>1067</v>
      </c>
      <c r="B1071" s="11" t="n">
        <f aca="false">MATCH(A1071,월별!$C$6:$C$41,1)</f>
        <v>36</v>
      </c>
      <c r="C1071" s="11" t="n">
        <f aca="false">L1070</f>
        <v>100</v>
      </c>
      <c r="D1071" s="24" t="n">
        <f aca="false">C1071*가정!$B$8</f>
        <v>500</v>
      </c>
      <c r="E1071" s="24" t="n">
        <f aca="false">H1070+D1070</f>
        <v>391553.668341709</v>
      </c>
      <c r="F1071" s="11" t="n">
        <f aca="false">IF(가정!$B$11=1,MAX(0,MIN(가정!$B$16-C1071,INT(E1071/가정!$B$17))),0)</f>
        <v>0</v>
      </c>
      <c r="G1071" s="24" t="n">
        <f aca="false">F1071*가정!$B$17</f>
        <v>0</v>
      </c>
      <c r="H1071" s="24" t="n">
        <f aca="false">E1071-G1071</f>
        <v>391553.668341709</v>
      </c>
      <c r="I1071" s="24" t="n">
        <f aca="false">I1070+D1071</f>
        <v>418520</v>
      </c>
      <c r="J1071" s="16" t="n">
        <f aca="false">(H1071+D1071)*가정!$B$10</f>
        <v>392053.668341709</v>
      </c>
      <c r="K1071" s="24" t="n">
        <f aca="false">A1071*가정!$B$8*가정!$B$7</f>
        <v>5335</v>
      </c>
      <c r="L1071" s="11" t="n">
        <f aca="false">C1071+F1071</f>
        <v>100</v>
      </c>
    </row>
    <row r="1072" customFormat="false" ht="15" hidden="false" customHeight="false" outlineLevel="0" collapsed="false">
      <c r="A1072" s="11" t="n">
        <v>1068</v>
      </c>
      <c r="B1072" s="11" t="n">
        <f aca="false">MATCH(A1072,월별!$C$6:$C$41,1)</f>
        <v>36</v>
      </c>
      <c r="C1072" s="11" t="n">
        <f aca="false">L1071</f>
        <v>100</v>
      </c>
      <c r="D1072" s="24" t="n">
        <f aca="false">C1072*가정!$B$8</f>
        <v>500</v>
      </c>
      <c r="E1072" s="24" t="n">
        <f aca="false">H1071+D1071</f>
        <v>392053.668341709</v>
      </c>
      <c r="F1072" s="11" t="n">
        <f aca="false">IF(가정!$B$11=1,MAX(0,MIN(가정!$B$16-C1072,INT(E1072/가정!$B$17))),0)</f>
        <v>0</v>
      </c>
      <c r="G1072" s="24" t="n">
        <f aca="false">F1072*가정!$B$17</f>
        <v>0</v>
      </c>
      <c r="H1072" s="24" t="n">
        <f aca="false">E1072-G1072</f>
        <v>392053.668341709</v>
      </c>
      <c r="I1072" s="24" t="n">
        <f aca="false">I1071+D1072</f>
        <v>419020</v>
      </c>
      <c r="J1072" s="16" t="n">
        <f aca="false">(H1072+D1072)*가정!$B$10</f>
        <v>392553.668341709</v>
      </c>
      <c r="K1072" s="24" t="n">
        <f aca="false">A1072*가정!$B$8*가정!$B$7</f>
        <v>5340</v>
      </c>
      <c r="L1072" s="11" t="n">
        <f aca="false">C1072+F1072</f>
        <v>100</v>
      </c>
    </row>
    <row r="1073" customFormat="false" ht="15" hidden="false" customHeight="false" outlineLevel="0" collapsed="false">
      <c r="A1073" s="11" t="n">
        <v>1069</v>
      </c>
      <c r="B1073" s="11" t="n">
        <f aca="false">MATCH(A1073,월별!$C$6:$C$41,1)</f>
        <v>36</v>
      </c>
      <c r="C1073" s="11" t="n">
        <f aca="false">L1072</f>
        <v>100</v>
      </c>
      <c r="D1073" s="24" t="n">
        <f aca="false">C1073*가정!$B$8</f>
        <v>500</v>
      </c>
      <c r="E1073" s="24" t="n">
        <f aca="false">H1072+D1072</f>
        <v>392553.668341709</v>
      </c>
      <c r="F1073" s="11" t="n">
        <f aca="false">IF(가정!$B$11=1,MAX(0,MIN(가정!$B$16-C1073,INT(E1073/가정!$B$17))),0)</f>
        <v>0</v>
      </c>
      <c r="G1073" s="24" t="n">
        <f aca="false">F1073*가정!$B$17</f>
        <v>0</v>
      </c>
      <c r="H1073" s="24" t="n">
        <f aca="false">E1073-G1073</f>
        <v>392553.668341709</v>
      </c>
      <c r="I1073" s="24" t="n">
        <f aca="false">I1072+D1073</f>
        <v>419520</v>
      </c>
      <c r="J1073" s="16" t="n">
        <f aca="false">(H1073+D1073)*가정!$B$10</f>
        <v>393053.668341709</v>
      </c>
      <c r="K1073" s="24" t="n">
        <f aca="false">A1073*가정!$B$8*가정!$B$7</f>
        <v>5345</v>
      </c>
      <c r="L1073" s="11" t="n">
        <f aca="false">C1073+F1073</f>
        <v>100</v>
      </c>
    </row>
    <row r="1074" customFormat="false" ht="15" hidden="false" customHeight="false" outlineLevel="0" collapsed="false">
      <c r="A1074" s="11" t="n">
        <v>1070</v>
      </c>
      <c r="B1074" s="11" t="n">
        <f aca="false">MATCH(A1074,월별!$C$6:$C$41,1)</f>
        <v>36</v>
      </c>
      <c r="C1074" s="11" t="n">
        <f aca="false">L1073</f>
        <v>100</v>
      </c>
      <c r="D1074" s="24" t="n">
        <f aca="false">C1074*가정!$B$8</f>
        <v>500</v>
      </c>
      <c r="E1074" s="24" t="n">
        <f aca="false">H1073+D1073</f>
        <v>393053.668341709</v>
      </c>
      <c r="F1074" s="11" t="n">
        <f aca="false">IF(가정!$B$11=1,MAX(0,MIN(가정!$B$16-C1074,INT(E1074/가정!$B$17))),0)</f>
        <v>0</v>
      </c>
      <c r="G1074" s="24" t="n">
        <f aca="false">F1074*가정!$B$17</f>
        <v>0</v>
      </c>
      <c r="H1074" s="24" t="n">
        <f aca="false">E1074-G1074</f>
        <v>393053.668341709</v>
      </c>
      <c r="I1074" s="24" t="n">
        <f aca="false">I1073+D1074</f>
        <v>420020</v>
      </c>
      <c r="J1074" s="16" t="n">
        <f aca="false">(H1074+D1074)*가정!$B$10</f>
        <v>393553.668341709</v>
      </c>
      <c r="K1074" s="24" t="n">
        <f aca="false">A1074*가정!$B$8*가정!$B$7</f>
        <v>5350</v>
      </c>
      <c r="L1074" s="11" t="n">
        <f aca="false">C1074+F1074</f>
        <v>100</v>
      </c>
    </row>
    <row r="1075" customFormat="false" ht="15" hidden="false" customHeight="false" outlineLevel="0" collapsed="false">
      <c r="A1075" s="11" t="n">
        <v>1071</v>
      </c>
      <c r="B1075" s="11" t="n">
        <f aca="false">MATCH(A1075,월별!$C$6:$C$41,1)</f>
        <v>36</v>
      </c>
      <c r="C1075" s="11" t="n">
        <f aca="false">L1074</f>
        <v>100</v>
      </c>
      <c r="D1075" s="24" t="n">
        <f aca="false">C1075*가정!$B$8</f>
        <v>500</v>
      </c>
      <c r="E1075" s="24" t="n">
        <f aca="false">H1074+D1074</f>
        <v>393553.668341709</v>
      </c>
      <c r="F1075" s="11" t="n">
        <f aca="false">IF(가정!$B$11=1,MAX(0,MIN(가정!$B$16-C1075,INT(E1075/가정!$B$17))),0)</f>
        <v>0</v>
      </c>
      <c r="G1075" s="24" t="n">
        <f aca="false">F1075*가정!$B$17</f>
        <v>0</v>
      </c>
      <c r="H1075" s="24" t="n">
        <f aca="false">E1075-G1075</f>
        <v>393553.668341709</v>
      </c>
      <c r="I1075" s="24" t="n">
        <f aca="false">I1074+D1075</f>
        <v>420520</v>
      </c>
      <c r="J1075" s="16" t="n">
        <f aca="false">(H1075+D1075)*가정!$B$10</f>
        <v>394053.668341709</v>
      </c>
      <c r="K1075" s="24" t="n">
        <f aca="false">A1075*가정!$B$8*가정!$B$7</f>
        <v>5355</v>
      </c>
      <c r="L1075" s="11" t="n">
        <f aca="false">C1075+F1075</f>
        <v>100</v>
      </c>
    </row>
    <row r="1076" customFormat="false" ht="15" hidden="false" customHeight="false" outlineLevel="0" collapsed="false">
      <c r="A1076" s="11" t="n">
        <v>1072</v>
      </c>
      <c r="B1076" s="11" t="n">
        <f aca="false">MATCH(A1076,월별!$C$6:$C$41,1)</f>
        <v>36</v>
      </c>
      <c r="C1076" s="11" t="n">
        <f aca="false">L1075</f>
        <v>100</v>
      </c>
      <c r="D1076" s="24" t="n">
        <f aca="false">C1076*가정!$B$8</f>
        <v>500</v>
      </c>
      <c r="E1076" s="24" t="n">
        <f aca="false">H1075+D1075</f>
        <v>394053.668341709</v>
      </c>
      <c r="F1076" s="11" t="n">
        <f aca="false">IF(가정!$B$11=1,MAX(0,MIN(가정!$B$16-C1076,INT(E1076/가정!$B$17))),0)</f>
        <v>0</v>
      </c>
      <c r="G1076" s="24" t="n">
        <f aca="false">F1076*가정!$B$17</f>
        <v>0</v>
      </c>
      <c r="H1076" s="24" t="n">
        <f aca="false">E1076-G1076</f>
        <v>394053.668341709</v>
      </c>
      <c r="I1076" s="24" t="n">
        <f aca="false">I1075+D1076</f>
        <v>421020</v>
      </c>
      <c r="J1076" s="16" t="n">
        <f aca="false">(H1076+D1076)*가정!$B$10</f>
        <v>394553.668341709</v>
      </c>
      <c r="K1076" s="24" t="n">
        <f aca="false">A1076*가정!$B$8*가정!$B$7</f>
        <v>5360</v>
      </c>
      <c r="L1076" s="11" t="n">
        <f aca="false">C1076+F1076</f>
        <v>100</v>
      </c>
    </row>
    <row r="1077" customFormat="false" ht="15" hidden="false" customHeight="false" outlineLevel="0" collapsed="false">
      <c r="A1077" s="11" t="n">
        <v>1073</v>
      </c>
      <c r="B1077" s="11" t="n">
        <f aca="false">MATCH(A1077,월별!$C$6:$C$41,1)</f>
        <v>36</v>
      </c>
      <c r="C1077" s="11" t="n">
        <f aca="false">L1076</f>
        <v>100</v>
      </c>
      <c r="D1077" s="24" t="n">
        <f aca="false">C1077*가정!$B$8</f>
        <v>500</v>
      </c>
      <c r="E1077" s="24" t="n">
        <f aca="false">H1076+D1076</f>
        <v>394553.668341709</v>
      </c>
      <c r="F1077" s="11" t="n">
        <f aca="false">IF(가정!$B$11=1,MAX(0,MIN(가정!$B$16-C1077,INT(E1077/가정!$B$17))),0)</f>
        <v>0</v>
      </c>
      <c r="G1077" s="24" t="n">
        <f aca="false">F1077*가정!$B$17</f>
        <v>0</v>
      </c>
      <c r="H1077" s="24" t="n">
        <f aca="false">E1077-G1077</f>
        <v>394553.668341709</v>
      </c>
      <c r="I1077" s="24" t="n">
        <f aca="false">I1076+D1077</f>
        <v>421520</v>
      </c>
      <c r="J1077" s="16" t="n">
        <f aca="false">(H1077+D1077)*가정!$B$10</f>
        <v>395053.668341709</v>
      </c>
      <c r="K1077" s="24" t="n">
        <f aca="false">A1077*가정!$B$8*가정!$B$7</f>
        <v>5365</v>
      </c>
      <c r="L1077" s="11" t="n">
        <f aca="false">C1077+F1077</f>
        <v>100</v>
      </c>
    </row>
    <row r="1078" customFormat="false" ht="15" hidden="false" customHeight="false" outlineLevel="0" collapsed="false">
      <c r="A1078" s="11" t="n">
        <v>1074</v>
      </c>
      <c r="B1078" s="11" t="n">
        <f aca="false">MATCH(A1078,월별!$C$6:$C$41,1)</f>
        <v>36</v>
      </c>
      <c r="C1078" s="11" t="n">
        <f aca="false">L1077</f>
        <v>100</v>
      </c>
      <c r="D1078" s="24" t="n">
        <f aca="false">C1078*가정!$B$8</f>
        <v>500</v>
      </c>
      <c r="E1078" s="24" t="n">
        <f aca="false">H1077+D1077</f>
        <v>395053.668341709</v>
      </c>
      <c r="F1078" s="11" t="n">
        <f aca="false">IF(가정!$B$11=1,MAX(0,MIN(가정!$B$16-C1078,INT(E1078/가정!$B$17))),0)</f>
        <v>0</v>
      </c>
      <c r="G1078" s="24" t="n">
        <f aca="false">F1078*가정!$B$17</f>
        <v>0</v>
      </c>
      <c r="H1078" s="24" t="n">
        <f aca="false">E1078-G1078</f>
        <v>395053.668341709</v>
      </c>
      <c r="I1078" s="24" t="n">
        <f aca="false">I1077+D1078</f>
        <v>422020</v>
      </c>
      <c r="J1078" s="16" t="n">
        <f aca="false">(H1078+D1078)*가정!$B$10</f>
        <v>395553.668341709</v>
      </c>
      <c r="K1078" s="24" t="n">
        <f aca="false">A1078*가정!$B$8*가정!$B$7</f>
        <v>5370</v>
      </c>
      <c r="L1078" s="11" t="n">
        <f aca="false">C1078+F1078</f>
        <v>100</v>
      </c>
    </row>
    <row r="1079" customFormat="false" ht="15" hidden="false" customHeight="false" outlineLevel="0" collapsed="false">
      <c r="A1079" s="11" t="n">
        <v>1075</v>
      </c>
      <c r="B1079" s="11" t="n">
        <f aca="false">MATCH(A1079,월별!$C$6:$C$41,1)</f>
        <v>36</v>
      </c>
      <c r="C1079" s="11" t="n">
        <f aca="false">L1078</f>
        <v>100</v>
      </c>
      <c r="D1079" s="24" t="n">
        <f aca="false">C1079*가정!$B$8</f>
        <v>500</v>
      </c>
      <c r="E1079" s="24" t="n">
        <f aca="false">H1078+D1078</f>
        <v>395553.668341709</v>
      </c>
      <c r="F1079" s="11" t="n">
        <f aca="false">IF(가정!$B$11=1,MAX(0,MIN(가정!$B$16-C1079,INT(E1079/가정!$B$17))),0)</f>
        <v>0</v>
      </c>
      <c r="G1079" s="24" t="n">
        <f aca="false">F1079*가정!$B$17</f>
        <v>0</v>
      </c>
      <c r="H1079" s="24" t="n">
        <f aca="false">E1079-G1079</f>
        <v>395553.668341709</v>
      </c>
      <c r="I1079" s="24" t="n">
        <f aca="false">I1078+D1079</f>
        <v>422520</v>
      </c>
      <c r="J1079" s="16" t="n">
        <f aca="false">(H1079+D1079)*가정!$B$10</f>
        <v>396053.668341709</v>
      </c>
      <c r="K1079" s="24" t="n">
        <f aca="false">A1079*가정!$B$8*가정!$B$7</f>
        <v>5375</v>
      </c>
      <c r="L1079" s="11" t="n">
        <f aca="false">C1079+F1079</f>
        <v>100</v>
      </c>
    </row>
    <row r="1080" customFormat="false" ht="15" hidden="false" customHeight="false" outlineLevel="0" collapsed="false">
      <c r="A1080" s="11" t="n">
        <v>1076</v>
      </c>
      <c r="B1080" s="11" t="n">
        <f aca="false">MATCH(A1080,월별!$C$6:$C$41,1)</f>
        <v>36</v>
      </c>
      <c r="C1080" s="11" t="n">
        <f aca="false">L1079</f>
        <v>100</v>
      </c>
      <c r="D1080" s="24" t="n">
        <f aca="false">C1080*가정!$B$8</f>
        <v>500</v>
      </c>
      <c r="E1080" s="24" t="n">
        <f aca="false">H1079+D1079</f>
        <v>396053.668341709</v>
      </c>
      <c r="F1080" s="11" t="n">
        <f aca="false">IF(가정!$B$11=1,MAX(0,MIN(가정!$B$16-C1080,INT(E1080/가정!$B$17))),0)</f>
        <v>0</v>
      </c>
      <c r="G1080" s="24" t="n">
        <f aca="false">F1080*가정!$B$17</f>
        <v>0</v>
      </c>
      <c r="H1080" s="24" t="n">
        <f aca="false">E1080-G1080</f>
        <v>396053.668341709</v>
      </c>
      <c r="I1080" s="24" t="n">
        <f aca="false">I1079+D1080</f>
        <v>423020</v>
      </c>
      <c r="J1080" s="16" t="n">
        <f aca="false">(H1080+D1080)*가정!$B$10</f>
        <v>396553.668341709</v>
      </c>
      <c r="K1080" s="24" t="n">
        <f aca="false">A1080*가정!$B$8*가정!$B$7</f>
        <v>5380</v>
      </c>
      <c r="L1080" s="11" t="n">
        <f aca="false">C1080+F1080</f>
        <v>100</v>
      </c>
    </row>
    <row r="1081" customFormat="false" ht="15" hidden="false" customHeight="false" outlineLevel="0" collapsed="false">
      <c r="A1081" s="11" t="n">
        <v>1077</v>
      </c>
      <c r="B1081" s="11" t="n">
        <f aca="false">MATCH(A1081,월별!$C$6:$C$41,1)</f>
        <v>36</v>
      </c>
      <c r="C1081" s="11" t="n">
        <f aca="false">L1080</f>
        <v>100</v>
      </c>
      <c r="D1081" s="24" t="n">
        <f aca="false">C1081*가정!$B$8</f>
        <v>500</v>
      </c>
      <c r="E1081" s="24" t="n">
        <f aca="false">H1080+D1080</f>
        <v>396553.668341709</v>
      </c>
      <c r="F1081" s="11" t="n">
        <f aca="false">IF(가정!$B$11=1,MAX(0,MIN(가정!$B$16-C1081,INT(E1081/가정!$B$17))),0)</f>
        <v>0</v>
      </c>
      <c r="G1081" s="24" t="n">
        <f aca="false">F1081*가정!$B$17</f>
        <v>0</v>
      </c>
      <c r="H1081" s="24" t="n">
        <f aca="false">E1081-G1081</f>
        <v>396553.668341709</v>
      </c>
      <c r="I1081" s="24" t="n">
        <f aca="false">I1080+D1081</f>
        <v>423520</v>
      </c>
      <c r="J1081" s="16" t="n">
        <f aca="false">(H1081+D1081)*가정!$B$10</f>
        <v>397053.668341709</v>
      </c>
      <c r="K1081" s="24" t="n">
        <f aca="false">A1081*가정!$B$8*가정!$B$7</f>
        <v>5385</v>
      </c>
      <c r="L1081" s="11" t="n">
        <f aca="false">C1081+F1081</f>
        <v>100</v>
      </c>
    </row>
    <row r="1082" customFormat="false" ht="15" hidden="false" customHeight="false" outlineLevel="0" collapsed="false">
      <c r="A1082" s="11" t="n">
        <v>1078</v>
      </c>
      <c r="B1082" s="11" t="n">
        <f aca="false">MATCH(A1082,월별!$C$6:$C$41,1)</f>
        <v>36</v>
      </c>
      <c r="C1082" s="11" t="n">
        <f aca="false">L1081</f>
        <v>100</v>
      </c>
      <c r="D1082" s="24" t="n">
        <f aca="false">C1082*가정!$B$8</f>
        <v>500</v>
      </c>
      <c r="E1082" s="24" t="n">
        <f aca="false">H1081+D1081</f>
        <v>397053.668341709</v>
      </c>
      <c r="F1082" s="11" t="n">
        <f aca="false">IF(가정!$B$11=1,MAX(0,MIN(가정!$B$16-C1082,INT(E1082/가정!$B$17))),0)</f>
        <v>0</v>
      </c>
      <c r="G1082" s="24" t="n">
        <f aca="false">F1082*가정!$B$17</f>
        <v>0</v>
      </c>
      <c r="H1082" s="24" t="n">
        <f aca="false">E1082-G1082</f>
        <v>397053.668341709</v>
      </c>
      <c r="I1082" s="24" t="n">
        <f aca="false">I1081+D1082</f>
        <v>424020</v>
      </c>
      <c r="J1082" s="16" t="n">
        <f aca="false">(H1082+D1082)*가정!$B$10</f>
        <v>397553.668341709</v>
      </c>
      <c r="K1082" s="24" t="n">
        <f aca="false">A1082*가정!$B$8*가정!$B$7</f>
        <v>5390</v>
      </c>
      <c r="L1082" s="11" t="n">
        <f aca="false">C1082+F1082</f>
        <v>100</v>
      </c>
    </row>
    <row r="1083" customFormat="false" ht="15" hidden="false" customHeight="false" outlineLevel="0" collapsed="false">
      <c r="A1083" s="11" t="n">
        <v>1079</v>
      </c>
      <c r="B1083" s="11" t="n">
        <f aca="false">MATCH(A1083,월별!$C$6:$C$41,1)</f>
        <v>36</v>
      </c>
      <c r="C1083" s="11" t="n">
        <f aca="false">L1082</f>
        <v>100</v>
      </c>
      <c r="D1083" s="24" t="n">
        <f aca="false">C1083*가정!$B$8</f>
        <v>500</v>
      </c>
      <c r="E1083" s="24" t="n">
        <f aca="false">H1082+D1082</f>
        <v>397553.668341709</v>
      </c>
      <c r="F1083" s="11" t="n">
        <f aca="false">IF(가정!$B$11=1,MAX(0,MIN(가정!$B$16-C1083,INT(E1083/가정!$B$17))),0)</f>
        <v>0</v>
      </c>
      <c r="G1083" s="24" t="n">
        <f aca="false">F1083*가정!$B$17</f>
        <v>0</v>
      </c>
      <c r="H1083" s="24" t="n">
        <f aca="false">E1083-G1083</f>
        <v>397553.668341709</v>
      </c>
      <c r="I1083" s="24" t="n">
        <f aca="false">I1082+D1083</f>
        <v>424520</v>
      </c>
      <c r="J1083" s="16" t="n">
        <f aca="false">(H1083+D1083)*가정!$B$10</f>
        <v>398053.668341709</v>
      </c>
      <c r="K1083" s="24" t="n">
        <f aca="false">A1083*가정!$B$8*가정!$B$7</f>
        <v>5395</v>
      </c>
      <c r="L1083" s="11" t="n">
        <f aca="false">C1083+F1083</f>
        <v>100</v>
      </c>
    </row>
    <row r="1084" customFormat="false" ht="15" hidden="false" customHeight="false" outlineLevel="0" collapsed="false">
      <c r="A1084" s="11" t="n">
        <v>1080</v>
      </c>
      <c r="B1084" s="11" t="n">
        <f aca="false">MATCH(A1084,월별!$C$6:$C$41,1)</f>
        <v>36</v>
      </c>
      <c r="C1084" s="11" t="n">
        <f aca="false">L1083</f>
        <v>100</v>
      </c>
      <c r="D1084" s="24" t="n">
        <f aca="false">C1084*가정!$B$8</f>
        <v>500</v>
      </c>
      <c r="E1084" s="24" t="n">
        <f aca="false">H1083+D1083</f>
        <v>398053.668341709</v>
      </c>
      <c r="F1084" s="11" t="n">
        <f aca="false">IF(가정!$B$11=1,MAX(0,MIN(가정!$B$16-C1084,INT(E1084/가정!$B$17))),0)</f>
        <v>0</v>
      </c>
      <c r="G1084" s="24" t="n">
        <f aca="false">F1084*가정!$B$17</f>
        <v>0</v>
      </c>
      <c r="H1084" s="24" t="n">
        <f aca="false">E1084-G1084</f>
        <v>398053.668341709</v>
      </c>
      <c r="I1084" s="24" t="n">
        <f aca="false">I1083+D1084</f>
        <v>425020</v>
      </c>
      <c r="J1084" s="16" t="n">
        <f aca="false">(H1084+D1084)*가정!$B$10</f>
        <v>398553.668341709</v>
      </c>
      <c r="K1084" s="24" t="n">
        <f aca="false">A1084*가정!$B$8*가정!$B$7</f>
        <v>5400</v>
      </c>
      <c r="L1084" s="11" t="n">
        <f aca="false">C1084+F1084</f>
        <v>100</v>
      </c>
    </row>
    <row r="1085" customFormat="false" ht="15" hidden="false" customHeight="false" outlineLevel="0" collapsed="false">
      <c r="A1085" s="11" t="n">
        <v>1081</v>
      </c>
      <c r="B1085" s="11" t="n">
        <f aca="false">MATCH(A1085,월별!$C$6:$C$41,1)</f>
        <v>36</v>
      </c>
      <c r="C1085" s="11" t="n">
        <f aca="false">L1084</f>
        <v>100</v>
      </c>
      <c r="D1085" s="24" t="n">
        <f aca="false">C1085*가정!$B$8</f>
        <v>500</v>
      </c>
      <c r="E1085" s="24" t="n">
        <f aca="false">H1084+D1084</f>
        <v>398553.668341709</v>
      </c>
      <c r="F1085" s="11" t="n">
        <f aca="false">IF(가정!$B$11=1,MAX(0,MIN(가정!$B$16-C1085,INT(E1085/가정!$B$17))),0)</f>
        <v>0</v>
      </c>
      <c r="G1085" s="24" t="n">
        <f aca="false">F1085*가정!$B$17</f>
        <v>0</v>
      </c>
      <c r="H1085" s="24" t="n">
        <f aca="false">E1085-G1085</f>
        <v>398553.668341709</v>
      </c>
      <c r="I1085" s="24" t="n">
        <f aca="false">I1084+D1085</f>
        <v>425520</v>
      </c>
      <c r="J1085" s="16" t="n">
        <f aca="false">(H1085+D1085)*가정!$B$10</f>
        <v>399053.668341709</v>
      </c>
      <c r="K1085" s="24" t="n">
        <f aca="false">A1085*가정!$B$8*가정!$B$7</f>
        <v>5405</v>
      </c>
      <c r="L1085" s="11" t="n">
        <f aca="false">C1085+F1085</f>
        <v>100</v>
      </c>
    </row>
    <row r="1086" customFormat="false" ht="15" hidden="false" customHeight="false" outlineLevel="0" collapsed="false">
      <c r="A1086" s="11" t="n">
        <v>1082</v>
      </c>
      <c r="B1086" s="11" t="n">
        <f aca="false">MATCH(A1086,월별!$C$6:$C$41,1)</f>
        <v>36</v>
      </c>
      <c r="C1086" s="11" t="n">
        <f aca="false">L1085</f>
        <v>100</v>
      </c>
      <c r="D1086" s="24" t="n">
        <f aca="false">C1086*가정!$B$8</f>
        <v>500</v>
      </c>
      <c r="E1086" s="24" t="n">
        <f aca="false">H1085+D1085</f>
        <v>399053.668341709</v>
      </c>
      <c r="F1086" s="11" t="n">
        <f aca="false">IF(가정!$B$11=1,MAX(0,MIN(가정!$B$16-C1086,INT(E1086/가정!$B$17))),0)</f>
        <v>0</v>
      </c>
      <c r="G1086" s="24" t="n">
        <f aca="false">F1086*가정!$B$17</f>
        <v>0</v>
      </c>
      <c r="H1086" s="24" t="n">
        <f aca="false">E1086-G1086</f>
        <v>399053.668341709</v>
      </c>
      <c r="I1086" s="24" t="n">
        <f aca="false">I1085+D1086</f>
        <v>426020</v>
      </c>
      <c r="J1086" s="16" t="n">
        <f aca="false">(H1086+D1086)*가정!$B$10</f>
        <v>399553.668341709</v>
      </c>
      <c r="K1086" s="24" t="n">
        <f aca="false">A1086*가정!$B$8*가정!$B$7</f>
        <v>5410</v>
      </c>
      <c r="L1086" s="11" t="n">
        <f aca="false">C1086+F1086</f>
        <v>100</v>
      </c>
    </row>
    <row r="1087" customFormat="false" ht="15" hidden="false" customHeight="false" outlineLevel="0" collapsed="false">
      <c r="A1087" s="11" t="n">
        <v>1083</v>
      </c>
      <c r="B1087" s="11" t="n">
        <f aca="false">MATCH(A1087,월별!$C$6:$C$41,1)</f>
        <v>36</v>
      </c>
      <c r="C1087" s="11" t="n">
        <f aca="false">L1086</f>
        <v>100</v>
      </c>
      <c r="D1087" s="24" t="n">
        <f aca="false">C1087*가정!$B$8</f>
        <v>500</v>
      </c>
      <c r="E1087" s="24" t="n">
        <f aca="false">H1086+D1086</f>
        <v>399553.668341709</v>
      </c>
      <c r="F1087" s="11" t="n">
        <f aca="false">IF(가정!$B$11=1,MAX(0,MIN(가정!$B$16-C1087,INT(E1087/가정!$B$17))),0)</f>
        <v>0</v>
      </c>
      <c r="G1087" s="24" t="n">
        <f aca="false">F1087*가정!$B$17</f>
        <v>0</v>
      </c>
      <c r="H1087" s="24" t="n">
        <f aca="false">E1087-G1087</f>
        <v>399553.668341709</v>
      </c>
      <c r="I1087" s="24" t="n">
        <f aca="false">I1086+D1087</f>
        <v>426520</v>
      </c>
      <c r="J1087" s="16" t="n">
        <f aca="false">(H1087+D1087)*가정!$B$10</f>
        <v>400053.668341709</v>
      </c>
      <c r="K1087" s="24" t="n">
        <f aca="false">A1087*가정!$B$8*가정!$B$7</f>
        <v>5415</v>
      </c>
      <c r="L1087" s="11" t="n">
        <f aca="false">C1087+F1087</f>
        <v>100</v>
      </c>
    </row>
    <row r="1088" customFormat="false" ht="15" hidden="false" customHeight="false" outlineLevel="0" collapsed="false">
      <c r="A1088" s="11" t="n">
        <v>1084</v>
      </c>
      <c r="B1088" s="11" t="n">
        <f aca="false">MATCH(A1088,월별!$C$6:$C$41,1)</f>
        <v>36</v>
      </c>
      <c r="C1088" s="11" t="n">
        <f aca="false">L1087</f>
        <v>100</v>
      </c>
      <c r="D1088" s="24" t="n">
        <f aca="false">C1088*가정!$B$8</f>
        <v>500</v>
      </c>
      <c r="E1088" s="24" t="n">
        <f aca="false">H1087+D1087</f>
        <v>400053.668341709</v>
      </c>
      <c r="F1088" s="11" t="n">
        <f aca="false">IF(가정!$B$11=1,MAX(0,MIN(가정!$B$16-C1088,INT(E1088/가정!$B$17))),0)</f>
        <v>0</v>
      </c>
      <c r="G1088" s="24" t="n">
        <f aca="false">F1088*가정!$B$17</f>
        <v>0</v>
      </c>
      <c r="H1088" s="24" t="n">
        <f aca="false">E1088-G1088</f>
        <v>400053.668341709</v>
      </c>
      <c r="I1088" s="24" t="n">
        <f aca="false">I1087+D1088</f>
        <v>427020</v>
      </c>
      <c r="J1088" s="16" t="n">
        <f aca="false">(H1088+D1088)*가정!$B$10</f>
        <v>400553.668341709</v>
      </c>
      <c r="K1088" s="24" t="n">
        <f aca="false">A1088*가정!$B$8*가정!$B$7</f>
        <v>5420</v>
      </c>
      <c r="L1088" s="11" t="n">
        <f aca="false">C1088+F1088</f>
        <v>100</v>
      </c>
    </row>
    <row r="1089" customFormat="false" ht="15" hidden="false" customHeight="false" outlineLevel="0" collapsed="false">
      <c r="A1089" s="11" t="n">
        <v>1085</v>
      </c>
      <c r="B1089" s="11" t="n">
        <f aca="false">MATCH(A1089,월별!$C$6:$C$41,1)</f>
        <v>36</v>
      </c>
      <c r="C1089" s="11" t="n">
        <f aca="false">L1088</f>
        <v>100</v>
      </c>
      <c r="D1089" s="24" t="n">
        <f aca="false">C1089*가정!$B$8</f>
        <v>500</v>
      </c>
      <c r="E1089" s="24" t="n">
        <f aca="false">H1088+D1088</f>
        <v>400553.668341709</v>
      </c>
      <c r="F1089" s="11" t="n">
        <f aca="false">IF(가정!$B$11=1,MAX(0,MIN(가정!$B$16-C1089,INT(E1089/가정!$B$17))),0)</f>
        <v>0</v>
      </c>
      <c r="G1089" s="24" t="n">
        <f aca="false">F1089*가정!$B$17</f>
        <v>0</v>
      </c>
      <c r="H1089" s="24" t="n">
        <f aca="false">E1089-G1089</f>
        <v>400553.668341709</v>
      </c>
      <c r="I1089" s="24" t="n">
        <f aca="false">I1088+D1089</f>
        <v>427520</v>
      </c>
      <c r="J1089" s="16" t="n">
        <f aca="false">(H1089+D1089)*가정!$B$10</f>
        <v>401053.668341709</v>
      </c>
      <c r="K1089" s="24" t="n">
        <f aca="false">A1089*가정!$B$8*가정!$B$7</f>
        <v>5425</v>
      </c>
      <c r="L1089" s="11" t="n">
        <f aca="false">C1089+F1089</f>
        <v>100</v>
      </c>
    </row>
    <row r="1090" customFormat="false" ht="15" hidden="false" customHeight="false" outlineLevel="0" collapsed="false">
      <c r="A1090" s="11" t="n">
        <v>1086</v>
      </c>
      <c r="B1090" s="11" t="n">
        <f aca="false">MATCH(A1090,월별!$C$6:$C$41,1)</f>
        <v>36</v>
      </c>
      <c r="C1090" s="11" t="n">
        <f aca="false">L1089</f>
        <v>100</v>
      </c>
      <c r="D1090" s="24" t="n">
        <f aca="false">C1090*가정!$B$8</f>
        <v>500</v>
      </c>
      <c r="E1090" s="24" t="n">
        <f aca="false">H1089+D1089</f>
        <v>401053.668341709</v>
      </c>
      <c r="F1090" s="11" t="n">
        <f aca="false">IF(가정!$B$11=1,MAX(0,MIN(가정!$B$16-C1090,INT(E1090/가정!$B$17))),0)</f>
        <v>0</v>
      </c>
      <c r="G1090" s="24" t="n">
        <f aca="false">F1090*가정!$B$17</f>
        <v>0</v>
      </c>
      <c r="H1090" s="24" t="n">
        <f aca="false">E1090-G1090</f>
        <v>401053.668341709</v>
      </c>
      <c r="I1090" s="24" t="n">
        <f aca="false">I1089+D1090</f>
        <v>428020</v>
      </c>
      <c r="J1090" s="16" t="n">
        <f aca="false">(H1090+D1090)*가정!$B$10</f>
        <v>401553.668341709</v>
      </c>
      <c r="K1090" s="24" t="n">
        <f aca="false">A1090*가정!$B$8*가정!$B$7</f>
        <v>5430</v>
      </c>
      <c r="L1090" s="11" t="n">
        <f aca="false">C1090+F1090</f>
        <v>100</v>
      </c>
    </row>
    <row r="1091" customFormat="false" ht="15" hidden="false" customHeight="false" outlineLevel="0" collapsed="false">
      <c r="A1091" s="11" t="n">
        <v>1087</v>
      </c>
      <c r="B1091" s="11" t="n">
        <f aca="false">MATCH(A1091,월별!$C$6:$C$41,1)</f>
        <v>36</v>
      </c>
      <c r="C1091" s="11" t="n">
        <f aca="false">L1090</f>
        <v>100</v>
      </c>
      <c r="D1091" s="24" t="n">
        <f aca="false">C1091*가정!$B$8</f>
        <v>500</v>
      </c>
      <c r="E1091" s="24" t="n">
        <f aca="false">H1090+D1090</f>
        <v>401553.668341709</v>
      </c>
      <c r="F1091" s="11" t="n">
        <f aca="false">IF(가정!$B$11=1,MAX(0,MIN(가정!$B$16-C1091,INT(E1091/가정!$B$17))),0)</f>
        <v>0</v>
      </c>
      <c r="G1091" s="24" t="n">
        <f aca="false">F1091*가정!$B$17</f>
        <v>0</v>
      </c>
      <c r="H1091" s="24" t="n">
        <f aca="false">E1091-G1091</f>
        <v>401553.668341709</v>
      </c>
      <c r="I1091" s="24" t="n">
        <f aca="false">I1090+D1091</f>
        <v>428520</v>
      </c>
      <c r="J1091" s="16" t="n">
        <f aca="false">(H1091+D1091)*가정!$B$10</f>
        <v>402053.668341709</v>
      </c>
      <c r="K1091" s="24" t="n">
        <f aca="false">A1091*가정!$B$8*가정!$B$7</f>
        <v>5435</v>
      </c>
      <c r="L1091" s="11" t="n">
        <f aca="false">C1091+F1091</f>
        <v>100</v>
      </c>
    </row>
    <row r="1092" customFormat="false" ht="15" hidden="false" customHeight="false" outlineLevel="0" collapsed="false">
      <c r="A1092" s="11" t="n">
        <v>1088</v>
      </c>
      <c r="B1092" s="11" t="n">
        <f aca="false">MATCH(A1092,월별!$C$6:$C$41,1)</f>
        <v>36</v>
      </c>
      <c r="C1092" s="11" t="n">
        <f aca="false">L1091</f>
        <v>100</v>
      </c>
      <c r="D1092" s="24" t="n">
        <f aca="false">C1092*가정!$B$8</f>
        <v>500</v>
      </c>
      <c r="E1092" s="24" t="n">
        <f aca="false">H1091+D1091</f>
        <v>402053.668341709</v>
      </c>
      <c r="F1092" s="11" t="n">
        <f aca="false">IF(가정!$B$11=1,MAX(0,MIN(가정!$B$16-C1092,INT(E1092/가정!$B$17))),0)</f>
        <v>0</v>
      </c>
      <c r="G1092" s="24" t="n">
        <f aca="false">F1092*가정!$B$17</f>
        <v>0</v>
      </c>
      <c r="H1092" s="24" t="n">
        <f aca="false">E1092-G1092</f>
        <v>402053.668341709</v>
      </c>
      <c r="I1092" s="24" t="n">
        <f aca="false">I1091+D1092</f>
        <v>429020</v>
      </c>
      <c r="J1092" s="16" t="n">
        <f aca="false">(H1092+D1092)*가정!$B$10</f>
        <v>402553.668341709</v>
      </c>
      <c r="K1092" s="24" t="n">
        <f aca="false">A1092*가정!$B$8*가정!$B$7</f>
        <v>5440</v>
      </c>
      <c r="L1092" s="11" t="n">
        <f aca="false">C1092+F1092</f>
        <v>100</v>
      </c>
    </row>
    <row r="1093" customFormat="false" ht="15" hidden="false" customHeight="false" outlineLevel="0" collapsed="false">
      <c r="A1093" s="11" t="n">
        <v>1089</v>
      </c>
      <c r="B1093" s="11" t="n">
        <f aca="false">MATCH(A1093,월별!$C$6:$C$41,1)</f>
        <v>36</v>
      </c>
      <c r="C1093" s="11" t="n">
        <f aca="false">L1092</f>
        <v>100</v>
      </c>
      <c r="D1093" s="24" t="n">
        <f aca="false">C1093*가정!$B$8</f>
        <v>500</v>
      </c>
      <c r="E1093" s="24" t="n">
        <f aca="false">H1092+D1092</f>
        <v>402553.668341709</v>
      </c>
      <c r="F1093" s="11" t="n">
        <f aca="false">IF(가정!$B$11=1,MAX(0,MIN(가정!$B$16-C1093,INT(E1093/가정!$B$17))),0)</f>
        <v>0</v>
      </c>
      <c r="G1093" s="24" t="n">
        <f aca="false">F1093*가정!$B$17</f>
        <v>0</v>
      </c>
      <c r="H1093" s="24" t="n">
        <f aca="false">E1093-G1093</f>
        <v>402553.668341709</v>
      </c>
      <c r="I1093" s="24" t="n">
        <f aca="false">I1092+D1093</f>
        <v>429520</v>
      </c>
      <c r="J1093" s="16" t="n">
        <f aca="false">(H1093+D1093)*가정!$B$10</f>
        <v>403053.668341709</v>
      </c>
      <c r="K1093" s="24" t="n">
        <f aca="false">A1093*가정!$B$8*가정!$B$7</f>
        <v>5445</v>
      </c>
      <c r="L1093" s="11" t="n">
        <f aca="false">C1093+F1093</f>
        <v>100</v>
      </c>
    </row>
    <row r="1094" customFormat="false" ht="15" hidden="false" customHeight="false" outlineLevel="0" collapsed="false">
      <c r="A1094" s="11" t="n">
        <v>1090</v>
      </c>
      <c r="B1094" s="11" t="n">
        <f aca="false">MATCH(A1094,월별!$C$6:$C$41,1)</f>
        <v>36</v>
      </c>
      <c r="C1094" s="11" t="n">
        <f aca="false">L1093</f>
        <v>100</v>
      </c>
      <c r="D1094" s="24" t="n">
        <f aca="false">C1094*가정!$B$8</f>
        <v>500</v>
      </c>
      <c r="E1094" s="24" t="n">
        <f aca="false">H1093+D1093</f>
        <v>403053.668341709</v>
      </c>
      <c r="F1094" s="11" t="n">
        <f aca="false">IF(가정!$B$11=1,MAX(0,MIN(가정!$B$16-C1094,INT(E1094/가정!$B$17))),0)</f>
        <v>0</v>
      </c>
      <c r="G1094" s="24" t="n">
        <f aca="false">F1094*가정!$B$17</f>
        <v>0</v>
      </c>
      <c r="H1094" s="24" t="n">
        <f aca="false">E1094-G1094</f>
        <v>403053.668341709</v>
      </c>
      <c r="I1094" s="24" t="n">
        <f aca="false">I1093+D1094</f>
        <v>430020</v>
      </c>
      <c r="J1094" s="16" t="n">
        <f aca="false">(H1094+D1094)*가정!$B$10</f>
        <v>403553.668341709</v>
      </c>
      <c r="K1094" s="24" t="n">
        <f aca="false">A1094*가정!$B$8*가정!$B$7</f>
        <v>5450</v>
      </c>
      <c r="L1094" s="11" t="n">
        <f aca="false">C1094+F1094</f>
        <v>100</v>
      </c>
    </row>
    <row r="1095" customFormat="false" ht="15" hidden="false" customHeight="false" outlineLevel="0" collapsed="false">
      <c r="A1095" s="11" t="n">
        <v>1091</v>
      </c>
      <c r="B1095" s="11" t="n">
        <f aca="false">MATCH(A1095,월별!$C$6:$C$41,1)</f>
        <v>36</v>
      </c>
      <c r="C1095" s="11" t="n">
        <f aca="false">L1094</f>
        <v>100</v>
      </c>
      <c r="D1095" s="24" t="n">
        <f aca="false">C1095*가정!$B$8</f>
        <v>500</v>
      </c>
      <c r="E1095" s="24" t="n">
        <f aca="false">H1094+D1094</f>
        <v>403553.668341709</v>
      </c>
      <c r="F1095" s="11" t="n">
        <f aca="false">IF(가정!$B$11=1,MAX(0,MIN(가정!$B$16-C1095,INT(E1095/가정!$B$17))),0)</f>
        <v>0</v>
      </c>
      <c r="G1095" s="24" t="n">
        <f aca="false">F1095*가정!$B$17</f>
        <v>0</v>
      </c>
      <c r="H1095" s="24" t="n">
        <f aca="false">E1095-G1095</f>
        <v>403553.668341709</v>
      </c>
      <c r="I1095" s="24" t="n">
        <f aca="false">I1094+D1095</f>
        <v>430520</v>
      </c>
      <c r="J1095" s="16" t="n">
        <f aca="false">(H1095+D1095)*가정!$B$10</f>
        <v>404053.668341709</v>
      </c>
      <c r="K1095" s="24" t="n">
        <f aca="false">A1095*가정!$B$8*가정!$B$7</f>
        <v>5455</v>
      </c>
      <c r="L1095" s="11" t="n">
        <f aca="false">C1095+F1095</f>
        <v>100</v>
      </c>
    </row>
    <row r="1096" customFormat="false" ht="15" hidden="false" customHeight="false" outlineLevel="0" collapsed="false">
      <c r="A1096" s="11" t="n">
        <v>1092</v>
      </c>
      <c r="B1096" s="11" t="n">
        <f aca="false">MATCH(A1096,월별!$C$6:$C$41,1)</f>
        <v>36</v>
      </c>
      <c r="C1096" s="11" t="n">
        <f aca="false">L1095</f>
        <v>100</v>
      </c>
      <c r="D1096" s="24" t="n">
        <f aca="false">C1096*가정!$B$8</f>
        <v>500</v>
      </c>
      <c r="E1096" s="24" t="n">
        <f aca="false">H1095+D1095</f>
        <v>404053.668341709</v>
      </c>
      <c r="F1096" s="11" t="n">
        <f aca="false">IF(가정!$B$11=1,MAX(0,MIN(가정!$B$16-C1096,INT(E1096/가정!$B$17))),0)</f>
        <v>0</v>
      </c>
      <c r="G1096" s="24" t="n">
        <f aca="false">F1096*가정!$B$17</f>
        <v>0</v>
      </c>
      <c r="H1096" s="24" t="n">
        <f aca="false">E1096-G1096</f>
        <v>404053.668341709</v>
      </c>
      <c r="I1096" s="24" t="n">
        <f aca="false">I1095+D1096</f>
        <v>431020</v>
      </c>
      <c r="J1096" s="16" t="n">
        <f aca="false">(H1096+D1096)*가정!$B$10</f>
        <v>404553.668341709</v>
      </c>
      <c r="K1096" s="24" t="n">
        <f aca="false">A1096*가정!$B$8*가정!$B$7</f>
        <v>5460</v>
      </c>
      <c r="L1096" s="11" t="n">
        <f aca="false">C1096+F1096</f>
        <v>100</v>
      </c>
    </row>
    <row r="1097" customFormat="false" ht="15" hidden="false" customHeight="false" outlineLevel="0" collapsed="false">
      <c r="A1097" s="11" t="n">
        <v>1093</v>
      </c>
      <c r="B1097" s="11" t="n">
        <f aca="false">MATCH(A1097,월별!$C$6:$C$41,1)</f>
        <v>36</v>
      </c>
      <c r="C1097" s="11" t="n">
        <f aca="false">L1096</f>
        <v>100</v>
      </c>
      <c r="D1097" s="24" t="n">
        <f aca="false">C1097*가정!$B$8</f>
        <v>500</v>
      </c>
      <c r="E1097" s="24" t="n">
        <f aca="false">H1096+D1096</f>
        <v>404553.668341709</v>
      </c>
      <c r="F1097" s="11" t="n">
        <f aca="false">IF(가정!$B$11=1,MAX(0,MIN(가정!$B$16-C1097,INT(E1097/가정!$B$17))),0)</f>
        <v>0</v>
      </c>
      <c r="G1097" s="24" t="n">
        <f aca="false">F1097*가정!$B$17</f>
        <v>0</v>
      </c>
      <c r="H1097" s="24" t="n">
        <f aca="false">E1097-G1097</f>
        <v>404553.668341709</v>
      </c>
      <c r="I1097" s="24" t="n">
        <f aca="false">I1096+D1097</f>
        <v>431520</v>
      </c>
      <c r="J1097" s="16" t="n">
        <f aca="false">(H1097+D1097)*가정!$B$10</f>
        <v>405053.668341709</v>
      </c>
      <c r="K1097" s="24" t="n">
        <f aca="false">A1097*가정!$B$8*가정!$B$7</f>
        <v>5465</v>
      </c>
      <c r="L1097" s="11" t="n">
        <f aca="false">C1097+F1097</f>
        <v>100</v>
      </c>
    </row>
    <row r="1098" customFormat="false" ht="15" hidden="false" customHeight="false" outlineLevel="0" collapsed="false">
      <c r="A1098" s="11" t="n">
        <v>1094</v>
      </c>
      <c r="B1098" s="11" t="n">
        <f aca="false">MATCH(A1098,월별!$C$6:$C$41,1)</f>
        <v>36</v>
      </c>
      <c r="C1098" s="11" t="n">
        <f aca="false">L1097</f>
        <v>100</v>
      </c>
      <c r="D1098" s="24" t="n">
        <f aca="false">C1098*가정!$B$8</f>
        <v>500</v>
      </c>
      <c r="E1098" s="24" t="n">
        <f aca="false">H1097+D1097</f>
        <v>405053.668341709</v>
      </c>
      <c r="F1098" s="11" t="n">
        <f aca="false">IF(가정!$B$11=1,MAX(0,MIN(가정!$B$16-C1098,INT(E1098/가정!$B$17))),0)</f>
        <v>0</v>
      </c>
      <c r="G1098" s="24" t="n">
        <f aca="false">F1098*가정!$B$17</f>
        <v>0</v>
      </c>
      <c r="H1098" s="24" t="n">
        <f aca="false">E1098-G1098</f>
        <v>405053.668341709</v>
      </c>
      <c r="I1098" s="24" t="n">
        <f aca="false">I1097+D1098</f>
        <v>432020</v>
      </c>
      <c r="J1098" s="16" t="n">
        <f aca="false">(H1098+D1098)*가정!$B$10</f>
        <v>405553.668341709</v>
      </c>
      <c r="K1098" s="24" t="n">
        <f aca="false">A1098*가정!$B$8*가정!$B$7</f>
        <v>5470</v>
      </c>
      <c r="L1098" s="11" t="n">
        <f aca="false">C1098+F1098</f>
        <v>100</v>
      </c>
    </row>
    <row r="1099" customFormat="false" ht="15" hidden="false" customHeight="false" outlineLevel="0" collapsed="false">
      <c r="A1099" s="11" t="n">
        <v>1095</v>
      </c>
      <c r="B1099" s="11" t="n">
        <f aca="false">MATCH(A1099,월별!$C$6:$C$41,1)</f>
        <v>36</v>
      </c>
      <c r="C1099" s="11" t="n">
        <f aca="false">L1098</f>
        <v>100</v>
      </c>
      <c r="D1099" s="24" t="n">
        <f aca="false">C1099*가정!$B$8</f>
        <v>500</v>
      </c>
      <c r="E1099" s="24" t="n">
        <f aca="false">H1098+D1098</f>
        <v>405553.668341709</v>
      </c>
      <c r="F1099" s="11" t="n">
        <f aca="false">IF(가정!$B$11=1,MAX(0,MIN(가정!$B$16-C1099,INT(E1099/가정!$B$17))),0)</f>
        <v>0</v>
      </c>
      <c r="G1099" s="24" t="n">
        <f aca="false">F1099*가정!$B$17</f>
        <v>0</v>
      </c>
      <c r="H1099" s="24" t="n">
        <f aca="false">E1099-G1099</f>
        <v>405553.668341709</v>
      </c>
      <c r="I1099" s="24" t="n">
        <f aca="false">I1098+D1099</f>
        <v>432520</v>
      </c>
      <c r="J1099" s="16" t="n">
        <f aca="false">(H1099+D1099)*가정!$B$10</f>
        <v>406053.668341709</v>
      </c>
      <c r="K1099" s="24" t="n">
        <f aca="false">A1099*가정!$B$8*가정!$B$7</f>
        <v>5475</v>
      </c>
      <c r="L1099" s="11" t="n">
        <f aca="false">C1099+F1099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8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3" min="12" style="0" width="11"/>
  </cols>
  <sheetData>
    <row r="1" customFormat="false" ht="17.15" hidden="false" customHeight="false" outlineLevel="0" collapsed="false">
      <c r="A1" s="15" t="s">
        <v>96</v>
      </c>
    </row>
    <row r="2" customFormat="false" ht="15" hidden="false" customHeight="false" outlineLevel="0" collapsed="false">
      <c r="A2" s="10" t="s">
        <v>97</v>
      </c>
    </row>
    <row r="3" customFormat="false" ht="15" hidden="false" customHeight="false" outlineLevel="0" collapsed="false">
      <c r="A3" s="13" t="str">
        <f aca="false">"가정: 첫 구매 "&amp;TEXT(가정!B7,"0")&amp;"장 · 구매가 $"&amp;TEXT(가정!B6,"0")&amp;" · WLBN $"&amp;TEXT(가정!B10,"0.00")&amp;" · 재투자 "&amp;IF(가정!B11=1,"켬","끔")&amp;" · 상한 "&amp;TEXT(가정!B16,"0")&amp;"장"</f>
        <v>가정: 첫 구매 1장 · 구매가 $266 · WLBN $1.00 · 재투자 켬 · 상한 100장</v>
      </c>
    </row>
    <row r="5" customFormat="false" ht="42" hidden="false" customHeight="true" outlineLevel="0" collapsed="false">
      <c r="A5" s="3" t="s">
        <v>85</v>
      </c>
      <c r="B5" s="3" t="s">
        <v>98</v>
      </c>
      <c r="C5" s="3" t="s">
        <v>99</v>
      </c>
      <c r="D5" s="3" t="s">
        <v>100</v>
      </c>
      <c r="E5" s="3" t="s">
        <v>101</v>
      </c>
      <c r="F5" s="3" t="s">
        <v>102</v>
      </c>
      <c r="G5" s="3" t="s">
        <v>92</v>
      </c>
      <c r="H5" s="3" t="s">
        <v>103</v>
      </c>
      <c r="I5" s="3" t="s">
        <v>104</v>
      </c>
      <c r="J5" s="3" t="s">
        <v>94</v>
      </c>
      <c r="K5" s="3" t="s">
        <v>105</v>
      </c>
      <c r="L5" s="3" t="s">
        <v>106</v>
      </c>
      <c r="M5" s="3" t="s">
        <v>107</v>
      </c>
    </row>
    <row r="6" customFormat="false" ht="15" hidden="false" customHeight="false" outlineLevel="0" collapsed="false">
      <c r="A6" s="11" t="n">
        <v>1</v>
      </c>
      <c r="B6" s="11" t="n">
        <f aca="false">ROUND(A6*가정!$B$9/36,0)</f>
        <v>30</v>
      </c>
      <c r="C6" s="11" t="n">
        <v>1</v>
      </c>
      <c r="D6" s="11" t="n">
        <f aca="false">INDEX(일별!$L$5:$L$1099,B6)</f>
        <v>1</v>
      </c>
      <c r="E6" s="11" t="n">
        <f aca="false">SUMIFS(일별!$D$5:$D$1099,일별!$B$5:$B$1099,A6)</f>
        <v>150</v>
      </c>
      <c r="F6" s="11" t="n">
        <f aca="false">SUMIFS(일별!$F$5:$F$1099,일별!$B$5:$B$1099,A6)</f>
        <v>0</v>
      </c>
      <c r="G6" s="11" t="n">
        <f aca="false">INDEX(일별!$I$5:$I$1099,B6)</f>
        <v>150</v>
      </c>
      <c r="H6" s="11" t="n">
        <f aca="false">INDEX(일별!$H$5:$H$1099,B6)+INDEX(일별!$D$5:$D$1099,B6)</f>
        <v>150</v>
      </c>
      <c r="I6" s="16" t="n">
        <f aca="false">H6*가정!$B$10</f>
        <v>150</v>
      </c>
      <c r="J6" s="11" t="n">
        <f aca="false">INDEX(일별!$K$5:$K$1099,B6)</f>
        <v>150</v>
      </c>
      <c r="K6" s="16" t="n">
        <f aca="false">J6*가정!$B$10</f>
        <v>150</v>
      </c>
      <c r="L6" s="25" t="n">
        <f aca="false">IF(가정!$B$6*가정!$B$7=0,0,I6/(가정!$B$6*가정!$B$7))</f>
        <v>0.56390977443609</v>
      </c>
      <c r="M6" s="25" t="n">
        <f aca="false">IF(가정!$B$6*가정!$B$7=0,0,K6/(가정!$B$6*가정!$B$7))</f>
        <v>0.56390977443609</v>
      </c>
    </row>
    <row r="7" customFormat="false" ht="15" hidden="false" customHeight="false" outlineLevel="0" collapsed="false">
      <c r="A7" s="11" t="n">
        <v>2</v>
      </c>
      <c r="B7" s="11" t="n">
        <f aca="false">ROUND(A7*가정!$B$9/36,0)</f>
        <v>61</v>
      </c>
      <c r="C7" s="11" t="n">
        <f aca="false">B6+1</f>
        <v>31</v>
      </c>
      <c r="D7" s="11" t="n">
        <f aca="false">INDEX(일별!$L$5:$L$1099,B7)</f>
        <v>2</v>
      </c>
      <c r="E7" s="11" t="n">
        <f aca="false">SUMIFS(일별!$D$5:$D$1099,일별!$B$5:$B$1099,A7)</f>
        <v>185</v>
      </c>
      <c r="F7" s="11" t="n">
        <f aca="false">SUMIFS(일별!$F$5:$F$1099,일별!$B$5:$B$1099,A7)</f>
        <v>1</v>
      </c>
      <c r="G7" s="11" t="n">
        <f aca="false">INDEX(일별!$I$5:$I$1099,B7)</f>
        <v>335</v>
      </c>
      <c r="H7" s="11" t="n">
        <f aca="false">INDEX(일별!$H$5:$H$1099,B7)+INDEX(일별!$D$5:$D$1099,B7)</f>
        <v>67.6633165829146</v>
      </c>
      <c r="I7" s="16" t="n">
        <f aca="false">H7*가정!$B$10</f>
        <v>67.6633165829146</v>
      </c>
      <c r="J7" s="11" t="n">
        <f aca="false">INDEX(일별!$K$5:$K$1099,B7)</f>
        <v>305</v>
      </c>
      <c r="K7" s="16" t="n">
        <f aca="false">J7*가정!$B$10</f>
        <v>305</v>
      </c>
      <c r="L7" s="25" t="n">
        <f aca="false">IF(가정!$B$6*가정!$B$7=0,0,I7/(가정!$B$6*가정!$B$7))</f>
        <v>0.254373370612461</v>
      </c>
      <c r="M7" s="25" t="n">
        <f aca="false">IF(가정!$B$6*가정!$B$7=0,0,K7/(가정!$B$6*가정!$B$7))</f>
        <v>1.14661654135338</v>
      </c>
    </row>
    <row r="8" customFormat="false" ht="15" hidden="false" customHeight="false" outlineLevel="0" collapsed="false">
      <c r="A8" s="11" t="n">
        <v>3</v>
      </c>
      <c r="B8" s="11" t="n">
        <f aca="false">ROUND(A8*가정!$B$9/36,0)</f>
        <v>91</v>
      </c>
      <c r="C8" s="11" t="n">
        <f aca="false">B7+1</f>
        <v>62</v>
      </c>
      <c r="D8" s="11" t="n">
        <f aca="false">INDEX(일별!$L$5:$L$1099,B8)</f>
        <v>3</v>
      </c>
      <c r="E8" s="11" t="n">
        <f aca="false">SUMIFS(일별!$D$5:$D$1099,일별!$B$5:$B$1099,A8)</f>
        <v>345</v>
      </c>
      <c r="F8" s="11" t="n">
        <f aca="false">SUMIFS(일별!$F$5:$F$1099,일별!$B$5:$B$1099,A8)</f>
        <v>1</v>
      </c>
      <c r="G8" s="11" t="n">
        <f aca="false">INDEX(일별!$I$5:$I$1099,B8)</f>
        <v>680</v>
      </c>
      <c r="H8" s="11" t="n">
        <f aca="false">INDEX(일별!$H$5:$H$1099,B8)+INDEX(일별!$D$5:$D$1099,B8)</f>
        <v>145.326633165829</v>
      </c>
      <c r="I8" s="16" t="n">
        <f aca="false">H8*가정!$B$10</f>
        <v>145.326633165829</v>
      </c>
      <c r="J8" s="11" t="n">
        <f aca="false">INDEX(일별!$K$5:$K$1099,B8)</f>
        <v>455</v>
      </c>
      <c r="K8" s="16" t="n">
        <f aca="false">J8*가정!$B$10</f>
        <v>455</v>
      </c>
      <c r="L8" s="25" t="n">
        <f aca="false">IF(가정!$B$6*가정!$B$7=0,0,I8/(가정!$B$6*가정!$B$7))</f>
        <v>0.546340726187327</v>
      </c>
      <c r="M8" s="25" t="n">
        <f aca="false">IF(가정!$B$6*가정!$B$7=0,0,K8/(가정!$B$6*가정!$B$7))</f>
        <v>1.71052631578947</v>
      </c>
    </row>
    <row r="9" customFormat="false" ht="15" hidden="false" customHeight="false" outlineLevel="0" collapsed="false">
      <c r="A9" s="11" t="n">
        <v>4</v>
      </c>
      <c r="B9" s="11" t="n">
        <f aca="false">ROUND(A9*가정!$B$9/36,0)</f>
        <v>122</v>
      </c>
      <c r="C9" s="11" t="n">
        <f aca="false">B8+1</f>
        <v>92</v>
      </c>
      <c r="D9" s="11" t="n">
        <f aca="false">INDEX(일별!$L$5:$L$1099,B9)</f>
        <v>5</v>
      </c>
      <c r="E9" s="11" t="n">
        <f aca="false">SUMIFS(일별!$D$5:$D$1099,일별!$B$5:$B$1099,A9)</f>
        <v>610</v>
      </c>
      <c r="F9" s="11" t="n">
        <f aca="false">SUMIFS(일별!$F$5:$F$1099,일별!$B$5:$B$1099,A9)</f>
        <v>2</v>
      </c>
      <c r="G9" s="11" t="n">
        <f aca="false">INDEX(일별!$I$5:$I$1099,B9)</f>
        <v>1290</v>
      </c>
      <c r="H9" s="11" t="n">
        <f aca="false">INDEX(일별!$H$5:$H$1099,B9)+INDEX(일별!$D$5:$D$1099,B9)</f>
        <v>220.653266331658</v>
      </c>
      <c r="I9" s="16" t="n">
        <f aca="false">H9*가정!$B$10</f>
        <v>220.653266331658</v>
      </c>
      <c r="J9" s="11" t="n">
        <f aca="false">INDEX(일별!$K$5:$K$1099,B9)</f>
        <v>610</v>
      </c>
      <c r="K9" s="16" t="n">
        <f aca="false">J9*가정!$B$10</f>
        <v>610</v>
      </c>
      <c r="L9" s="25" t="n">
        <f aca="false">IF(가정!$B$6*가정!$B$7=0,0,I9/(가정!$B$6*가정!$B$7))</f>
        <v>0.829523557637813</v>
      </c>
      <c r="M9" s="25" t="n">
        <f aca="false">IF(가정!$B$6*가정!$B$7=0,0,K9/(가정!$B$6*가정!$B$7))</f>
        <v>2.29323308270677</v>
      </c>
    </row>
    <row r="10" customFormat="false" ht="15" hidden="false" customHeight="false" outlineLevel="0" collapsed="false">
      <c r="A10" s="11" t="n">
        <v>5</v>
      </c>
      <c r="B10" s="11" t="n">
        <f aca="false">ROUND(A10*가정!$B$9/36,0)</f>
        <v>152</v>
      </c>
      <c r="C10" s="11" t="n">
        <f aca="false">B9+1</f>
        <v>123</v>
      </c>
      <c r="D10" s="11" t="n">
        <f aca="false">INDEX(일별!$L$5:$L$1099,B10)</f>
        <v>9</v>
      </c>
      <c r="E10" s="11" t="n">
        <f aca="false">SUMIFS(일별!$D$5:$D$1099,일별!$B$5:$B$1099,A10)</f>
        <v>1040</v>
      </c>
      <c r="F10" s="11" t="n">
        <f aca="false">SUMIFS(일별!$F$5:$F$1099,일별!$B$5:$B$1099,A10)</f>
        <v>4</v>
      </c>
      <c r="G10" s="11" t="n">
        <f aca="false">INDEX(일별!$I$5:$I$1099,B10)</f>
        <v>2330</v>
      </c>
      <c r="H10" s="11" t="n">
        <f aca="false">INDEX(일별!$H$5:$H$1099,B10)+INDEX(일별!$D$5:$D$1099,B10)</f>
        <v>191.306532663316</v>
      </c>
      <c r="I10" s="16" t="n">
        <f aca="false">H10*가정!$B$10</f>
        <v>191.306532663316</v>
      </c>
      <c r="J10" s="11" t="n">
        <f aca="false">INDEX(일별!$K$5:$K$1099,B10)</f>
        <v>760</v>
      </c>
      <c r="K10" s="16" t="n">
        <f aca="false">J10*가정!$B$10</f>
        <v>760</v>
      </c>
      <c r="L10" s="25" t="n">
        <f aca="false">IF(가정!$B$6*가정!$B$7=0,0,I10/(가정!$B$6*가정!$B$7))</f>
        <v>0.719197491215475</v>
      </c>
      <c r="M10" s="25" t="n">
        <f aca="false">IF(가정!$B$6*가정!$B$7=0,0,K10/(가정!$B$6*가정!$B$7))</f>
        <v>2.85714285714286</v>
      </c>
    </row>
    <row r="11" customFormat="false" ht="15" hidden="false" customHeight="false" outlineLevel="0" collapsed="false">
      <c r="A11" s="11" t="n">
        <v>6</v>
      </c>
      <c r="B11" s="11" t="n">
        <f aca="false">ROUND(A11*가정!$B$9/36,0)</f>
        <v>183</v>
      </c>
      <c r="C11" s="11" t="n">
        <f aca="false">B10+1</f>
        <v>153</v>
      </c>
      <c r="D11" s="11" t="n">
        <f aca="false">INDEX(일별!$L$5:$L$1099,B11)</f>
        <v>16</v>
      </c>
      <c r="E11" s="11" t="n">
        <f aca="false">SUMIFS(일별!$D$5:$D$1099,일별!$B$5:$B$1099,A11)</f>
        <v>1865</v>
      </c>
      <c r="F11" s="11" t="n">
        <f aca="false">SUMIFS(일별!$F$5:$F$1099,일별!$B$5:$B$1099,A11)</f>
        <v>7</v>
      </c>
      <c r="G11" s="11" t="n">
        <f aca="false">INDEX(일별!$I$5:$I$1099,B11)</f>
        <v>4195</v>
      </c>
      <c r="H11" s="11" t="n">
        <f aca="false">INDEX(일별!$H$5:$H$1099,B11)+INDEX(일별!$D$5:$D$1099,B11)</f>
        <v>184.949748743718</v>
      </c>
      <c r="I11" s="16" t="n">
        <f aca="false">H11*가정!$B$10</f>
        <v>184.949748743718</v>
      </c>
      <c r="J11" s="11" t="n">
        <f aca="false">INDEX(일별!$K$5:$K$1099,B11)</f>
        <v>915</v>
      </c>
      <c r="K11" s="16" t="n">
        <f aca="false">J11*가정!$B$10</f>
        <v>915</v>
      </c>
      <c r="L11" s="25" t="n">
        <f aca="false">IF(가정!$B$6*가정!$B$7=0,0,I11/(가정!$B$6*가정!$B$7))</f>
        <v>0.695299807307211</v>
      </c>
      <c r="M11" s="25" t="n">
        <f aca="false">IF(가정!$B$6*가정!$B$7=0,0,K11/(가정!$B$6*가정!$B$7))</f>
        <v>3.43984962406015</v>
      </c>
    </row>
    <row r="12" customFormat="false" ht="15" hidden="false" customHeight="false" outlineLevel="0" collapsed="false">
      <c r="A12" s="11" t="n">
        <v>7</v>
      </c>
      <c r="B12" s="11" t="n">
        <f aca="false">ROUND(A12*가정!$B$9/36,0)</f>
        <v>213</v>
      </c>
      <c r="C12" s="11" t="n">
        <f aca="false">B11+1</f>
        <v>184</v>
      </c>
      <c r="D12" s="11" t="n">
        <f aca="false">INDEX(일별!$L$5:$L$1099,B12)</f>
        <v>27</v>
      </c>
      <c r="E12" s="11" t="n">
        <f aca="false">SUMIFS(일별!$D$5:$D$1099,일별!$B$5:$B$1099,A12)</f>
        <v>3130</v>
      </c>
      <c r="F12" s="11" t="n">
        <f aca="false">SUMIFS(일별!$F$5:$F$1099,일별!$B$5:$B$1099,A12)</f>
        <v>11</v>
      </c>
      <c r="G12" s="11" t="n">
        <f aca="false">INDEX(일별!$I$5:$I$1099,B12)</f>
        <v>7325</v>
      </c>
      <c r="H12" s="11" t="n">
        <f aca="false">INDEX(일별!$H$5:$H$1099,B12)+INDEX(일별!$D$5:$D$1099,B12)</f>
        <v>374.246231155778</v>
      </c>
      <c r="I12" s="16" t="n">
        <f aca="false">H12*가정!$B$10</f>
        <v>374.246231155778</v>
      </c>
      <c r="J12" s="11" t="n">
        <f aca="false">INDEX(일별!$K$5:$K$1099,B12)</f>
        <v>1065</v>
      </c>
      <c r="K12" s="16" t="n">
        <f aca="false">J12*가정!$B$10</f>
        <v>1065</v>
      </c>
      <c r="L12" s="25" t="n">
        <f aca="false">IF(가정!$B$6*가정!$B$7=0,0,I12/(가정!$B$6*가정!$B$7))</f>
        <v>1.40694071863075</v>
      </c>
      <c r="M12" s="25" t="n">
        <f aca="false">IF(가정!$B$6*가정!$B$7=0,0,K12/(가정!$B$6*가정!$B$7))</f>
        <v>4.00375939849624</v>
      </c>
    </row>
    <row r="13" customFormat="false" ht="15" hidden="false" customHeight="false" outlineLevel="0" collapsed="false">
      <c r="A13" s="11" t="n">
        <v>8</v>
      </c>
      <c r="B13" s="11" t="n">
        <f aca="false">ROUND(A13*가정!$B$9/36,0)</f>
        <v>243</v>
      </c>
      <c r="C13" s="11" t="n">
        <f aca="false">B12+1</f>
        <v>214</v>
      </c>
      <c r="D13" s="11" t="n">
        <f aca="false">INDEX(일별!$L$5:$L$1099,B13)</f>
        <v>47</v>
      </c>
      <c r="E13" s="11" t="n">
        <f aca="false">SUMIFS(일별!$D$5:$D$1099,일별!$B$5:$B$1099,A13)</f>
        <v>5410</v>
      </c>
      <c r="F13" s="11" t="n">
        <f aca="false">SUMIFS(일별!$F$5:$F$1099,일별!$B$5:$B$1099,A13)</f>
        <v>20</v>
      </c>
      <c r="G13" s="11" t="n">
        <f aca="false">INDEX(일별!$I$5:$I$1099,B13)</f>
        <v>12735</v>
      </c>
      <c r="H13" s="11" t="n">
        <f aca="false">INDEX(일별!$H$5:$H$1099,B13)+INDEX(일별!$D$5:$D$1099,B13)</f>
        <v>437.512562814069</v>
      </c>
      <c r="I13" s="16" t="n">
        <f aca="false">H13*가정!$B$10</f>
        <v>437.512562814069</v>
      </c>
      <c r="J13" s="11" t="n">
        <f aca="false">INDEX(일별!$K$5:$K$1099,B13)</f>
        <v>1215</v>
      </c>
      <c r="K13" s="16" t="n">
        <f aca="false">J13*가정!$B$10</f>
        <v>1215</v>
      </c>
      <c r="L13" s="25" t="n">
        <f aca="false">IF(가정!$B$6*가정!$B$7=0,0,I13/(가정!$B$6*가정!$B$7))</f>
        <v>1.64478407072958</v>
      </c>
      <c r="M13" s="25" t="n">
        <f aca="false">IF(가정!$B$6*가정!$B$7=0,0,K13/(가정!$B$6*가정!$B$7))</f>
        <v>4.56766917293233</v>
      </c>
    </row>
    <row r="14" customFormat="false" ht="15" hidden="false" customHeight="false" outlineLevel="0" collapsed="false">
      <c r="A14" s="11" t="n">
        <v>9</v>
      </c>
      <c r="B14" s="11" t="n">
        <f aca="false">ROUND(A14*가정!$B$9/36,0)</f>
        <v>274</v>
      </c>
      <c r="C14" s="11" t="n">
        <f aca="false">B13+1</f>
        <v>244</v>
      </c>
      <c r="D14" s="11" t="n">
        <f aca="false">INDEX(일별!$L$5:$L$1099,B14)</f>
        <v>83</v>
      </c>
      <c r="E14" s="11" t="n">
        <f aca="false">SUMIFS(일별!$D$5:$D$1099,일별!$B$5:$B$1099,A14)</f>
        <v>9770</v>
      </c>
      <c r="F14" s="11" t="n">
        <f aca="false">SUMIFS(일별!$F$5:$F$1099,일별!$B$5:$B$1099,A14)</f>
        <v>36</v>
      </c>
      <c r="G14" s="11" t="n">
        <f aca="false">INDEX(일별!$I$5:$I$1099,B14)</f>
        <v>22505</v>
      </c>
      <c r="H14" s="11" t="n">
        <f aca="false">INDEX(일별!$H$5:$H$1099,B14)+INDEX(일별!$D$5:$D$1099,B14)</f>
        <v>583.391959798993</v>
      </c>
      <c r="I14" s="16" t="n">
        <f aca="false">H14*가정!$B$10</f>
        <v>583.391959798993</v>
      </c>
      <c r="J14" s="11" t="n">
        <f aca="false">INDEX(일별!$K$5:$K$1099,B14)</f>
        <v>1370</v>
      </c>
      <c r="K14" s="16" t="n">
        <f aca="false">J14*가정!$B$10</f>
        <v>1370</v>
      </c>
      <c r="L14" s="25" t="n">
        <f aca="false">IF(가정!$B$6*가정!$B$7=0,0,I14/(가정!$B$6*가정!$B$7))</f>
        <v>2.19320285638719</v>
      </c>
      <c r="M14" s="25" t="n">
        <f aca="false">IF(가정!$B$6*가정!$B$7=0,0,K14/(가정!$B$6*가정!$B$7))</f>
        <v>5.15037593984962</v>
      </c>
    </row>
    <row r="15" customFormat="false" ht="15" hidden="false" customHeight="false" outlineLevel="0" collapsed="false">
      <c r="A15" s="11" t="n">
        <v>10</v>
      </c>
      <c r="B15" s="11" t="n">
        <f aca="false">ROUND(A15*가정!$B$9/36,0)</f>
        <v>304</v>
      </c>
      <c r="C15" s="11" t="n">
        <f aca="false">B14+1</f>
        <v>275</v>
      </c>
      <c r="D15" s="11" t="n">
        <f aca="false">INDEX(일별!$L$5:$L$1099,B15)</f>
        <v>100</v>
      </c>
      <c r="E15" s="11" t="n">
        <f aca="false">SUMIFS(일별!$D$5:$D$1099,일별!$B$5:$B$1099,A15)</f>
        <v>14515</v>
      </c>
      <c r="F15" s="11" t="n">
        <f aca="false">SUMIFS(일별!$F$5:$F$1099,일별!$B$5:$B$1099,A15)</f>
        <v>17</v>
      </c>
      <c r="G15" s="11" t="n">
        <f aca="false">INDEX(일별!$I$5:$I$1099,B15)</f>
        <v>37020</v>
      </c>
      <c r="H15" s="11" t="n">
        <f aca="false">INDEX(일별!$H$5:$H$1099,B15)+INDEX(일별!$D$5:$D$1099,B15)</f>
        <v>10553.6683417085</v>
      </c>
      <c r="I15" s="16" t="n">
        <f aca="false">H15*가정!$B$10</f>
        <v>10553.6683417085</v>
      </c>
      <c r="J15" s="11" t="n">
        <f aca="false">INDEX(일별!$K$5:$K$1099,B15)</f>
        <v>1520</v>
      </c>
      <c r="K15" s="16" t="n">
        <f aca="false">J15*가정!$B$10</f>
        <v>1520</v>
      </c>
      <c r="L15" s="25" t="n">
        <f aca="false">IF(가정!$B$6*가정!$B$7=0,0,I15/(가정!$B$6*가정!$B$7))</f>
        <v>39.6754448936411</v>
      </c>
      <c r="M15" s="25" t="n">
        <f aca="false">IF(가정!$B$6*가정!$B$7=0,0,K15/(가정!$B$6*가정!$B$7))</f>
        <v>5.71428571428571</v>
      </c>
    </row>
    <row r="16" customFormat="false" ht="15" hidden="false" customHeight="false" outlineLevel="0" collapsed="false">
      <c r="A16" s="11" t="n">
        <v>11</v>
      </c>
      <c r="B16" s="11" t="n">
        <f aca="false">ROUND(A16*가정!$B$9/36,0)</f>
        <v>335</v>
      </c>
      <c r="C16" s="11" t="n">
        <f aca="false">B15+1</f>
        <v>305</v>
      </c>
      <c r="D16" s="11" t="n">
        <f aca="false">INDEX(일별!$L$5:$L$1099,B16)</f>
        <v>100</v>
      </c>
      <c r="E16" s="11" t="n">
        <f aca="false">SUMIFS(일별!$D$5:$D$1099,일별!$B$5:$B$1099,A16)</f>
        <v>15500</v>
      </c>
      <c r="F16" s="11" t="n">
        <f aca="false">SUMIFS(일별!$F$5:$F$1099,일별!$B$5:$B$1099,A16)</f>
        <v>0</v>
      </c>
      <c r="G16" s="11" t="n">
        <f aca="false">INDEX(일별!$I$5:$I$1099,B16)</f>
        <v>52520</v>
      </c>
      <c r="H16" s="11" t="n">
        <f aca="false">INDEX(일별!$H$5:$H$1099,B16)+INDEX(일별!$D$5:$D$1099,B16)</f>
        <v>26053.6683417085</v>
      </c>
      <c r="I16" s="16" t="n">
        <f aca="false">H16*가정!$B$10</f>
        <v>26053.6683417085</v>
      </c>
      <c r="J16" s="11" t="n">
        <f aca="false">INDEX(일별!$K$5:$K$1099,B16)</f>
        <v>1675</v>
      </c>
      <c r="K16" s="16" t="n">
        <f aca="false">J16*가정!$B$10</f>
        <v>1675</v>
      </c>
      <c r="L16" s="25" t="n">
        <f aca="false">IF(가정!$B$6*가정!$B$7=0,0,I16/(가정!$B$6*가정!$B$7))</f>
        <v>97.9461215853705</v>
      </c>
      <c r="M16" s="25" t="n">
        <f aca="false">IF(가정!$B$6*가정!$B$7=0,0,K16/(가정!$B$6*가정!$B$7))</f>
        <v>6.29699248120301</v>
      </c>
    </row>
    <row r="17" customFormat="false" ht="15" hidden="false" customHeight="false" outlineLevel="0" collapsed="false">
      <c r="A17" s="26" t="n">
        <v>12</v>
      </c>
      <c r="B17" s="26" t="n">
        <f aca="false">ROUND(A17*가정!$B$9/36,0)</f>
        <v>365</v>
      </c>
      <c r="C17" s="26" t="n">
        <f aca="false">B16+1</f>
        <v>336</v>
      </c>
      <c r="D17" s="26" t="n">
        <f aca="false">INDEX(일별!$L$5:$L$1099,B17)</f>
        <v>100</v>
      </c>
      <c r="E17" s="26" t="n">
        <f aca="false">SUMIFS(일별!$D$5:$D$1099,일별!$B$5:$B$1099,A17)</f>
        <v>15000</v>
      </c>
      <c r="F17" s="26" t="n">
        <f aca="false">SUMIFS(일별!$F$5:$F$1099,일별!$B$5:$B$1099,A17)</f>
        <v>0</v>
      </c>
      <c r="G17" s="26" t="n">
        <f aca="false">INDEX(일별!$I$5:$I$1099,B17)</f>
        <v>67520</v>
      </c>
      <c r="H17" s="26" t="n">
        <f aca="false">INDEX(일별!$H$5:$H$1099,B17)+INDEX(일별!$D$5:$D$1099,B17)</f>
        <v>41053.6683417085</v>
      </c>
      <c r="I17" s="27" t="n">
        <f aca="false">H17*가정!$B$10</f>
        <v>41053.6683417085</v>
      </c>
      <c r="J17" s="26" t="n">
        <f aca="false">INDEX(일별!$K$5:$K$1099,B17)</f>
        <v>1825</v>
      </c>
      <c r="K17" s="27" t="n">
        <f aca="false">J17*가정!$B$10</f>
        <v>1825</v>
      </c>
      <c r="L17" s="28" t="n">
        <f aca="false">IF(가정!$B$6*가정!$B$7=0,0,I17/(가정!$B$6*가정!$B$7))</f>
        <v>154.337099028979</v>
      </c>
      <c r="M17" s="28" t="n">
        <f aca="false">IF(가정!$B$6*가정!$B$7=0,0,K17/(가정!$B$6*가정!$B$7))</f>
        <v>6.8609022556391</v>
      </c>
    </row>
    <row r="18" customFormat="false" ht="15" hidden="false" customHeight="false" outlineLevel="0" collapsed="false">
      <c r="A18" s="11" t="n">
        <v>13</v>
      </c>
      <c r="B18" s="11" t="n">
        <f aca="false">ROUND(A18*가정!$B$9/36,0)</f>
        <v>395</v>
      </c>
      <c r="C18" s="11" t="n">
        <f aca="false">B17+1</f>
        <v>366</v>
      </c>
      <c r="D18" s="11" t="n">
        <f aca="false">INDEX(일별!$L$5:$L$1099,B18)</f>
        <v>100</v>
      </c>
      <c r="E18" s="11" t="n">
        <f aca="false">SUMIFS(일별!$D$5:$D$1099,일별!$B$5:$B$1099,A18)</f>
        <v>15000</v>
      </c>
      <c r="F18" s="11" t="n">
        <f aca="false">SUMIFS(일별!$F$5:$F$1099,일별!$B$5:$B$1099,A18)</f>
        <v>0</v>
      </c>
      <c r="G18" s="11" t="n">
        <f aca="false">INDEX(일별!$I$5:$I$1099,B18)</f>
        <v>82520</v>
      </c>
      <c r="H18" s="11" t="n">
        <f aca="false">INDEX(일별!$H$5:$H$1099,B18)+INDEX(일별!$D$5:$D$1099,B18)</f>
        <v>56053.6683417085</v>
      </c>
      <c r="I18" s="16" t="n">
        <f aca="false">H18*가정!$B$10</f>
        <v>56053.6683417085</v>
      </c>
      <c r="J18" s="11" t="n">
        <f aca="false">INDEX(일별!$K$5:$K$1099,B18)</f>
        <v>1975</v>
      </c>
      <c r="K18" s="16" t="n">
        <f aca="false">J18*가정!$B$10</f>
        <v>1975</v>
      </c>
      <c r="L18" s="25" t="n">
        <f aca="false">IF(가정!$B$6*가정!$B$7=0,0,I18/(가정!$B$6*가정!$B$7))</f>
        <v>210.728076472589</v>
      </c>
      <c r="M18" s="25" t="n">
        <f aca="false">IF(가정!$B$6*가정!$B$7=0,0,K18/(가정!$B$6*가정!$B$7))</f>
        <v>7.42481203007519</v>
      </c>
    </row>
    <row r="19" customFormat="false" ht="15" hidden="false" customHeight="false" outlineLevel="0" collapsed="false">
      <c r="A19" s="11" t="n">
        <v>14</v>
      </c>
      <c r="B19" s="11" t="n">
        <f aca="false">ROUND(A19*가정!$B$9/36,0)</f>
        <v>426</v>
      </c>
      <c r="C19" s="11" t="n">
        <f aca="false">B18+1</f>
        <v>396</v>
      </c>
      <c r="D19" s="11" t="n">
        <f aca="false">INDEX(일별!$L$5:$L$1099,B19)</f>
        <v>100</v>
      </c>
      <c r="E19" s="11" t="n">
        <f aca="false">SUMIFS(일별!$D$5:$D$1099,일별!$B$5:$B$1099,A19)</f>
        <v>15500</v>
      </c>
      <c r="F19" s="11" t="n">
        <f aca="false">SUMIFS(일별!$F$5:$F$1099,일별!$B$5:$B$1099,A19)</f>
        <v>0</v>
      </c>
      <c r="G19" s="11" t="n">
        <f aca="false">INDEX(일별!$I$5:$I$1099,B19)</f>
        <v>98020</v>
      </c>
      <c r="H19" s="11" t="n">
        <f aca="false">INDEX(일별!$H$5:$H$1099,B19)+INDEX(일별!$D$5:$D$1099,B19)</f>
        <v>71553.6683417085</v>
      </c>
      <c r="I19" s="16" t="n">
        <f aca="false">H19*가정!$B$10</f>
        <v>71553.6683417085</v>
      </c>
      <c r="J19" s="11" t="n">
        <f aca="false">INDEX(일별!$K$5:$K$1099,B19)</f>
        <v>2130</v>
      </c>
      <c r="K19" s="16" t="n">
        <f aca="false">J19*가정!$B$10</f>
        <v>2130</v>
      </c>
      <c r="L19" s="25" t="n">
        <f aca="false">IF(가정!$B$6*가정!$B$7=0,0,I19/(가정!$B$6*가정!$B$7))</f>
        <v>268.998753164318</v>
      </c>
      <c r="M19" s="25" t="n">
        <f aca="false">IF(가정!$B$6*가정!$B$7=0,0,K19/(가정!$B$6*가정!$B$7))</f>
        <v>8.00751879699248</v>
      </c>
    </row>
    <row r="20" customFormat="false" ht="15" hidden="false" customHeight="false" outlineLevel="0" collapsed="false">
      <c r="A20" s="11" t="n">
        <v>15</v>
      </c>
      <c r="B20" s="11" t="n">
        <f aca="false">ROUND(A20*가정!$B$9/36,0)</f>
        <v>456</v>
      </c>
      <c r="C20" s="11" t="n">
        <f aca="false">B19+1</f>
        <v>427</v>
      </c>
      <c r="D20" s="11" t="n">
        <f aca="false">INDEX(일별!$L$5:$L$1099,B20)</f>
        <v>100</v>
      </c>
      <c r="E20" s="11" t="n">
        <f aca="false">SUMIFS(일별!$D$5:$D$1099,일별!$B$5:$B$1099,A20)</f>
        <v>15000</v>
      </c>
      <c r="F20" s="11" t="n">
        <f aca="false">SUMIFS(일별!$F$5:$F$1099,일별!$B$5:$B$1099,A20)</f>
        <v>0</v>
      </c>
      <c r="G20" s="11" t="n">
        <f aca="false">INDEX(일별!$I$5:$I$1099,B20)</f>
        <v>113020</v>
      </c>
      <c r="H20" s="11" t="n">
        <f aca="false">INDEX(일별!$H$5:$H$1099,B20)+INDEX(일별!$D$5:$D$1099,B20)</f>
        <v>86553.6683417085</v>
      </c>
      <c r="I20" s="16" t="n">
        <f aca="false">H20*가정!$B$10</f>
        <v>86553.6683417085</v>
      </c>
      <c r="J20" s="11" t="n">
        <f aca="false">INDEX(일별!$K$5:$K$1099,B20)</f>
        <v>2280</v>
      </c>
      <c r="K20" s="16" t="n">
        <f aca="false">J20*가정!$B$10</f>
        <v>2280</v>
      </c>
      <c r="L20" s="25" t="n">
        <f aca="false">IF(가정!$B$6*가정!$B$7=0,0,I20/(가정!$B$6*가정!$B$7))</f>
        <v>325.389730607927</v>
      </c>
      <c r="M20" s="25" t="n">
        <f aca="false">IF(가정!$B$6*가정!$B$7=0,0,K20/(가정!$B$6*가정!$B$7))</f>
        <v>8.57142857142857</v>
      </c>
    </row>
    <row r="21" customFormat="false" ht="15" hidden="false" customHeight="false" outlineLevel="0" collapsed="false">
      <c r="A21" s="11" t="n">
        <v>16</v>
      </c>
      <c r="B21" s="11" t="n">
        <f aca="false">ROUND(A21*가정!$B$9/36,0)</f>
        <v>487</v>
      </c>
      <c r="C21" s="11" t="n">
        <f aca="false">B20+1</f>
        <v>457</v>
      </c>
      <c r="D21" s="11" t="n">
        <f aca="false">INDEX(일별!$L$5:$L$1099,B21)</f>
        <v>100</v>
      </c>
      <c r="E21" s="11" t="n">
        <f aca="false">SUMIFS(일별!$D$5:$D$1099,일별!$B$5:$B$1099,A21)</f>
        <v>15500</v>
      </c>
      <c r="F21" s="11" t="n">
        <f aca="false">SUMIFS(일별!$F$5:$F$1099,일별!$B$5:$B$1099,A21)</f>
        <v>0</v>
      </c>
      <c r="G21" s="11" t="n">
        <f aca="false">INDEX(일별!$I$5:$I$1099,B21)</f>
        <v>128520</v>
      </c>
      <c r="H21" s="11" t="n">
        <f aca="false">INDEX(일별!$H$5:$H$1099,B21)+INDEX(일별!$D$5:$D$1099,B21)</f>
        <v>102053.668341709</v>
      </c>
      <c r="I21" s="16" t="n">
        <f aca="false">H21*가정!$B$10</f>
        <v>102053.668341709</v>
      </c>
      <c r="J21" s="11" t="n">
        <f aca="false">INDEX(일별!$K$5:$K$1099,B21)</f>
        <v>2435</v>
      </c>
      <c r="K21" s="16" t="n">
        <f aca="false">J21*가정!$B$10</f>
        <v>2435</v>
      </c>
      <c r="L21" s="25" t="n">
        <f aca="false">IF(가정!$B$6*가정!$B$7=0,0,I21/(가정!$B$6*가정!$B$7))</f>
        <v>383.660407299656</v>
      </c>
      <c r="M21" s="25" t="n">
        <f aca="false">IF(가정!$B$6*가정!$B$7=0,0,K21/(가정!$B$6*가정!$B$7))</f>
        <v>9.15413533834587</v>
      </c>
    </row>
    <row r="22" customFormat="false" ht="15" hidden="false" customHeight="false" outlineLevel="0" collapsed="false">
      <c r="A22" s="11" t="n">
        <v>17</v>
      </c>
      <c r="B22" s="11" t="n">
        <f aca="false">ROUND(A22*가정!$B$9/36,0)</f>
        <v>517</v>
      </c>
      <c r="C22" s="11" t="n">
        <f aca="false">B21+1</f>
        <v>488</v>
      </c>
      <c r="D22" s="11" t="n">
        <f aca="false">INDEX(일별!$L$5:$L$1099,B22)</f>
        <v>100</v>
      </c>
      <c r="E22" s="11" t="n">
        <f aca="false">SUMIFS(일별!$D$5:$D$1099,일별!$B$5:$B$1099,A22)</f>
        <v>15000</v>
      </c>
      <c r="F22" s="11" t="n">
        <f aca="false">SUMIFS(일별!$F$5:$F$1099,일별!$B$5:$B$1099,A22)</f>
        <v>0</v>
      </c>
      <c r="G22" s="11" t="n">
        <f aca="false">INDEX(일별!$I$5:$I$1099,B22)</f>
        <v>143520</v>
      </c>
      <c r="H22" s="11" t="n">
        <f aca="false">INDEX(일별!$H$5:$H$1099,B22)+INDEX(일별!$D$5:$D$1099,B22)</f>
        <v>117053.668341709</v>
      </c>
      <c r="I22" s="16" t="n">
        <f aca="false">H22*가정!$B$10</f>
        <v>117053.668341709</v>
      </c>
      <c r="J22" s="11" t="n">
        <f aca="false">INDEX(일별!$K$5:$K$1099,B22)</f>
        <v>2585</v>
      </c>
      <c r="K22" s="16" t="n">
        <f aca="false">J22*가정!$B$10</f>
        <v>2585</v>
      </c>
      <c r="L22" s="25" t="n">
        <f aca="false">IF(가정!$B$6*가정!$B$7=0,0,I22/(가정!$B$6*가정!$B$7))</f>
        <v>440.051384743265</v>
      </c>
      <c r="M22" s="25" t="n">
        <f aca="false">IF(가정!$B$6*가정!$B$7=0,0,K22/(가정!$B$6*가정!$B$7))</f>
        <v>9.71804511278195</v>
      </c>
    </row>
    <row r="23" customFormat="false" ht="15" hidden="false" customHeight="false" outlineLevel="0" collapsed="false">
      <c r="A23" s="11" t="n">
        <v>18</v>
      </c>
      <c r="B23" s="11" t="n">
        <f aca="false">ROUND(A23*가정!$B$9/36,0)</f>
        <v>548</v>
      </c>
      <c r="C23" s="11" t="n">
        <f aca="false">B22+1</f>
        <v>518</v>
      </c>
      <c r="D23" s="11" t="n">
        <f aca="false">INDEX(일별!$L$5:$L$1099,B23)</f>
        <v>100</v>
      </c>
      <c r="E23" s="11" t="n">
        <f aca="false">SUMIFS(일별!$D$5:$D$1099,일별!$B$5:$B$1099,A23)</f>
        <v>15500</v>
      </c>
      <c r="F23" s="11" t="n">
        <f aca="false">SUMIFS(일별!$F$5:$F$1099,일별!$B$5:$B$1099,A23)</f>
        <v>0</v>
      </c>
      <c r="G23" s="11" t="n">
        <f aca="false">INDEX(일별!$I$5:$I$1099,B23)</f>
        <v>159020</v>
      </c>
      <c r="H23" s="11" t="n">
        <f aca="false">INDEX(일별!$H$5:$H$1099,B23)+INDEX(일별!$D$5:$D$1099,B23)</f>
        <v>132553.668341709</v>
      </c>
      <c r="I23" s="16" t="n">
        <f aca="false">H23*가정!$B$10</f>
        <v>132553.668341709</v>
      </c>
      <c r="J23" s="11" t="n">
        <f aca="false">INDEX(일별!$K$5:$K$1099,B23)</f>
        <v>2740</v>
      </c>
      <c r="K23" s="16" t="n">
        <f aca="false">J23*가정!$B$10</f>
        <v>2740</v>
      </c>
      <c r="L23" s="25" t="n">
        <f aca="false">IF(가정!$B$6*가정!$B$7=0,0,I23/(가정!$B$6*가정!$B$7))</f>
        <v>498.322061434995</v>
      </c>
      <c r="M23" s="25" t="n">
        <f aca="false">IF(가정!$B$6*가정!$B$7=0,0,K23/(가정!$B$6*가정!$B$7))</f>
        <v>10.3007518796992</v>
      </c>
    </row>
    <row r="24" customFormat="false" ht="15" hidden="false" customHeight="false" outlineLevel="0" collapsed="false">
      <c r="A24" s="11" t="n">
        <v>19</v>
      </c>
      <c r="B24" s="11" t="n">
        <f aca="false">ROUND(A24*가정!$B$9/36,0)</f>
        <v>578</v>
      </c>
      <c r="C24" s="11" t="n">
        <f aca="false">B23+1</f>
        <v>549</v>
      </c>
      <c r="D24" s="11" t="n">
        <f aca="false">INDEX(일별!$L$5:$L$1099,B24)</f>
        <v>100</v>
      </c>
      <c r="E24" s="11" t="n">
        <f aca="false">SUMIFS(일별!$D$5:$D$1099,일별!$B$5:$B$1099,A24)</f>
        <v>15000</v>
      </c>
      <c r="F24" s="11" t="n">
        <f aca="false">SUMIFS(일별!$F$5:$F$1099,일별!$B$5:$B$1099,A24)</f>
        <v>0</v>
      </c>
      <c r="G24" s="11" t="n">
        <f aca="false">INDEX(일별!$I$5:$I$1099,B24)</f>
        <v>174020</v>
      </c>
      <c r="H24" s="11" t="n">
        <f aca="false">INDEX(일별!$H$5:$H$1099,B24)+INDEX(일별!$D$5:$D$1099,B24)</f>
        <v>147553.668341709</v>
      </c>
      <c r="I24" s="16" t="n">
        <f aca="false">H24*가정!$B$10</f>
        <v>147553.668341709</v>
      </c>
      <c r="J24" s="11" t="n">
        <f aca="false">INDEX(일별!$K$5:$K$1099,B24)</f>
        <v>2890</v>
      </c>
      <c r="K24" s="16" t="n">
        <f aca="false">J24*가정!$B$10</f>
        <v>2890</v>
      </c>
      <c r="L24" s="25" t="n">
        <f aca="false">IF(가정!$B$6*가정!$B$7=0,0,I24/(가정!$B$6*가정!$B$7))</f>
        <v>554.713038878604</v>
      </c>
      <c r="M24" s="25" t="n">
        <f aca="false">IF(가정!$B$6*가정!$B$7=0,0,K24/(가정!$B$6*가정!$B$7))</f>
        <v>10.8646616541353</v>
      </c>
    </row>
    <row r="25" customFormat="false" ht="15" hidden="false" customHeight="false" outlineLevel="0" collapsed="false">
      <c r="A25" s="11" t="n">
        <v>20</v>
      </c>
      <c r="B25" s="11" t="n">
        <f aca="false">ROUND(A25*가정!$B$9/36,0)</f>
        <v>608</v>
      </c>
      <c r="C25" s="11" t="n">
        <f aca="false">B24+1</f>
        <v>579</v>
      </c>
      <c r="D25" s="11" t="n">
        <f aca="false">INDEX(일별!$L$5:$L$1099,B25)</f>
        <v>100</v>
      </c>
      <c r="E25" s="11" t="n">
        <f aca="false">SUMIFS(일별!$D$5:$D$1099,일별!$B$5:$B$1099,A25)</f>
        <v>15000</v>
      </c>
      <c r="F25" s="11" t="n">
        <f aca="false">SUMIFS(일별!$F$5:$F$1099,일별!$B$5:$B$1099,A25)</f>
        <v>0</v>
      </c>
      <c r="G25" s="11" t="n">
        <f aca="false">INDEX(일별!$I$5:$I$1099,B25)</f>
        <v>189020</v>
      </c>
      <c r="H25" s="11" t="n">
        <f aca="false">INDEX(일별!$H$5:$H$1099,B25)+INDEX(일별!$D$5:$D$1099,B25)</f>
        <v>162553.668341709</v>
      </c>
      <c r="I25" s="16" t="n">
        <f aca="false">H25*가정!$B$10</f>
        <v>162553.668341709</v>
      </c>
      <c r="J25" s="11" t="n">
        <f aca="false">INDEX(일별!$K$5:$K$1099,B25)</f>
        <v>3040</v>
      </c>
      <c r="K25" s="16" t="n">
        <f aca="false">J25*가정!$B$10</f>
        <v>3040</v>
      </c>
      <c r="L25" s="25" t="n">
        <f aca="false">IF(가정!$B$6*가정!$B$7=0,0,I25/(가정!$B$6*가정!$B$7))</f>
        <v>611.104016322213</v>
      </c>
      <c r="M25" s="25" t="n">
        <f aca="false">IF(가정!$B$6*가정!$B$7=0,0,K25/(가정!$B$6*가정!$B$7))</f>
        <v>11.4285714285714</v>
      </c>
    </row>
    <row r="26" customFormat="false" ht="15" hidden="false" customHeight="false" outlineLevel="0" collapsed="false">
      <c r="A26" s="11" t="n">
        <v>21</v>
      </c>
      <c r="B26" s="11" t="n">
        <f aca="false">ROUND(A26*가정!$B$9/36,0)</f>
        <v>639</v>
      </c>
      <c r="C26" s="11" t="n">
        <f aca="false">B25+1</f>
        <v>609</v>
      </c>
      <c r="D26" s="11" t="n">
        <f aca="false">INDEX(일별!$L$5:$L$1099,B26)</f>
        <v>100</v>
      </c>
      <c r="E26" s="11" t="n">
        <f aca="false">SUMIFS(일별!$D$5:$D$1099,일별!$B$5:$B$1099,A26)</f>
        <v>15500</v>
      </c>
      <c r="F26" s="11" t="n">
        <f aca="false">SUMIFS(일별!$F$5:$F$1099,일별!$B$5:$B$1099,A26)</f>
        <v>0</v>
      </c>
      <c r="G26" s="11" t="n">
        <f aca="false">INDEX(일별!$I$5:$I$1099,B26)</f>
        <v>204520</v>
      </c>
      <c r="H26" s="11" t="n">
        <f aca="false">INDEX(일별!$H$5:$H$1099,B26)+INDEX(일별!$D$5:$D$1099,B26)</f>
        <v>178053.668341709</v>
      </c>
      <c r="I26" s="16" t="n">
        <f aca="false">H26*가정!$B$10</f>
        <v>178053.668341709</v>
      </c>
      <c r="J26" s="11" t="n">
        <f aca="false">INDEX(일별!$K$5:$K$1099,B26)</f>
        <v>3195</v>
      </c>
      <c r="K26" s="16" t="n">
        <f aca="false">J26*가정!$B$10</f>
        <v>3195</v>
      </c>
      <c r="L26" s="25" t="n">
        <f aca="false">IF(가정!$B$6*가정!$B$7=0,0,I26/(가정!$B$6*가정!$B$7))</f>
        <v>669.374693013942</v>
      </c>
      <c r="M26" s="25" t="n">
        <f aca="false">IF(가정!$B$6*가정!$B$7=0,0,K26/(가정!$B$6*가정!$B$7))</f>
        <v>12.0112781954887</v>
      </c>
    </row>
    <row r="27" customFormat="false" ht="15" hidden="false" customHeight="false" outlineLevel="0" collapsed="false">
      <c r="A27" s="11" t="n">
        <v>22</v>
      </c>
      <c r="B27" s="11" t="n">
        <f aca="false">ROUND(A27*가정!$B$9/36,0)</f>
        <v>669</v>
      </c>
      <c r="C27" s="11" t="n">
        <f aca="false">B26+1</f>
        <v>640</v>
      </c>
      <c r="D27" s="11" t="n">
        <f aca="false">INDEX(일별!$L$5:$L$1099,B27)</f>
        <v>100</v>
      </c>
      <c r="E27" s="11" t="n">
        <f aca="false">SUMIFS(일별!$D$5:$D$1099,일별!$B$5:$B$1099,A27)</f>
        <v>15000</v>
      </c>
      <c r="F27" s="11" t="n">
        <f aca="false">SUMIFS(일별!$F$5:$F$1099,일별!$B$5:$B$1099,A27)</f>
        <v>0</v>
      </c>
      <c r="G27" s="11" t="n">
        <f aca="false">INDEX(일별!$I$5:$I$1099,B27)</f>
        <v>219520</v>
      </c>
      <c r="H27" s="11" t="n">
        <f aca="false">INDEX(일별!$H$5:$H$1099,B27)+INDEX(일별!$D$5:$D$1099,B27)</f>
        <v>193053.668341709</v>
      </c>
      <c r="I27" s="16" t="n">
        <f aca="false">H27*가정!$B$10</f>
        <v>193053.668341709</v>
      </c>
      <c r="J27" s="11" t="n">
        <f aca="false">INDEX(일별!$K$5:$K$1099,B27)</f>
        <v>3345</v>
      </c>
      <c r="K27" s="16" t="n">
        <f aca="false">J27*가정!$B$10</f>
        <v>3345</v>
      </c>
      <c r="L27" s="25" t="n">
        <f aca="false">IF(가정!$B$6*가정!$B$7=0,0,I27/(가정!$B$6*가정!$B$7))</f>
        <v>725.765670457551</v>
      </c>
      <c r="M27" s="25" t="n">
        <f aca="false">IF(가정!$B$6*가정!$B$7=0,0,K27/(가정!$B$6*가정!$B$7))</f>
        <v>12.5751879699248</v>
      </c>
    </row>
    <row r="28" customFormat="false" ht="15" hidden="false" customHeight="false" outlineLevel="0" collapsed="false">
      <c r="A28" s="11" t="n">
        <v>23</v>
      </c>
      <c r="B28" s="11" t="n">
        <f aca="false">ROUND(A28*가정!$B$9/36,0)</f>
        <v>700</v>
      </c>
      <c r="C28" s="11" t="n">
        <f aca="false">B27+1</f>
        <v>670</v>
      </c>
      <c r="D28" s="11" t="n">
        <f aca="false">INDEX(일별!$L$5:$L$1099,B28)</f>
        <v>100</v>
      </c>
      <c r="E28" s="11" t="n">
        <f aca="false">SUMIFS(일별!$D$5:$D$1099,일별!$B$5:$B$1099,A28)</f>
        <v>15500</v>
      </c>
      <c r="F28" s="11" t="n">
        <f aca="false">SUMIFS(일별!$F$5:$F$1099,일별!$B$5:$B$1099,A28)</f>
        <v>0</v>
      </c>
      <c r="G28" s="11" t="n">
        <f aca="false">INDEX(일별!$I$5:$I$1099,B28)</f>
        <v>235020</v>
      </c>
      <c r="H28" s="11" t="n">
        <f aca="false">INDEX(일별!$H$5:$H$1099,B28)+INDEX(일별!$D$5:$D$1099,B28)</f>
        <v>208553.668341709</v>
      </c>
      <c r="I28" s="16" t="n">
        <f aca="false">H28*가정!$B$10</f>
        <v>208553.668341709</v>
      </c>
      <c r="J28" s="11" t="n">
        <f aca="false">INDEX(일별!$K$5:$K$1099,B28)</f>
        <v>3500</v>
      </c>
      <c r="K28" s="16" t="n">
        <f aca="false">J28*가정!$B$10</f>
        <v>3500</v>
      </c>
      <c r="L28" s="25" t="n">
        <f aca="false">IF(가정!$B$6*가정!$B$7=0,0,I28/(가정!$B$6*가정!$B$7))</f>
        <v>784.03634714928</v>
      </c>
      <c r="M28" s="25" t="n">
        <f aca="false">IF(가정!$B$6*가정!$B$7=0,0,K28/(가정!$B$6*가정!$B$7))</f>
        <v>13.1578947368421</v>
      </c>
    </row>
    <row r="29" customFormat="false" ht="15" hidden="false" customHeight="false" outlineLevel="0" collapsed="false">
      <c r="A29" s="26" t="n">
        <v>24</v>
      </c>
      <c r="B29" s="26" t="n">
        <f aca="false">ROUND(A29*가정!$B$9/36,0)</f>
        <v>730</v>
      </c>
      <c r="C29" s="26" t="n">
        <f aca="false">B28+1</f>
        <v>701</v>
      </c>
      <c r="D29" s="26" t="n">
        <f aca="false">INDEX(일별!$L$5:$L$1099,B29)</f>
        <v>100</v>
      </c>
      <c r="E29" s="26" t="n">
        <f aca="false">SUMIFS(일별!$D$5:$D$1099,일별!$B$5:$B$1099,A29)</f>
        <v>15000</v>
      </c>
      <c r="F29" s="26" t="n">
        <f aca="false">SUMIFS(일별!$F$5:$F$1099,일별!$B$5:$B$1099,A29)</f>
        <v>0</v>
      </c>
      <c r="G29" s="26" t="n">
        <f aca="false">INDEX(일별!$I$5:$I$1099,B29)</f>
        <v>250020</v>
      </c>
      <c r="H29" s="26" t="n">
        <f aca="false">INDEX(일별!$H$5:$H$1099,B29)+INDEX(일별!$D$5:$D$1099,B29)</f>
        <v>223553.668341709</v>
      </c>
      <c r="I29" s="27" t="n">
        <f aca="false">H29*가정!$B$10</f>
        <v>223553.668341709</v>
      </c>
      <c r="J29" s="26" t="n">
        <f aca="false">INDEX(일별!$K$5:$K$1099,B29)</f>
        <v>3650</v>
      </c>
      <c r="K29" s="27" t="n">
        <f aca="false">J29*가정!$B$10</f>
        <v>3650</v>
      </c>
      <c r="L29" s="28" t="n">
        <f aca="false">IF(가정!$B$6*가정!$B$7=0,0,I29/(가정!$B$6*가정!$B$7))</f>
        <v>840.427324592889</v>
      </c>
      <c r="M29" s="28" t="n">
        <f aca="false">IF(가정!$B$6*가정!$B$7=0,0,K29/(가정!$B$6*가정!$B$7))</f>
        <v>13.7218045112782</v>
      </c>
    </row>
    <row r="30" customFormat="false" ht="15" hidden="false" customHeight="false" outlineLevel="0" collapsed="false">
      <c r="A30" s="11" t="n">
        <v>25</v>
      </c>
      <c r="B30" s="11" t="n">
        <f aca="false">ROUND(A30*가정!$B$9/36,0)</f>
        <v>760</v>
      </c>
      <c r="C30" s="11" t="n">
        <f aca="false">B29+1</f>
        <v>731</v>
      </c>
      <c r="D30" s="11" t="n">
        <f aca="false">INDEX(일별!$L$5:$L$1099,B30)</f>
        <v>100</v>
      </c>
      <c r="E30" s="11" t="n">
        <f aca="false">SUMIFS(일별!$D$5:$D$1099,일별!$B$5:$B$1099,A30)</f>
        <v>15000</v>
      </c>
      <c r="F30" s="11" t="n">
        <f aca="false">SUMIFS(일별!$F$5:$F$1099,일별!$B$5:$B$1099,A30)</f>
        <v>0</v>
      </c>
      <c r="G30" s="11" t="n">
        <f aca="false">INDEX(일별!$I$5:$I$1099,B30)</f>
        <v>265020</v>
      </c>
      <c r="H30" s="11" t="n">
        <f aca="false">INDEX(일별!$H$5:$H$1099,B30)+INDEX(일별!$D$5:$D$1099,B30)</f>
        <v>238553.668341709</v>
      </c>
      <c r="I30" s="16" t="n">
        <f aca="false">H30*가정!$B$10</f>
        <v>238553.668341709</v>
      </c>
      <c r="J30" s="11" t="n">
        <f aca="false">INDEX(일별!$K$5:$K$1099,B30)</f>
        <v>3800</v>
      </c>
      <c r="K30" s="16" t="n">
        <f aca="false">J30*가정!$B$10</f>
        <v>3800</v>
      </c>
      <c r="L30" s="25" t="n">
        <f aca="false">IF(가정!$B$6*가정!$B$7=0,0,I30/(가정!$B$6*가정!$B$7))</f>
        <v>896.818302036498</v>
      </c>
      <c r="M30" s="25" t="n">
        <f aca="false">IF(가정!$B$6*가정!$B$7=0,0,K30/(가정!$B$6*가정!$B$7))</f>
        <v>14.2857142857143</v>
      </c>
    </row>
    <row r="31" customFormat="false" ht="15" hidden="false" customHeight="false" outlineLevel="0" collapsed="false">
      <c r="A31" s="11" t="n">
        <v>26</v>
      </c>
      <c r="B31" s="11" t="n">
        <f aca="false">ROUND(A31*가정!$B$9/36,0)</f>
        <v>791</v>
      </c>
      <c r="C31" s="11" t="n">
        <f aca="false">B30+1</f>
        <v>761</v>
      </c>
      <c r="D31" s="11" t="n">
        <f aca="false">INDEX(일별!$L$5:$L$1099,B31)</f>
        <v>100</v>
      </c>
      <c r="E31" s="11" t="n">
        <f aca="false">SUMIFS(일별!$D$5:$D$1099,일별!$B$5:$B$1099,A31)</f>
        <v>15500</v>
      </c>
      <c r="F31" s="11" t="n">
        <f aca="false">SUMIFS(일별!$F$5:$F$1099,일별!$B$5:$B$1099,A31)</f>
        <v>0</v>
      </c>
      <c r="G31" s="11" t="n">
        <f aca="false">INDEX(일별!$I$5:$I$1099,B31)</f>
        <v>280520</v>
      </c>
      <c r="H31" s="11" t="n">
        <f aca="false">INDEX(일별!$H$5:$H$1099,B31)+INDEX(일별!$D$5:$D$1099,B31)</f>
        <v>254053.668341709</v>
      </c>
      <c r="I31" s="16" t="n">
        <f aca="false">H31*가정!$B$10</f>
        <v>254053.668341709</v>
      </c>
      <c r="J31" s="11" t="n">
        <f aca="false">INDEX(일별!$K$5:$K$1099,B31)</f>
        <v>3955</v>
      </c>
      <c r="K31" s="16" t="n">
        <f aca="false">J31*가정!$B$10</f>
        <v>3955</v>
      </c>
      <c r="L31" s="25" t="n">
        <f aca="false">IF(가정!$B$6*가정!$B$7=0,0,I31/(가정!$B$6*가정!$B$7))</f>
        <v>955.088978728228</v>
      </c>
      <c r="M31" s="25" t="n">
        <f aca="false">IF(가정!$B$6*가정!$B$7=0,0,K31/(가정!$B$6*가정!$B$7))</f>
        <v>14.8684210526316</v>
      </c>
    </row>
    <row r="32" customFormat="false" ht="15" hidden="false" customHeight="false" outlineLevel="0" collapsed="false">
      <c r="A32" s="11" t="n">
        <v>27</v>
      </c>
      <c r="B32" s="11" t="n">
        <f aca="false">ROUND(A32*가정!$B$9/36,0)</f>
        <v>821</v>
      </c>
      <c r="C32" s="11" t="n">
        <f aca="false">B31+1</f>
        <v>792</v>
      </c>
      <c r="D32" s="11" t="n">
        <f aca="false">INDEX(일별!$L$5:$L$1099,B32)</f>
        <v>100</v>
      </c>
      <c r="E32" s="11" t="n">
        <f aca="false">SUMIFS(일별!$D$5:$D$1099,일별!$B$5:$B$1099,A32)</f>
        <v>15000</v>
      </c>
      <c r="F32" s="11" t="n">
        <f aca="false">SUMIFS(일별!$F$5:$F$1099,일별!$B$5:$B$1099,A32)</f>
        <v>0</v>
      </c>
      <c r="G32" s="11" t="n">
        <f aca="false">INDEX(일별!$I$5:$I$1099,B32)</f>
        <v>295520</v>
      </c>
      <c r="H32" s="11" t="n">
        <f aca="false">INDEX(일별!$H$5:$H$1099,B32)+INDEX(일별!$D$5:$D$1099,B32)</f>
        <v>269053.668341709</v>
      </c>
      <c r="I32" s="16" t="n">
        <f aca="false">H32*가정!$B$10</f>
        <v>269053.668341709</v>
      </c>
      <c r="J32" s="11" t="n">
        <f aca="false">INDEX(일별!$K$5:$K$1099,B32)</f>
        <v>4105</v>
      </c>
      <c r="K32" s="16" t="n">
        <f aca="false">J32*가정!$B$10</f>
        <v>4105</v>
      </c>
      <c r="L32" s="25" t="n">
        <f aca="false">IF(가정!$B$6*가정!$B$7=0,0,I32/(가정!$B$6*가정!$B$7))</f>
        <v>1011.47995617184</v>
      </c>
      <c r="M32" s="25" t="n">
        <f aca="false">IF(가정!$B$6*가정!$B$7=0,0,K32/(가정!$B$6*가정!$B$7))</f>
        <v>15.4323308270677</v>
      </c>
    </row>
    <row r="33" customFormat="false" ht="15" hidden="false" customHeight="false" outlineLevel="0" collapsed="false">
      <c r="A33" s="11" t="n">
        <v>28</v>
      </c>
      <c r="B33" s="11" t="n">
        <f aca="false">ROUND(A33*가정!$B$9/36,0)</f>
        <v>852</v>
      </c>
      <c r="C33" s="11" t="n">
        <f aca="false">B32+1</f>
        <v>822</v>
      </c>
      <c r="D33" s="11" t="n">
        <f aca="false">INDEX(일별!$L$5:$L$1099,B33)</f>
        <v>100</v>
      </c>
      <c r="E33" s="11" t="n">
        <f aca="false">SUMIFS(일별!$D$5:$D$1099,일별!$B$5:$B$1099,A33)</f>
        <v>15500</v>
      </c>
      <c r="F33" s="11" t="n">
        <f aca="false">SUMIFS(일별!$F$5:$F$1099,일별!$B$5:$B$1099,A33)</f>
        <v>0</v>
      </c>
      <c r="G33" s="11" t="n">
        <f aca="false">INDEX(일별!$I$5:$I$1099,B33)</f>
        <v>311020</v>
      </c>
      <c r="H33" s="11" t="n">
        <f aca="false">INDEX(일별!$H$5:$H$1099,B33)+INDEX(일별!$D$5:$D$1099,B33)</f>
        <v>284553.668341709</v>
      </c>
      <c r="I33" s="16" t="n">
        <f aca="false">H33*가정!$B$10</f>
        <v>284553.668341709</v>
      </c>
      <c r="J33" s="11" t="n">
        <f aca="false">INDEX(일별!$K$5:$K$1099,B33)</f>
        <v>4260</v>
      </c>
      <c r="K33" s="16" t="n">
        <f aca="false">J33*가정!$B$10</f>
        <v>4260</v>
      </c>
      <c r="L33" s="25" t="n">
        <f aca="false">IF(가정!$B$6*가정!$B$7=0,0,I33/(가정!$B$6*가정!$B$7))</f>
        <v>1069.75063286357</v>
      </c>
      <c r="M33" s="25" t="n">
        <f aca="false">IF(가정!$B$6*가정!$B$7=0,0,K33/(가정!$B$6*가정!$B$7))</f>
        <v>16.015037593985</v>
      </c>
    </row>
    <row r="34" customFormat="false" ht="15" hidden="false" customHeight="false" outlineLevel="0" collapsed="false">
      <c r="A34" s="11" t="n">
        <v>29</v>
      </c>
      <c r="B34" s="11" t="n">
        <f aca="false">ROUND(A34*가정!$B$9/36,0)</f>
        <v>882</v>
      </c>
      <c r="C34" s="11" t="n">
        <f aca="false">B33+1</f>
        <v>853</v>
      </c>
      <c r="D34" s="11" t="n">
        <f aca="false">INDEX(일별!$L$5:$L$1099,B34)</f>
        <v>100</v>
      </c>
      <c r="E34" s="11" t="n">
        <f aca="false">SUMIFS(일별!$D$5:$D$1099,일별!$B$5:$B$1099,A34)</f>
        <v>15000</v>
      </c>
      <c r="F34" s="11" t="n">
        <f aca="false">SUMIFS(일별!$F$5:$F$1099,일별!$B$5:$B$1099,A34)</f>
        <v>0</v>
      </c>
      <c r="G34" s="11" t="n">
        <f aca="false">INDEX(일별!$I$5:$I$1099,B34)</f>
        <v>326020</v>
      </c>
      <c r="H34" s="11" t="n">
        <f aca="false">INDEX(일별!$H$5:$H$1099,B34)+INDEX(일별!$D$5:$D$1099,B34)</f>
        <v>299553.668341709</v>
      </c>
      <c r="I34" s="16" t="n">
        <f aca="false">H34*가정!$B$10</f>
        <v>299553.668341709</v>
      </c>
      <c r="J34" s="11" t="n">
        <f aca="false">INDEX(일별!$K$5:$K$1099,B34)</f>
        <v>4410</v>
      </c>
      <c r="K34" s="16" t="n">
        <f aca="false">J34*가정!$B$10</f>
        <v>4410</v>
      </c>
      <c r="L34" s="25" t="n">
        <f aca="false">IF(가정!$B$6*가정!$B$7=0,0,I34/(가정!$B$6*가정!$B$7))</f>
        <v>1126.14161030718</v>
      </c>
      <c r="M34" s="25" t="n">
        <f aca="false">IF(가정!$B$6*가정!$B$7=0,0,K34/(가정!$B$6*가정!$B$7))</f>
        <v>16.5789473684211</v>
      </c>
    </row>
    <row r="35" customFormat="false" ht="15" hidden="false" customHeight="false" outlineLevel="0" collapsed="false">
      <c r="A35" s="11" t="n">
        <v>30</v>
      </c>
      <c r="B35" s="11" t="n">
        <f aca="false">ROUND(A35*가정!$B$9/36,0)</f>
        <v>913</v>
      </c>
      <c r="C35" s="11" t="n">
        <f aca="false">B34+1</f>
        <v>883</v>
      </c>
      <c r="D35" s="11" t="n">
        <f aca="false">INDEX(일별!$L$5:$L$1099,B35)</f>
        <v>100</v>
      </c>
      <c r="E35" s="11" t="n">
        <f aca="false">SUMIFS(일별!$D$5:$D$1099,일별!$B$5:$B$1099,A35)</f>
        <v>15500</v>
      </c>
      <c r="F35" s="11" t="n">
        <f aca="false">SUMIFS(일별!$F$5:$F$1099,일별!$B$5:$B$1099,A35)</f>
        <v>0</v>
      </c>
      <c r="G35" s="11" t="n">
        <f aca="false">INDEX(일별!$I$5:$I$1099,B35)</f>
        <v>341520</v>
      </c>
      <c r="H35" s="11" t="n">
        <f aca="false">INDEX(일별!$H$5:$H$1099,B35)+INDEX(일별!$D$5:$D$1099,B35)</f>
        <v>315053.668341709</v>
      </c>
      <c r="I35" s="16" t="n">
        <f aca="false">H35*가정!$B$10</f>
        <v>315053.668341709</v>
      </c>
      <c r="J35" s="11" t="n">
        <f aca="false">INDEX(일별!$K$5:$K$1099,B35)</f>
        <v>4565</v>
      </c>
      <c r="K35" s="16" t="n">
        <f aca="false">J35*가정!$B$10</f>
        <v>4565</v>
      </c>
      <c r="L35" s="25" t="n">
        <f aca="false">IF(가정!$B$6*가정!$B$7=0,0,I35/(가정!$B$6*가정!$B$7))</f>
        <v>1184.4122869989</v>
      </c>
      <c r="M35" s="25" t="n">
        <f aca="false">IF(가정!$B$6*가정!$B$7=0,0,K35/(가정!$B$6*가정!$B$7))</f>
        <v>17.1616541353383</v>
      </c>
    </row>
    <row r="36" customFormat="false" ht="15" hidden="false" customHeight="false" outlineLevel="0" collapsed="false">
      <c r="A36" s="11" t="n">
        <v>31</v>
      </c>
      <c r="B36" s="11" t="n">
        <f aca="false">ROUND(A36*가정!$B$9/36,0)</f>
        <v>943</v>
      </c>
      <c r="C36" s="11" t="n">
        <f aca="false">B35+1</f>
        <v>914</v>
      </c>
      <c r="D36" s="11" t="n">
        <f aca="false">INDEX(일별!$L$5:$L$1099,B36)</f>
        <v>100</v>
      </c>
      <c r="E36" s="11" t="n">
        <f aca="false">SUMIFS(일별!$D$5:$D$1099,일별!$B$5:$B$1099,A36)</f>
        <v>15000</v>
      </c>
      <c r="F36" s="11" t="n">
        <f aca="false">SUMIFS(일별!$F$5:$F$1099,일별!$B$5:$B$1099,A36)</f>
        <v>0</v>
      </c>
      <c r="G36" s="11" t="n">
        <f aca="false">INDEX(일별!$I$5:$I$1099,B36)</f>
        <v>356520</v>
      </c>
      <c r="H36" s="11" t="n">
        <f aca="false">INDEX(일별!$H$5:$H$1099,B36)+INDEX(일별!$D$5:$D$1099,B36)</f>
        <v>330053.668341709</v>
      </c>
      <c r="I36" s="16" t="n">
        <f aca="false">H36*가정!$B$10</f>
        <v>330053.668341709</v>
      </c>
      <c r="J36" s="11" t="n">
        <f aca="false">INDEX(일별!$K$5:$K$1099,B36)</f>
        <v>4715</v>
      </c>
      <c r="K36" s="16" t="n">
        <f aca="false">J36*가정!$B$10</f>
        <v>4715</v>
      </c>
      <c r="L36" s="25" t="n">
        <f aca="false">IF(가정!$B$6*가정!$B$7=0,0,I36/(가정!$B$6*가정!$B$7))</f>
        <v>1240.80326444251</v>
      </c>
      <c r="M36" s="25" t="n">
        <f aca="false">IF(가정!$B$6*가정!$B$7=0,0,K36/(가정!$B$6*가정!$B$7))</f>
        <v>17.7255639097744</v>
      </c>
    </row>
    <row r="37" customFormat="false" ht="15" hidden="false" customHeight="false" outlineLevel="0" collapsed="false">
      <c r="A37" s="11" t="n">
        <v>32</v>
      </c>
      <c r="B37" s="11" t="n">
        <f aca="false">ROUND(A37*가정!$B$9/36,0)</f>
        <v>973</v>
      </c>
      <c r="C37" s="11" t="n">
        <f aca="false">B36+1</f>
        <v>944</v>
      </c>
      <c r="D37" s="11" t="n">
        <f aca="false">INDEX(일별!$L$5:$L$1099,B37)</f>
        <v>100</v>
      </c>
      <c r="E37" s="11" t="n">
        <f aca="false">SUMIFS(일별!$D$5:$D$1099,일별!$B$5:$B$1099,A37)</f>
        <v>15000</v>
      </c>
      <c r="F37" s="11" t="n">
        <f aca="false">SUMIFS(일별!$F$5:$F$1099,일별!$B$5:$B$1099,A37)</f>
        <v>0</v>
      </c>
      <c r="G37" s="11" t="n">
        <f aca="false">INDEX(일별!$I$5:$I$1099,B37)</f>
        <v>371520</v>
      </c>
      <c r="H37" s="11" t="n">
        <f aca="false">INDEX(일별!$H$5:$H$1099,B37)+INDEX(일별!$D$5:$D$1099,B37)</f>
        <v>345053.668341709</v>
      </c>
      <c r="I37" s="16" t="n">
        <f aca="false">H37*가정!$B$10</f>
        <v>345053.668341709</v>
      </c>
      <c r="J37" s="11" t="n">
        <f aca="false">INDEX(일별!$K$5:$K$1099,B37)</f>
        <v>4865</v>
      </c>
      <c r="K37" s="16" t="n">
        <f aca="false">J37*가정!$B$10</f>
        <v>4865</v>
      </c>
      <c r="L37" s="25" t="n">
        <f aca="false">IF(가정!$B$6*가정!$B$7=0,0,I37/(가정!$B$6*가정!$B$7))</f>
        <v>1297.19424188612</v>
      </c>
      <c r="M37" s="25" t="n">
        <f aca="false">IF(가정!$B$6*가정!$B$7=0,0,K37/(가정!$B$6*가정!$B$7))</f>
        <v>18.2894736842105</v>
      </c>
    </row>
    <row r="38" customFormat="false" ht="15" hidden="false" customHeight="false" outlineLevel="0" collapsed="false">
      <c r="A38" s="11" t="n">
        <v>33</v>
      </c>
      <c r="B38" s="11" t="n">
        <f aca="false">ROUND(A38*가정!$B$9/36,0)</f>
        <v>1004</v>
      </c>
      <c r="C38" s="11" t="n">
        <f aca="false">B37+1</f>
        <v>974</v>
      </c>
      <c r="D38" s="11" t="n">
        <f aca="false">INDEX(일별!$L$5:$L$1099,B38)</f>
        <v>100</v>
      </c>
      <c r="E38" s="11" t="n">
        <f aca="false">SUMIFS(일별!$D$5:$D$1099,일별!$B$5:$B$1099,A38)</f>
        <v>15500</v>
      </c>
      <c r="F38" s="11" t="n">
        <f aca="false">SUMIFS(일별!$F$5:$F$1099,일별!$B$5:$B$1099,A38)</f>
        <v>0</v>
      </c>
      <c r="G38" s="11" t="n">
        <f aca="false">INDEX(일별!$I$5:$I$1099,B38)</f>
        <v>387020</v>
      </c>
      <c r="H38" s="11" t="n">
        <f aca="false">INDEX(일별!$H$5:$H$1099,B38)+INDEX(일별!$D$5:$D$1099,B38)</f>
        <v>360553.668341709</v>
      </c>
      <c r="I38" s="16" t="n">
        <f aca="false">H38*가정!$B$10</f>
        <v>360553.668341709</v>
      </c>
      <c r="J38" s="11" t="n">
        <f aca="false">INDEX(일별!$K$5:$K$1099,B38)</f>
        <v>5020</v>
      </c>
      <c r="K38" s="16" t="n">
        <f aca="false">J38*가정!$B$10</f>
        <v>5020</v>
      </c>
      <c r="L38" s="25" t="n">
        <f aca="false">IF(가정!$B$6*가정!$B$7=0,0,I38/(가정!$B$6*가정!$B$7))</f>
        <v>1355.46491857785</v>
      </c>
      <c r="M38" s="25" t="n">
        <f aca="false">IF(가정!$B$6*가정!$B$7=0,0,K38/(가정!$B$6*가정!$B$7))</f>
        <v>18.8721804511278</v>
      </c>
    </row>
    <row r="39" customFormat="false" ht="15" hidden="false" customHeight="false" outlineLevel="0" collapsed="false">
      <c r="A39" s="11" t="n">
        <v>34</v>
      </c>
      <c r="B39" s="11" t="n">
        <f aca="false">ROUND(A39*가정!$B$9/36,0)</f>
        <v>1034</v>
      </c>
      <c r="C39" s="11" t="n">
        <f aca="false">B38+1</f>
        <v>1005</v>
      </c>
      <c r="D39" s="11" t="n">
        <f aca="false">INDEX(일별!$L$5:$L$1099,B39)</f>
        <v>100</v>
      </c>
      <c r="E39" s="11" t="n">
        <f aca="false">SUMIFS(일별!$D$5:$D$1099,일별!$B$5:$B$1099,A39)</f>
        <v>15000</v>
      </c>
      <c r="F39" s="11" t="n">
        <f aca="false">SUMIFS(일별!$F$5:$F$1099,일별!$B$5:$B$1099,A39)</f>
        <v>0</v>
      </c>
      <c r="G39" s="11" t="n">
        <f aca="false">INDEX(일별!$I$5:$I$1099,B39)</f>
        <v>402020</v>
      </c>
      <c r="H39" s="11" t="n">
        <f aca="false">INDEX(일별!$H$5:$H$1099,B39)+INDEX(일별!$D$5:$D$1099,B39)</f>
        <v>375553.668341709</v>
      </c>
      <c r="I39" s="16" t="n">
        <f aca="false">H39*가정!$B$10</f>
        <v>375553.668341709</v>
      </c>
      <c r="J39" s="11" t="n">
        <f aca="false">INDEX(일별!$K$5:$K$1099,B39)</f>
        <v>5170</v>
      </c>
      <c r="K39" s="16" t="n">
        <f aca="false">J39*가정!$B$10</f>
        <v>5170</v>
      </c>
      <c r="L39" s="25" t="n">
        <f aca="false">IF(가정!$B$6*가정!$B$7=0,0,I39/(가정!$B$6*가정!$B$7))</f>
        <v>1411.85589602146</v>
      </c>
      <c r="M39" s="25" t="n">
        <f aca="false">IF(가정!$B$6*가정!$B$7=0,0,K39/(가정!$B$6*가정!$B$7))</f>
        <v>19.4360902255639</v>
      </c>
    </row>
    <row r="40" customFormat="false" ht="15" hidden="false" customHeight="false" outlineLevel="0" collapsed="false">
      <c r="A40" s="11" t="n">
        <v>35</v>
      </c>
      <c r="B40" s="11" t="n">
        <f aca="false">ROUND(A40*가정!$B$9/36,0)</f>
        <v>1065</v>
      </c>
      <c r="C40" s="11" t="n">
        <f aca="false">B39+1</f>
        <v>1035</v>
      </c>
      <c r="D40" s="11" t="n">
        <f aca="false">INDEX(일별!$L$5:$L$1099,B40)</f>
        <v>100</v>
      </c>
      <c r="E40" s="11" t="n">
        <f aca="false">SUMIFS(일별!$D$5:$D$1099,일별!$B$5:$B$1099,A40)</f>
        <v>15500</v>
      </c>
      <c r="F40" s="11" t="n">
        <f aca="false">SUMIFS(일별!$F$5:$F$1099,일별!$B$5:$B$1099,A40)</f>
        <v>0</v>
      </c>
      <c r="G40" s="11" t="n">
        <f aca="false">INDEX(일별!$I$5:$I$1099,B40)</f>
        <v>417520</v>
      </c>
      <c r="H40" s="11" t="n">
        <f aca="false">INDEX(일별!$H$5:$H$1099,B40)+INDEX(일별!$D$5:$D$1099,B40)</f>
        <v>391053.668341709</v>
      </c>
      <c r="I40" s="16" t="n">
        <f aca="false">H40*가정!$B$10</f>
        <v>391053.668341709</v>
      </c>
      <c r="J40" s="11" t="n">
        <f aca="false">INDEX(일별!$K$5:$K$1099,B40)</f>
        <v>5325</v>
      </c>
      <c r="K40" s="16" t="n">
        <f aca="false">J40*가정!$B$10</f>
        <v>5325</v>
      </c>
      <c r="L40" s="25" t="n">
        <f aca="false">IF(가정!$B$6*가정!$B$7=0,0,I40/(가정!$B$6*가정!$B$7))</f>
        <v>1470.12657271319</v>
      </c>
      <c r="M40" s="25" t="n">
        <f aca="false">IF(가정!$B$6*가정!$B$7=0,0,K40/(가정!$B$6*가정!$B$7))</f>
        <v>20.0187969924812</v>
      </c>
    </row>
    <row r="41" customFormat="false" ht="15" hidden="false" customHeight="false" outlineLevel="0" collapsed="false">
      <c r="A41" s="26" t="n">
        <v>36</v>
      </c>
      <c r="B41" s="26" t="n">
        <f aca="false">ROUND(A41*가정!$B$9/36,0)</f>
        <v>1095</v>
      </c>
      <c r="C41" s="26" t="n">
        <f aca="false">B40+1</f>
        <v>1066</v>
      </c>
      <c r="D41" s="26" t="n">
        <f aca="false">INDEX(일별!$L$5:$L$1099,B41)</f>
        <v>100</v>
      </c>
      <c r="E41" s="26" t="n">
        <f aca="false">SUMIFS(일별!$D$5:$D$1099,일별!$B$5:$B$1099,A41)</f>
        <v>15000</v>
      </c>
      <c r="F41" s="26" t="n">
        <f aca="false">SUMIFS(일별!$F$5:$F$1099,일별!$B$5:$B$1099,A41)</f>
        <v>0</v>
      </c>
      <c r="G41" s="26" t="n">
        <f aca="false">INDEX(일별!$I$5:$I$1099,B41)</f>
        <v>432520</v>
      </c>
      <c r="H41" s="26" t="n">
        <f aca="false">INDEX(일별!$H$5:$H$1099,B41)+INDEX(일별!$D$5:$D$1099,B41)</f>
        <v>406053.668341709</v>
      </c>
      <c r="I41" s="27" t="n">
        <f aca="false">H41*가정!$B$10</f>
        <v>406053.668341709</v>
      </c>
      <c r="J41" s="26" t="n">
        <f aca="false">INDEX(일별!$K$5:$K$1099,B41)</f>
        <v>5475</v>
      </c>
      <c r="K41" s="27" t="n">
        <f aca="false">J41*가정!$B$10</f>
        <v>5475</v>
      </c>
      <c r="L41" s="28" t="n">
        <f aca="false">IF(가정!$B$6*가정!$B$7=0,0,I41/(가정!$B$6*가정!$B$7))</f>
        <v>1526.5175501568</v>
      </c>
      <c r="M41" s="28" t="n">
        <f aca="false">IF(가정!$B$6*가정!$B$7=0,0,K41/(가정!$B$6*가정!$B$7))</f>
        <v>20.5827067669173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4"/>
  </cols>
  <sheetData>
    <row r="1" customFormat="false" ht="16.15" hidden="false" customHeight="false" outlineLevel="0" collapsed="false">
      <c r="A1" s="15" t="s">
        <v>108</v>
      </c>
    </row>
    <row r="2" customFormat="false" ht="15" hidden="false" customHeight="false" outlineLevel="0" collapsed="false">
      <c r="A2" s="2" t="s">
        <v>109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110</v>
      </c>
    </row>
    <row r="5" customFormat="false" ht="15" hidden="false" customHeight="false" outlineLevel="0" collapsed="false">
      <c r="A5" s="8" t="s">
        <v>111</v>
      </c>
      <c r="B5" s="29" t="n">
        <v>122000</v>
      </c>
      <c r="C5" s="10" t="s">
        <v>112</v>
      </c>
    </row>
    <row r="6" customFormat="false" ht="15" hidden="false" customHeight="false" outlineLevel="0" collapsed="false">
      <c r="A6" s="8" t="s">
        <v>113</v>
      </c>
      <c r="B6" s="5" t="n">
        <v>264800</v>
      </c>
      <c r="C6" s="2" t="s">
        <v>114</v>
      </c>
    </row>
    <row r="7" customFormat="false" ht="15" hidden="false" customHeight="false" outlineLevel="0" collapsed="false">
      <c r="A7" s="4" t="s">
        <v>115</v>
      </c>
      <c r="B7" s="30" t="n">
        <f aca="false">B5/B6</f>
        <v>0.460725075528701</v>
      </c>
      <c r="C7" s="2" t="s">
        <v>116</v>
      </c>
    </row>
    <row r="8" customFormat="false" ht="15" hidden="false" customHeight="false" outlineLevel="0" collapsed="false">
      <c r="A8" s="4" t="s">
        <v>117</v>
      </c>
      <c r="B8" s="16" t="n">
        <f aca="false">요약!C16</f>
        <v>26334</v>
      </c>
      <c r="C8" s="2" t="s">
        <v>118</v>
      </c>
    </row>
    <row r="9" customFormat="false" ht="15" hidden="false" customHeight="false" outlineLevel="0" collapsed="false">
      <c r="A9" s="4" t="s">
        <v>119</v>
      </c>
      <c r="B9" s="31" t="n">
        <f aca="false">IF(B5=0,0,B8/B5)</f>
        <v>0.215852459016393</v>
      </c>
      <c r="C9" s="2" t="s">
        <v>120</v>
      </c>
    </row>
    <row r="10" customFormat="false" ht="15" hidden="false" customHeight="false" outlineLevel="0" collapsed="false">
      <c r="A10" s="4" t="s">
        <v>121</v>
      </c>
      <c r="B10" s="11" t="n">
        <f aca="false">IF(B5&lt;=B8,"풀 부족",B8*B6/(B5-B8)/(1-가정!B14))</f>
        <v>73257.8410628183</v>
      </c>
      <c r="C10" s="10" t="s">
        <v>122</v>
      </c>
    </row>
    <row r="11" customFormat="false" ht="15" hidden="false" customHeight="false" outlineLevel="0" collapsed="false">
      <c r="A11" s="4" t="s">
        <v>123</v>
      </c>
      <c r="B11" s="30" t="n">
        <f aca="false">IF(ISNUMBER(B10),B8/B10,"-")</f>
        <v>0.359470052870091</v>
      </c>
      <c r="C11" s="2" t="s">
        <v>124</v>
      </c>
    </row>
    <row r="12" customFormat="false" ht="15" hidden="false" customHeight="false" outlineLevel="0" collapsed="false">
      <c r="A12" s="4" t="s">
        <v>125</v>
      </c>
      <c r="B12" s="31" t="n">
        <f aca="false">IF(ISNUMBER(B11),B11/B7,"-")</f>
        <v>0.780226803278688</v>
      </c>
      <c r="C12" s="10" t="s">
        <v>126</v>
      </c>
    </row>
    <row r="13" customFormat="false" ht="15" hidden="false" customHeight="false" outlineLevel="0" collapsed="false">
      <c r="A13" s="4" t="s">
        <v>127</v>
      </c>
      <c r="B13" s="5" t="n">
        <v>4000</v>
      </c>
      <c r="C13" s="2" t="s">
        <v>128</v>
      </c>
    </row>
    <row r="14" customFormat="false" ht="15" hidden="false" customHeight="false" outlineLevel="0" collapsed="false">
      <c r="A14" s="8" t="s">
        <v>129</v>
      </c>
      <c r="B14" s="5" t="n">
        <v>101</v>
      </c>
      <c r="C14" s="2" t="s">
        <v>13</v>
      </c>
    </row>
    <row r="15" customFormat="false" ht="15" hidden="false" customHeight="false" outlineLevel="0" collapsed="false">
      <c r="A15" s="4" t="s">
        <v>130</v>
      </c>
      <c r="B15" s="31" t="n">
        <f aca="false">가정!B16/B13</f>
        <v>0.025</v>
      </c>
      <c r="C15" s="2" t="s">
        <v>131</v>
      </c>
    </row>
    <row r="17" customFormat="false" ht="15" hidden="false" customHeight="false" outlineLevel="0" collapsed="false">
      <c r="A17" s="13" t="s">
        <v>132</v>
      </c>
    </row>
    <row r="18" customFormat="false" ht="30" hidden="false" customHeight="true" outlineLevel="0" collapsed="false">
      <c r="A18" s="14" t="s">
        <v>133</v>
      </c>
      <c r="B18" s="14"/>
      <c r="C18" s="14"/>
    </row>
    <row r="19" customFormat="false" ht="30" hidden="false" customHeight="true" outlineLevel="0" collapsed="false">
      <c r="A19" s="14" t="s">
        <v>134</v>
      </c>
      <c r="B19" s="14"/>
      <c r="C19" s="14"/>
    </row>
    <row r="20" customFormat="false" ht="30" hidden="false" customHeight="true" outlineLevel="0" collapsed="false">
      <c r="A20" s="14" t="s">
        <v>135</v>
      </c>
      <c r="B20" s="14"/>
      <c r="C20" s="14"/>
    </row>
    <row r="21" customFormat="false" ht="30" hidden="false" customHeight="true" outlineLevel="0" collapsed="false">
      <c r="A21" s="14" t="s">
        <v>136</v>
      </c>
      <c r="B21" s="14"/>
      <c r="C21" s="14"/>
    </row>
    <row r="22" customFormat="false" ht="30" hidden="false" customHeight="true" outlineLevel="0" collapsed="false">
      <c r="A22" s="14" t="s">
        <v>137</v>
      </c>
      <c r="B22" s="14"/>
      <c r="C22" s="14"/>
    </row>
    <row r="23" customFormat="false" ht="30" hidden="false" customHeight="true" outlineLevel="0" collapsed="false">
      <c r="A23" s="14" t="s">
        <v>138</v>
      </c>
      <c r="B23" s="14"/>
      <c r="C23" s="14"/>
    </row>
    <row r="24" customFormat="false" ht="30" hidden="false" customHeight="true" outlineLevel="0" collapsed="false">
      <c r="A24" s="14" t="s">
        <v>139</v>
      </c>
      <c r="B24" s="14"/>
      <c r="C24" s="14"/>
    </row>
  </sheetData>
  <mergeCells count="7">
    <mergeCell ref="A18:C18"/>
    <mergeCell ref="A19:C19"/>
    <mergeCell ref="A20:C20"/>
    <mergeCell ref="A21:C21"/>
    <mergeCell ref="A22:C22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2026-10-16T18:22:32Z</dcterms:created>
  <dc:creator>openpyxl</dc:creator>
  <dc:description/>
  <dc:language>en-US</dc:language>
  <cp:lastModifiedBy/>
  <dcterms:modified xsi:type="dcterms:W3CDTF">2026-10-16T18:22:32Z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